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bdulrahman/Desktop/دليل اجراءات السلامة المجمع/"/>
    </mc:Choice>
  </mc:AlternateContent>
  <xr:revisionPtr revIDLastSave="0" documentId="8_{6E486E45-BB11-F24F-9630-49415E739140}" xr6:coauthVersionLast="47" xr6:coauthVersionMax="47" xr10:uidLastSave="{00000000-0000-0000-0000-000000000000}"/>
  <bookViews>
    <workbookView xWindow="0" yWindow="780" windowWidth="29040" windowHeight="15720" xr2:uid="{00000000-000D-0000-FFFF-FFFF00000000}"/>
  </bookViews>
  <sheets>
    <sheet name="إدخال وسجل المنتجات" sheetId="1" r:id="rId1"/>
    <sheet name="جرد المجمّدة" sheetId="2" r:id="rId2"/>
    <sheet name="جرد المبرّدة" sheetId="3" r:id="rId3"/>
    <sheet name="جرد الجافة" sheetId="4" r:id="rId4"/>
    <sheet name="جرد الاستهلاكية" sheetId="5" r:id="rId5"/>
    <sheet name="قاموس الترجمة" sheetId="6" r:id="rId6"/>
    <sheet name="القوائم" sheetId="7" r:id="rId7"/>
  </sheets>
  <definedNames>
    <definedName name="_xlnm._FilterDatabase" localSheetId="0" hidden="1">'إدخال وسجل المنتجات'!$A$156:$T$590</definedName>
    <definedName name="FIN">القوائم!$H$2:$H$2</definedName>
    <definedName name="RAW">القوائم!$I$2:$I$5</definedName>
    <definedName name="TRN">القوائم!$J$2:$J$4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0" i="1" l="1"/>
  <c r="I590" i="1"/>
  <c r="H590" i="1"/>
  <c r="T589" i="1"/>
  <c r="H589" i="1"/>
  <c r="T588" i="1"/>
  <c r="H588" i="1"/>
  <c r="T587" i="1"/>
  <c r="N587" i="1"/>
  <c r="J587" i="1"/>
  <c r="H587" i="1"/>
  <c r="I587" i="1" s="1"/>
  <c r="T586" i="1"/>
  <c r="N586" i="1"/>
  <c r="J586" i="1"/>
  <c r="F586" i="1" s="1"/>
  <c r="I586" i="1"/>
  <c r="H586" i="1"/>
  <c r="T585" i="1"/>
  <c r="I585" i="1"/>
  <c r="H585" i="1"/>
  <c r="N585" i="1" s="1"/>
  <c r="J585" i="1" s="1"/>
  <c r="F585" i="1" s="1"/>
  <c r="T584" i="1"/>
  <c r="I584" i="1"/>
  <c r="H584" i="1"/>
  <c r="T583" i="1"/>
  <c r="H583" i="1"/>
  <c r="T582" i="1"/>
  <c r="H582" i="1"/>
  <c r="T581" i="1"/>
  <c r="H581" i="1"/>
  <c r="I581" i="1" s="1"/>
  <c r="N581" i="1" s="1"/>
  <c r="J581" i="1" s="1"/>
  <c r="F581" i="1"/>
  <c r="T580" i="1"/>
  <c r="N580" i="1"/>
  <c r="J580" i="1"/>
  <c r="I580" i="1"/>
  <c r="H580" i="1"/>
  <c r="T579" i="1"/>
  <c r="I579" i="1"/>
  <c r="N579" i="1" s="1"/>
  <c r="H579" i="1"/>
  <c r="T578" i="1"/>
  <c r="H578" i="1"/>
  <c r="T577" i="1"/>
  <c r="I577" i="1"/>
  <c r="H577" i="1"/>
  <c r="T576" i="1"/>
  <c r="H576" i="1"/>
  <c r="T575" i="1"/>
  <c r="I575" i="1"/>
  <c r="H575" i="1"/>
  <c r="T574" i="1"/>
  <c r="H574" i="1"/>
  <c r="T573" i="1"/>
  <c r="H573" i="1"/>
  <c r="I573" i="1" s="1"/>
  <c r="N573" i="1" s="1"/>
  <c r="J573" i="1" s="1"/>
  <c r="T572" i="1"/>
  <c r="N572" i="1"/>
  <c r="J572" i="1"/>
  <c r="I572" i="1"/>
  <c r="F572" i="1" s="1"/>
  <c r="H572" i="1"/>
  <c r="T571" i="1"/>
  <c r="N571" i="1"/>
  <c r="I571" i="1"/>
  <c r="H571" i="1"/>
  <c r="T570" i="1"/>
  <c r="H570" i="1"/>
  <c r="T569" i="1"/>
  <c r="I569" i="1"/>
  <c r="H569" i="1"/>
  <c r="N569" i="1" s="1"/>
  <c r="J569" i="1" s="1"/>
  <c r="T568" i="1"/>
  <c r="H568" i="1"/>
  <c r="T567" i="1"/>
  <c r="H567" i="1"/>
  <c r="T566" i="1"/>
  <c r="H566" i="1"/>
  <c r="T565" i="1"/>
  <c r="H565" i="1"/>
  <c r="I565" i="1" s="1"/>
  <c r="N565" i="1" s="1"/>
  <c r="J565" i="1" s="1"/>
  <c r="T564" i="1"/>
  <c r="N564" i="1"/>
  <c r="J564" i="1" s="1"/>
  <c r="I564" i="1"/>
  <c r="H564" i="1"/>
  <c r="T563" i="1"/>
  <c r="I563" i="1"/>
  <c r="H563" i="1"/>
  <c r="T562" i="1"/>
  <c r="H562" i="1"/>
  <c r="I562" i="1" s="1"/>
  <c r="T561" i="1"/>
  <c r="I561" i="1"/>
  <c r="H561" i="1"/>
  <c r="N561" i="1" s="1"/>
  <c r="J561" i="1" s="1"/>
  <c r="F561" i="1" s="1"/>
  <c r="T560" i="1"/>
  <c r="I560" i="1"/>
  <c r="H560" i="1"/>
  <c r="T559" i="1"/>
  <c r="H559" i="1"/>
  <c r="T558" i="1"/>
  <c r="H558" i="1"/>
  <c r="T557" i="1"/>
  <c r="J557" i="1"/>
  <c r="F557" i="1" s="1"/>
  <c r="H557" i="1"/>
  <c r="I557" i="1" s="1"/>
  <c r="N557" i="1" s="1"/>
  <c r="T556" i="1"/>
  <c r="I556" i="1"/>
  <c r="H556" i="1"/>
  <c r="T555" i="1"/>
  <c r="I555" i="1"/>
  <c r="N555" i="1" s="1"/>
  <c r="H555" i="1"/>
  <c r="T554" i="1"/>
  <c r="N554" i="1"/>
  <c r="J554" i="1"/>
  <c r="F554" i="1" s="1"/>
  <c r="H554" i="1"/>
  <c r="I554" i="1" s="1"/>
  <c r="T553" i="1"/>
  <c r="I553" i="1"/>
  <c r="H553" i="1"/>
  <c r="N553" i="1" s="1"/>
  <c r="J553" i="1" s="1"/>
  <c r="F553" i="1"/>
  <c r="T552" i="1"/>
  <c r="I552" i="1"/>
  <c r="H552" i="1"/>
  <c r="T551" i="1"/>
  <c r="H551" i="1"/>
  <c r="T550" i="1"/>
  <c r="H550" i="1"/>
  <c r="T549" i="1"/>
  <c r="H549" i="1"/>
  <c r="I549" i="1" s="1"/>
  <c r="T548" i="1"/>
  <c r="I548" i="1"/>
  <c r="H548" i="1"/>
  <c r="T547" i="1"/>
  <c r="H547" i="1"/>
  <c r="T546" i="1"/>
  <c r="H546" i="1"/>
  <c r="T545" i="1"/>
  <c r="I545" i="1"/>
  <c r="N545" i="1" s="1"/>
  <c r="J545" i="1" s="1"/>
  <c r="H545" i="1"/>
  <c r="T544" i="1"/>
  <c r="H544" i="1"/>
  <c r="T543" i="1"/>
  <c r="I543" i="1"/>
  <c r="H543" i="1"/>
  <c r="T542" i="1"/>
  <c r="H542" i="1"/>
  <c r="T541" i="1"/>
  <c r="H541" i="1"/>
  <c r="I541" i="1" s="1"/>
  <c r="T540" i="1"/>
  <c r="I540" i="1"/>
  <c r="H540" i="1"/>
  <c r="T539" i="1"/>
  <c r="H539" i="1"/>
  <c r="T538" i="1"/>
  <c r="N538" i="1"/>
  <c r="J538" i="1"/>
  <c r="F538" i="1" s="1"/>
  <c r="H538" i="1"/>
  <c r="I538" i="1" s="1"/>
  <c r="T537" i="1"/>
  <c r="I537" i="1"/>
  <c r="H537" i="1"/>
  <c r="T536" i="1"/>
  <c r="I536" i="1"/>
  <c r="H536" i="1"/>
  <c r="T535" i="1"/>
  <c r="H535" i="1"/>
  <c r="T534" i="1"/>
  <c r="I534" i="1"/>
  <c r="H534" i="1"/>
  <c r="T533" i="1"/>
  <c r="H533" i="1"/>
  <c r="T532" i="1"/>
  <c r="I532" i="1"/>
  <c r="H532" i="1"/>
  <c r="T531" i="1"/>
  <c r="H531" i="1"/>
  <c r="T530" i="1"/>
  <c r="H530" i="1"/>
  <c r="T529" i="1"/>
  <c r="I529" i="1"/>
  <c r="H529" i="1"/>
  <c r="T528" i="1"/>
  <c r="H528" i="1"/>
  <c r="T527" i="1"/>
  <c r="I527" i="1"/>
  <c r="H527" i="1"/>
  <c r="T526" i="1"/>
  <c r="H526" i="1"/>
  <c r="T525" i="1"/>
  <c r="H525" i="1"/>
  <c r="T524" i="1"/>
  <c r="N524" i="1"/>
  <c r="J524" i="1" s="1"/>
  <c r="F524" i="1" s="1"/>
  <c r="I524" i="1"/>
  <c r="H524" i="1"/>
  <c r="T523" i="1"/>
  <c r="N523" i="1"/>
  <c r="I523" i="1"/>
  <c r="H523" i="1"/>
  <c r="T522" i="1"/>
  <c r="H522" i="1"/>
  <c r="T521" i="1"/>
  <c r="I521" i="1"/>
  <c r="N521" i="1" s="1"/>
  <c r="J521" i="1" s="1"/>
  <c r="H521" i="1"/>
  <c r="F521" i="1"/>
  <c r="T520" i="1"/>
  <c r="H520" i="1"/>
  <c r="T519" i="1"/>
  <c r="H519" i="1"/>
  <c r="T518" i="1"/>
  <c r="H518" i="1"/>
  <c r="T517" i="1"/>
  <c r="H517" i="1"/>
  <c r="T516" i="1"/>
  <c r="I516" i="1"/>
  <c r="H516" i="1"/>
  <c r="T515" i="1"/>
  <c r="I515" i="1"/>
  <c r="H515" i="1"/>
  <c r="T514" i="1"/>
  <c r="H514" i="1"/>
  <c r="I514" i="1" s="1"/>
  <c r="T513" i="1"/>
  <c r="N513" i="1"/>
  <c r="J513" i="1"/>
  <c r="I513" i="1"/>
  <c r="H513" i="1"/>
  <c r="F513" i="1"/>
  <c r="T512" i="1"/>
  <c r="I512" i="1"/>
  <c r="H512" i="1"/>
  <c r="T511" i="1"/>
  <c r="H511" i="1"/>
  <c r="T510" i="1"/>
  <c r="H510" i="1"/>
  <c r="T509" i="1"/>
  <c r="H509" i="1"/>
  <c r="T508" i="1"/>
  <c r="I508" i="1"/>
  <c r="H508" i="1"/>
  <c r="T507" i="1"/>
  <c r="I507" i="1"/>
  <c r="H507" i="1"/>
  <c r="T506" i="1"/>
  <c r="N506" i="1"/>
  <c r="J506" i="1"/>
  <c r="F506" i="1" s="1"/>
  <c r="H506" i="1"/>
  <c r="I506" i="1" s="1"/>
  <c r="T505" i="1"/>
  <c r="I505" i="1"/>
  <c r="H505" i="1"/>
  <c r="T504" i="1"/>
  <c r="I504" i="1"/>
  <c r="H504" i="1"/>
  <c r="T503" i="1"/>
  <c r="H503" i="1"/>
  <c r="T502" i="1"/>
  <c r="I502" i="1"/>
  <c r="H502" i="1"/>
  <c r="T501" i="1"/>
  <c r="H501" i="1"/>
  <c r="T500" i="1"/>
  <c r="I500" i="1"/>
  <c r="H500" i="1"/>
  <c r="T499" i="1"/>
  <c r="H499" i="1"/>
  <c r="T498" i="1"/>
  <c r="H498" i="1"/>
  <c r="T497" i="1"/>
  <c r="I497" i="1"/>
  <c r="N497" i="1" s="1"/>
  <c r="J497" i="1" s="1"/>
  <c r="H497" i="1"/>
  <c r="T496" i="1"/>
  <c r="I496" i="1"/>
  <c r="H496" i="1"/>
  <c r="T495" i="1"/>
  <c r="I495" i="1"/>
  <c r="H495" i="1"/>
  <c r="T494" i="1"/>
  <c r="H494" i="1"/>
  <c r="T493" i="1"/>
  <c r="H493" i="1"/>
  <c r="T492" i="1"/>
  <c r="N492" i="1"/>
  <c r="J492" i="1" s="1"/>
  <c r="I492" i="1"/>
  <c r="H492" i="1"/>
  <c r="F492" i="1"/>
  <c r="T491" i="1"/>
  <c r="I491" i="1"/>
  <c r="N491" i="1" s="1"/>
  <c r="H491" i="1"/>
  <c r="T490" i="1"/>
  <c r="H490" i="1"/>
  <c r="T489" i="1"/>
  <c r="I489" i="1"/>
  <c r="H489" i="1"/>
  <c r="T488" i="1"/>
  <c r="H488" i="1"/>
  <c r="T487" i="1"/>
  <c r="H487" i="1"/>
  <c r="T486" i="1"/>
  <c r="H486" i="1"/>
  <c r="T485" i="1"/>
  <c r="H485" i="1"/>
  <c r="T484" i="1"/>
  <c r="N484" i="1"/>
  <c r="J484" i="1" s="1"/>
  <c r="I484" i="1"/>
  <c r="H484" i="1"/>
  <c r="T483" i="1"/>
  <c r="I483" i="1"/>
  <c r="H483" i="1"/>
  <c r="T482" i="1"/>
  <c r="H482" i="1"/>
  <c r="T481" i="1"/>
  <c r="N481" i="1"/>
  <c r="J481" i="1"/>
  <c r="I481" i="1"/>
  <c r="H481" i="1"/>
  <c r="F481" i="1"/>
  <c r="T480" i="1"/>
  <c r="I480" i="1"/>
  <c r="H480" i="1"/>
  <c r="T479" i="1"/>
  <c r="H479" i="1"/>
  <c r="T478" i="1"/>
  <c r="H478" i="1"/>
  <c r="T477" i="1"/>
  <c r="H477" i="1"/>
  <c r="T476" i="1"/>
  <c r="I476" i="1"/>
  <c r="H476" i="1"/>
  <c r="T475" i="1"/>
  <c r="I475" i="1"/>
  <c r="H475" i="1"/>
  <c r="T474" i="1"/>
  <c r="H474" i="1"/>
  <c r="I474" i="1" s="1"/>
  <c r="N474" i="1" s="1"/>
  <c r="J474" i="1" s="1"/>
  <c r="F474" i="1" s="1"/>
  <c r="T473" i="1"/>
  <c r="I473" i="1"/>
  <c r="H473" i="1"/>
  <c r="T472" i="1"/>
  <c r="I472" i="1"/>
  <c r="H472" i="1"/>
  <c r="T471" i="1"/>
  <c r="H471" i="1"/>
  <c r="T470" i="1"/>
  <c r="I470" i="1"/>
  <c r="H470" i="1"/>
  <c r="N470" i="1" s="1"/>
  <c r="T469" i="1"/>
  <c r="H469" i="1"/>
  <c r="T468" i="1"/>
  <c r="I468" i="1"/>
  <c r="H468" i="1"/>
  <c r="T467" i="1"/>
  <c r="H467" i="1"/>
  <c r="T466" i="1"/>
  <c r="H466" i="1"/>
  <c r="T465" i="1"/>
  <c r="I465" i="1"/>
  <c r="N465" i="1" s="1"/>
  <c r="J465" i="1" s="1"/>
  <c r="H465" i="1"/>
  <c r="F465" i="1"/>
  <c r="T464" i="1"/>
  <c r="I464" i="1"/>
  <c r="H464" i="1"/>
  <c r="T463" i="1"/>
  <c r="I463" i="1"/>
  <c r="H463" i="1"/>
  <c r="N463" i="1" s="1"/>
  <c r="J463" i="1" s="1"/>
  <c r="T462" i="1"/>
  <c r="H462" i="1"/>
  <c r="T461" i="1"/>
  <c r="H461" i="1"/>
  <c r="T460" i="1"/>
  <c r="N460" i="1"/>
  <c r="J460" i="1" s="1"/>
  <c r="F460" i="1" s="1"/>
  <c r="I460" i="1"/>
  <c r="H460" i="1"/>
  <c r="T459" i="1"/>
  <c r="I459" i="1"/>
  <c r="H459" i="1"/>
  <c r="T458" i="1"/>
  <c r="H458" i="1"/>
  <c r="T457" i="1"/>
  <c r="I457" i="1"/>
  <c r="H457" i="1"/>
  <c r="T456" i="1"/>
  <c r="H456" i="1"/>
  <c r="T455" i="1"/>
  <c r="H455" i="1"/>
  <c r="T454" i="1"/>
  <c r="H454" i="1"/>
  <c r="T453" i="1"/>
  <c r="H453" i="1"/>
  <c r="T452" i="1"/>
  <c r="I452" i="1"/>
  <c r="H452" i="1"/>
  <c r="T451" i="1"/>
  <c r="N451" i="1"/>
  <c r="I451" i="1"/>
  <c r="H451" i="1"/>
  <c r="T450" i="1"/>
  <c r="H450" i="1"/>
  <c r="T449" i="1"/>
  <c r="I449" i="1"/>
  <c r="N449" i="1" s="1"/>
  <c r="J449" i="1" s="1"/>
  <c r="F449" i="1" s="1"/>
  <c r="H449" i="1"/>
  <c r="T448" i="1"/>
  <c r="I448" i="1"/>
  <c r="H448" i="1"/>
  <c r="T447" i="1"/>
  <c r="H447" i="1"/>
  <c r="T446" i="1"/>
  <c r="H446" i="1"/>
  <c r="T445" i="1"/>
  <c r="H445" i="1"/>
  <c r="T444" i="1"/>
  <c r="I444" i="1"/>
  <c r="H444" i="1"/>
  <c r="T443" i="1"/>
  <c r="I443" i="1"/>
  <c r="H443" i="1"/>
  <c r="T442" i="1"/>
  <c r="H442" i="1"/>
  <c r="I442" i="1" s="1"/>
  <c r="T441" i="1"/>
  <c r="I441" i="1"/>
  <c r="H441" i="1"/>
  <c r="T440" i="1"/>
  <c r="I440" i="1"/>
  <c r="H440" i="1"/>
  <c r="T439" i="1"/>
  <c r="H439" i="1"/>
  <c r="T438" i="1"/>
  <c r="I438" i="1"/>
  <c r="H438" i="1"/>
  <c r="T437" i="1"/>
  <c r="H437" i="1"/>
  <c r="T436" i="1"/>
  <c r="I436" i="1"/>
  <c r="H436" i="1"/>
  <c r="T435" i="1"/>
  <c r="N435" i="1"/>
  <c r="I435" i="1"/>
  <c r="H435" i="1"/>
  <c r="T434" i="1"/>
  <c r="H434" i="1"/>
  <c r="T433" i="1"/>
  <c r="I433" i="1"/>
  <c r="N433" i="1" s="1"/>
  <c r="J433" i="1" s="1"/>
  <c r="H433" i="1"/>
  <c r="T432" i="1"/>
  <c r="I432" i="1"/>
  <c r="H432" i="1"/>
  <c r="T431" i="1"/>
  <c r="I431" i="1"/>
  <c r="H431" i="1"/>
  <c r="T430" i="1"/>
  <c r="H430" i="1"/>
  <c r="T429" i="1"/>
  <c r="H429" i="1"/>
  <c r="T428" i="1"/>
  <c r="N428" i="1"/>
  <c r="J428" i="1" s="1"/>
  <c r="F428" i="1" s="1"/>
  <c r="I428" i="1"/>
  <c r="H428" i="1"/>
  <c r="T427" i="1"/>
  <c r="I427" i="1"/>
  <c r="H427" i="1"/>
  <c r="T426" i="1"/>
  <c r="H426" i="1"/>
  <c r="T425" i="1"/>
  <c r="I425" i="1"/>
  <c r="H425" i="1"/>
  <c r="T424" i="1"/>
  <c r="I424" i="1"/>
  <c r="H424" i="1"/>
  <c r="T423" i="1"/>
  <c r="H423" i="1"/>
  <c r="T422" i="1"/>
  <c r="H422" i="1"/>
  <c r="T421" i="1"/>
  <c r="H421" i="1"/>
  <c r="T420" i="1"/>
  <c r="I420" i="1"/>
  <c r="H420" i="1"/>
  <c r="T419" i="1"/>
  <c r="N419" i="1"/>
  <c r="I419" i="1"/>
  <c r="H419" i="1"/>
  <c r="T418" i="1"/>
  <c r="H418" i="1"/>
  <c r="T417" i="1"/>
  <c r="I417" i="1"/>
  <c r="N417" i="1" s="1"/>
  <c r="J417" i="1" s="1"/>
  <c r="F417" i="1" s="1"/>
  <c r="H417" i="1"/>
  <c r="T416" i="1"/>
  <c r="I416" i="1"/>
  <c r="H416" i="1"/>
  <c r="T415" i="1"/>
  <c r="H415" i="1"/>
  <c r="T414" i="1"/>
  <c r="H414" i="1"/>
  <c r="T413" i="1"/>
  <c r="H413" i="1"/>
  <c r="T412" i="1"/>
  <c r="I412" i="1"/>
  <c r="H412" i="1"/>
  <c r="T411" i="1"/>
  <c r="I411" i="1"/>
  <c r="H411" i="1"/>
  <c r="T410" i="1"/>
  <c r="H410" i="1"/>
  <c r="I410" i="1" s="1"/>
  <c r="T409" i="1"/>
  <c r="I409" i="1"/>
  <c r="H409" i="1"/>
  <c r="T408" i="1"/>
  <c r="I408" i="1"/>
  <c r="H408" i="1"/>
  <c r="T407" i="1"/>
  <c r="H407" i="1"/>
  <c r="T406" i="1"/>
  <c r="I406" i="1"/>
  <c r="H406" i="1"/>
  <c r="T405" i="1"/>
  <c r="H405" i="1"/>
  <c r="T404" i="1"/>
  <c r="I404" i="1"/>
  <c r="H404" i="1"/>
  <c r="T403" i="1"/>
  <c r="N403" i="1"/>
  <c r="I403" i="1"/>
  <c r="H403" i="1"/>
  <c r="T402" i="1"/>
  <c r="H402" i="1"/>
  <c r="T401" i="1"/>
  <c r="I401" i="1"/>
  <c r="N401" i="1" s="1"/>
  <c r="J401" i="1" s="1"/>
  <c r="H401" i="1"/>
  <c r="T400" i="1"/>
  <c r="I400" i="1"/>
  <c r="H400" i="1"/>
  <c r="T399" i="1"/>
  <c r="I399" i="1"/>
  <c r="H399" i="1"/>
  <c r="T398" i="1"/>
  <c r="H398" i="1"/>
  <c r="T397" i="1"/>
  <c r="H397" i="1"/>
  <c r="T396" i="1"/>
  <c r="N396" i="1"/>
  <c r="J396" i="1" s="1"/>
  <c r="I396" i="1"/>
  <c r="H396" i="1"/>
  <c r="F396" i="1"/>
  <c r="T395" i="1"/>
  <c r="I395" i="1"/>
  <c r="N395" i="1" s="1"/>
  <c r="H395" i="1"/>
  <c r="T394" i="1"/>
  <c r="H394" i="1"/>
  <c r="T393" i="1"/>
  <c r="I393" i="1"/>
  <c r="H393" i="1"/>
  <c r="T392" i="1"/>
  <c r="I392" i="1"/>
  <c r="H392" i="1"/>
  <c r="T391" i="1"/>
  <c r="H391" i="1"/>
  <c r="T390" i="1"/>
  <c r="H390" i="1"/>
  <c r="T389" i="1"/>
  <c r="H389" i="1"/>
  <c r="T388" i="1"/>
  <c r="I388" i="1"/>
  <c r="N388" i="1" s="1"/>
  <c r="J388" i="1" s="1"/>
  <c r="H388" i="1"/>
  <c r="T387" i="1"/>
  <c r="I387" i="1"/>
  <c r="H387" i="1"/>
  <c r="T386" i="1"/>
  <c r="H386" i="1"/>
  <c r="T385" i="1"/>
  <c r="I385" i="1"/>
  <c r="N385" i="1" s="1"/>
  <c r="J385" i="1" s="1"/>
  <c r="H385" i="1"/>
  <c r="F385" i="1"/>
  <c r="T384" i="1"/>
  <c r="I384" i="1"/>
  <c r="H384" i="1"/>
  <c r="T383" i="1"/>
  <c r="H383" i="1"/>
  <c r="T382" i="1"/>
  <c r="H382" i="1"/>
  <c r="T381" i="1"/>
  <c r="H381" i="1"/>
  <c r="T380" i="1"/>
  <c r="I380" i="1"/>
  <c r="H380" i="1"/>
  <c r="T379" i="1"/>
  <c r="I379" i="1"/>
  <c r="H379" i="1"/>
  <c r="T378" i="1"/>
  <c r="H378" i="1"/>
  <c r="I378" i="1" s="1"/>
  <c r="T377" i="1"/>
  <c r="I377" i="1"/>
  <c r="H377" i="1"/>
  <c r="T376" i="1"/>
  <c r="I376" i="1"/>
  <c r="H376" i="1"/>
  <c r="T375" i="1"/>
  <c r="H375" i="1"/>
  <c r="T374" i="1"/>
  <c r="I374" i="1"/>
  <c r="H374" i="1"/>
  <c r="T373" i="1"/>
  <c r="H373" i="1"/>
  <c r="T372" i="1"/>
  <c r="I372" i="1"/>
  <c r="H372" i="1"/>
  <c r="T371" i="1"/>
  <c r="N371" i="1"/>
  <c r="I371" i="1"/>
  <c r="H371" i="1"/>
  <c r="T370" i="1"/>
  <c r="H370" i="1"/>
  <c r="T369" i="1"/>
  <c r="I369" i="1"/>
  <c r="N369" i="1" s="1"/>
  <c r="J369" i="1" s="1"/>
  <c r="H369" i="1"/>
  <c r="T368" i="1"/>
  <c r="I368" i="1"/>
  <c r="H368" i="1"/>
  <c r="T367" i="1"/>
  <c r="I367" i="1"/>
  <c r="H367" i="1"/>
  <c r="T366" i="1"/>
  <c r="H366" i="1"/>
  <c r="T365" i="1"/>
  <c r="H365" i="1"/>
  <c r="T364" i="1"/>
  <c r="N364" i="1"/>
  <c r="J364" i="1"/>
  <c r="F364" i="1" s="1"/>
  <c r="I364" i="1"/>
  <c r="H364" i="1"/>
  <c r="T363" i="1"/>
  <c r="N363" i="1"/>
  <c r="I363" i="1"/>
  <c r="H363" i="1"/>
  <c r="T362" i="1"/>
  <c r="H362" i="1"/>
  <c r="T361" i="1"/>
  <c r="I361" i="1"/>
  <c r="N361" i="1" s="1"/>
  <c r="J361" i="1" s="1"/>
  <c r="H361" i="1"/>
  <c r="T360" i="1"/>
  <c r="I360" i="1"/>
  <c r="H360" i="1"/>
  <c r="T359" i="1"/>
  <c r="H359" i="1"/>
  <c r="T358" i="1"/>
  <c r="H358" i="1"/>
  <c r="T357" i="1"/>
  <c r="H357" i="1"/>
  <c r="T356" i="1"/>
  <c r="N356" i="1"/>
  <c r="J356" i="1" s="1"/>
  <c r="I356" i="1"/>
  <c r="H356" i="1"/>
  <c r="T355" i="1"/>
  <c r="N355" i="1"/>
  <c r="I355" i="1"/>
  <c r="H355" i="1"/>
  <c r="T354" i="1"/>
  <c r="H354" i="1"/>
  <c r="T353" i="1"/>
  <c r="J353" i="1"/>
  <c r="F353" i="1" s="1"/>
  <c r="I353" i="1"/>
  <c r="N353" i="1" s="1"/>
  <c r="H353" i="1"/>
  <c r="T352" i="1"/>
  <c r="H352" i="1"/>
  <c r="T351" i="1"/>
  <c r="H351" i="1"/>
  <c r="T350" i="1"/>
  <c r="H350" i="1"/>
  <c r="T349" i="1"/>
  <c r="H349" i="1"/>
  <c r="T348" i="1"/>
  <c r="N348" i="1"/>
  <c r="J348" i="1" s="1"/>
  <c r="I348" i="1"/>
  <c r="H348" i="1"/>
  <c r="F348" i="1"/>
  <c r="T347" i="1"/>
  <c r="N347" i="1"/>
  <c r="I347" i="1"/>
  <c r="H347" i="1"/>
  <c r="T346" i="1"/>
  <c r="H346" i="1"/>
  <c r="T345" i="1"/>
  <c r="I345" i="1"/>
  <c r="N345" i="1" s="1"/>
  <c r="J345" i="1" s="1"/>
  <c r="H345" i="1"/>
  <c r="T344" i="1"/>
  <c r="I344" i="1"/>
  <c r="H344" i="1"/>
  <c r="T343" i="1"/>
  <c r="H343" i="1"/>
  <c r="T342" i="1"/>
  <c r="H342" i="1"/>
  <c r="T341" i="1"/>
  <c r="H341" i="1"/>
  <c r="T340" i="1"/>
  <c r="I340" i="1"/>
  <c r="H340" i="1"/>
  <c r="T339" i="1"/>
  <c r="N339" i="1"/>
  <c r="I339" i="1"/>
  <c r="H339" i="1"/>
  <c r="T338" i="1"/>
  <c r="H338" i="1"/>
  <c r="T337" i="1"/>
  <c r="I337" i="1"/>
  <c r="N337" i="1" s="1"/>
  <c r="J337" i="1" s="1"/>
  <c r="H337" i="1"/>
  <c r="F337" i="1"/>
  <c r="T336" i="1"/>
  <c r="I336" i="1"/>
  <c r="H336" i="1"/>
  <c r="T335" i="1"/>
  <c r="H335" i="1"/>
  <c r="T334" i="1"/>
  <c r="H334" i="1"/>
  <c r="T333" i="1"/>
  <c r="H333" i="1"/>
  <c r="T332" i="1"/>
  <c r="N332" i="1"/>
  <c r="J332" i="1" s="1"/>
  <c r="I332" i="1"/>
  <c r="F332" i="1" s="1"/>
  <c r="H332" i="1"/>
  <c r="T331" i="1"/>
  <c r="I331" i="1"/>
  <c r="H331" i="1"/>
  <c r="T330" i="1"/>
  <c r="H330" i="1"/>
  <c r="T329" i="1"/>
  <c r="I329" i="1"/>
  <c r="H329" i="1"/>
  <c r="T328" i="1"/>
  <c r="I328" i="1"/>
  <c r="H328" i="1"/>
  <c r="T327" i="1"/>
  <c r="H327" i="1"/>
  <c r="T326" i="1"/>
  <c r="H326" i="1"/>
  <c r="T325" i="1"/>
  <c r="H325" i="1"/>
  <c r="T324" i="1"/>
  <c r="I324" i="1"/>
  <c r="H324" i="1"/>
  <c r="T323" i="1"/>
  <c r="I323" i="1"/>
  <c r="N323" i="1" s="1"/>
  <c r="H323" i="1"/>
  <c r="T322" i="1"/>
  <c r="H322" i="1"/>
  <c r="T321" i="1"/>
  <c r="J321" i="1"/>
  <c r="I321" i="1"/>
  <c r="N321" i="1" s="1"/>
  <c r="H321" i="1"/>
  <c r="F321" i="1"/>
  <c r="T320" i="1"/>
  <c r="I320" i="1"/>
  <c r="H320" i="1"/>
  <c r="T319" i="1"/>
  <c r="H319" i="1"/>
  <c r="T318" i="1"/>
  <c r="H318" i="1"/>
  <c r="T317" i="1"/>
  <c r="H317" i="1"/>
  <c r="T316" i="1"/>
  <c r="I316" i="1"/>
  <c r="H316" i="1"/>
  <c r="T315" i="1"/>
  <c r="N315" i="1"/>
  <c r="I315" i="1"/>
  <c r="H315" i="1"/>
  <c r="T314" i="1"/>
  <c r="H314" i="1"/>
  <c r="T313" i="1"/>
  <c r="I313" i="1"/>
  <c r="N313" i="1" s="1"/>
  <c r="J313" i="1" s="1"/>
  <c r="H313" i="1"/>
  <c r="F313" i="1"/>
  <c r="T312" i="1"/>
  <c r="I312" i="1"/>
  <c r="H312" i="1"/>
  <c r="T311" i="1"/>
  <c r="H311" i="1"/>
  <c r="T310" i="1"/>
  <c r="H310" i="1"/>
  <c r="I310" i="1" s="1"/>
  <c r="T309" i="1"/>
  <c r="H309" i="1"/>
  <c r="T308" i="1"/>
  <c r="N308" i="1"/>
  <c r="J308" i="1" s="1"/>
  <c r="I308" i="1"/>
  <c r="H308" i="1"/>
  <c r="T307" i="1"/>
  <c r="I307" i="1"/>
  <c r="H307" i="1"/>
  <c r="T306" i="1"/>
  <c r="H306" i="1"/>
  <c r="T305" i="1"/>
  <c r="I305" i="1"/>
  <c r="N305" i="1" s="1"/>
  <c r="J305" i="1" s="1"/>
  <c r="H305" i="1"/>
  <c r="T304" i="1"/>
  <c r="I304" i="1"/>
  <c r="H304" i="1"/>
  <c r="T303" i="1"/>
  <c r="I303" i="1"/>
  <c r="H303" i="1"/>
  <c r="T302" i="1"/>
  <c r="H302" i="1"/>
  <c r="T301" i="1"/>
  <c r="H301" i="1"/>
  <c r="T300" i="1"/>
  <c r="I300" i="1"/>
  <c r="H300" i="1"/>
  <c r="T299" i="1"/>
  <c r="I299" i="1"/>
  <c r="N299" i="1" s="1"/>
  <c r="H299" i="1"/>
  <c r="T298" i="1"/>
  <c r="H298" i="1"/>
  <c r="T297" i="1"/>
  <c r="I297" i="1"/>
  <c r="H297" i="1"/>
  <c r="T296" i="1"/>
  <c r="I296" i="1"/>
  <c r="H296" i="1"/>
  <c r="T295" i="1"/>
  <c r="H295" i="1"/>
  <c r="T294" i="1"/>
  <c r="H294" i="1"/>
  <c r="T293" i="1"/>
  <c r="H293" i="1"/>
  <c r="T292" i="1"/>
  <c r="N292" i="1"/>
  <c r="J292" i="1" s="1"/>
  <c r="I292" i="1"/>
  <c r="H292" i="1"/>
  <c r="T291" i="1"/>
  <c r="I291" i="1"/>
  <c r="H291" i="1"/>
  <c r="T290" i="1"/>
  <c r="H290" i="1"/>
  <c r="T289" i="1"/>
  <c r="I289" i="1"/>
  <c r="N289" i="1" s="1"/>
  <c r="J289" i="1" s="1"/>
  <c r="H289" i="1"/>
  <c r="T288" i="1"/>
  <c r="I288" i="1"/>
  <c r="H288" i="1"/>
  <c r="T287" i="1"/>
  <c r="H287" i="1"/>
  <c r="T286" i="1"/>
  <c r="H286" i="1"/>
  <c r="T285" i="1"/>
  <c r="H285" i="1"/>
  <c r="T284" i="1"/>
  <c r="I284" i="1"/>
  <c r="H284" i="1"/>
  <c r="T283" i="1"/>
  <c r="I283" i="1"/>
  <c r="H283" i="1"/>
  <c r="T282" i="1"/>
  <c r="H282" i="1"/>
  <c r="T281" i="1"/>
  <c r="I281" i="1"/>
  <c r="N281" i="1" s="1"/>
  <c r="J281" i="1" s="1"/>
  <c r="H281" i="1"/>
  <c r="T280" i="1"/>
  <c r="I280" i="1"/>
  <c r="H280" i="1"/>
  <c r="T279" i="1"/>
  <c r="H279" i="1"/>
  <c r="T278" i="1"/>
  <c r="H278" i="1"/>
  <c r="T277" i="1"/>
  <c r="H277" i="1"/>
  <c r="T276" i="1"/>
  <c r="I276" i="1"/>
  <c r="H276" i="1"/>
  <c r="T275" i="1"/>
  <c r="N275" i="1"/>
  <c r="I275" i="1"/>
  <c r="H275" i="1"/>
  <c r="T274" i="1"/>
  <c r="H274" i="1"/>
  <c r="T273" i="1"/>
  <c r="I273" i="1"/>
  <c r="N273" i="1" s="1"/>
  <c r="J273" i="1" s="1"/>
  <c r="H273" i="1"/>
  <c r="T272" i="1"/>
  <c r="I272" i="1"/>
  <c r="H272" i="1"/>
  <c r="T271" i="1"/>
  <c r="H271" i="1"/>
  <c r="T270" i="1"/>
  <c r="H270" i="1"/>
  <c r="T269" i="1"/>
  <c r="H269" i="1"/>
  <c r="T268" i="1"/>
  <c r="N268" i="1"/>
  <c r="J268" i="1"/>
  <c r="I268" i="1"/>
  <c r="H268" i="1"/>
  <c r="T267" i="1"/>
  <c r="H267" i="1"/>
  <c r="T266" i="1"/>
  <c r="H266" i="1"/>
  <c r="T265" i="1"/>
  <c r="I265" i="1"/>
  <c r="N265" i="1" s="1"/>
  <c r="J265" i="1" s="1"/>
  <c r="F265" i="1" s="1"/>
  <c r="H265" i="1"/>
  <c r="T264" i="1"/>
  <c r="I264" i="1"/>
  <c r="H264" i="1"/>
  <c r="T263" i="1"/>
  <c r="H263" i="1"/>
  <c r="T262" i="1"/>
  <c r="H262" i="1"/>
  <c r="T261" i="1"/>
  <c r="H261" i="1"/>
  <c r="T260" i="1"/>
  <c r="I260" i="1"/>
  <c r="H260" i="1"/>
  <c r="T259" i="1"/>
  <c r="N259" i="1"/>
  <c r="I259" i="1"/>
  <c r="H259" i="1"/>
  <c r="T258" i="1"/>
  <c r="H258" i="1"/>
  <c r="T257" i="1"/>
  <c r="I257" i="1"/>
  <c r="N257" i="1" s="1"/>
  <c r="J257" i="1" s="1"/>
  <c r="F257" i="1" s="1"/>
  <c r="H257" i="1"/>
  <c r="T256" i="1"/>
  <c r="H256" i="1"/>
  <c r="I256" i="1" s="1"/>
  <c r="T255" i="1"/>
  <c r="H255" i="1"/>
  <c r="T254" i="1"/>
  <c r="H254" i="1"/>
  <c r="T253" i="1"/>
  <c r="H253" i="1"/>
  <c r="T252" i="1"/>
  <c r="N252" i="1"/>
  <c r="J252" i="1"/>
  <c r="I252" i="1"/>
  <c r="H252" i="1"/>
  <c r="F252" i="1"/>
  <c r="T251" i="1"/>
  <c r="N251" i="1"/>
  <c r="I251" i="1"/>
  <c r="H251" i="1"/>
  <c r="T250" i="1"/>
  <c r="H250" i="1"/>
  <c r="T249" i="1"/>
  <c r="N249" i="1"/>
  <c r="J249" i="1" s="1"/>
  <c r="I249" i="1"/>
  <c r="F249" i="1" s="1"/>
  <c r="H249" i="1"/>
  <c r="T248" i="1"/>
  <c r="I248" i="1"/>
  <c r="H248" i="1"/>
  <c r="T247" i="1"/>
  <c r="N247" i="1"/>
  <c r="H247" i="1"/>
  <c r="I247" i="1" s="1"/>
  <c r="T246" i="1"/>
  <c r="I246" i="1"/>
  <c r="H246" i="1"/>
  <c r="T245" i="1"/>
  <c r="H245" i="1"/>
  <c r="T244" i="1"/>
  <c r="N244" i="1"/>
  <c r="J244" i="1" s="1"/>
  <c r="I244" i="1"/>
  <c r="H244" i="1"/>
  <c r="T243" i="1"/>
  <c r="I243" i="1"/>
  <c r="N243" i="1" s="1"/>
  <c r="H243" i="1"/>
  <c r="T242" i="1"/>
  <c r="H242" i="1"/>
  <c r="T241" i="1"/>
  <c r="J241" i="1"/>
  <c r="I241" i="1"/>
  <c r="N241" i="1" s="1"/>
  <c r="H241" i="1"/>
  <c r="T240" i="1"/>
  <c r="H240" i="1"/>
  <c r="T239" i="1"/>
  <c r="I239" i="1"/>
  <c r="H239" i="1"/>
  <c r="T238" i="1"/>
  <c r="H238" i="1"/>
  <c r="T237" i="1"/>
  <c r="H237" i="1"/>
  <c r="T236" i="1"/>
  <c r="N236" i="1"/>
  <c r="J236" i="1"/>
  <c r="I236" i="1"/>
  <c r="H236" i="1"/>
  <c r="T235" i="1"/>
  <c r="H235" i="1"/>
  <c r="T234" i="1"/>
  <c r="H234" i="1"/>
  <c r="T233" i="1"/>
  <c r="I233" i="1"/>
  <c r="N233" i="1" s="1"/>
  <c r="J233" i="1" s="1"/>
  <c r="H233" i="1"/>
  <c r="T232" i="1"/>
  <c r="I232" i="1"/>
  <c r="H232" i="1"/>
  <c r="T231" i="1"/>
  <c r="N231" i="1"/>
  <c r="J231" i="1" s="1"/>
  <c r="F231" i="1" s="1"/>
  <c r="H231" i="1"/>
  <c r="I231" i="1" s="1"/>
  <c r="T230" i="1"/>
  <c r="H230" i="1"/>
  <c r="T229" i="1"/>
  <c r="H229" i="1"/>
  <c r="T228" i="1"/>
  <c r="I228" i="1"/>
  <c r="H228" i="1"/>
  <c r="T227" i="1"/>
  <c r="N227" i="1"/>
  <c r="I227" i="1"/>
  <c r="H227" i="1"/>
  <c r="T226" i="1"/>
  <c r="H226" i="1"/>
  <c r="T225" i="1"/>
  <c r="I225" i="1"/>
  <c r="N225" i="1" s="1"/>
  <c r="J225" i="1" s="1"/>
  <c r="H225" i="1"/>
  <c r="T224" i="1"/>
  <c r="H224" i="1"/>
  <c r="T223" i="1"/>
  <c r="I223" i="1"/>
  <c r="H223" i="1"/>
  <c r="T222" i="1"/>
  <c r="H222" i="1"/>
  <c r="T221" i="1"/>
  <c r="H221" i="1"/>
  <c r="T220" i="1"/>
  <c r="I220" i="1"/>
  <c r="H220" i="1"/>
  <c r="T219" i="1"/>
  <c r="I219" i="1"/>
  <c r="N219" i="1" s="1"/>
  <c r="H219" i="1"/>
  <c r="T218" i="1"/>
  <c r="H218" i="1"/>
  <c r="T217" i="1"/>
  <c r="N217" i="1"/>
  <c r="J217" i="1" s="1"/>
  <c r="I217" i="1"/>
  <c r="H217" i="1"/>
  <c r="F217" i="1"/>
  <c r="T216" i="1"/>
  <c r="I216" i="1"/>
  <c r="H216" i="1"/>
  <c r="T215" i="1"/>
  <c r="H215" i="1"/>
  <c r="I215" i="1" s="1"/>
  <c r="T214" i="1"/>
  <c r="I214" i="1"/>
  <c r="H214" i="1"/>
  <c r="T213" i="1"/>
  <c r="H213" i="1"/>
  <c r="T212" i="1"/>
  <c r="N212" i="1"/>
  <c r="J212" i="1" s="1"/>
  <c r="F212" i="1" s="1"/>
  <c r="I212" i="1"/>
  <c r="H212" i="1"/>
  <c r="T211" i="1"/>
  <c r="N211" i="1"/>
  <c r="I211" i="1"/>
  <c r="H211" i="1"/>
  <c r="T210" i="1"/>
  <c r="H210" i="1"/>
  <c r="T209" i="1"/>
  <c r="J209" i="1"/>
  <c r="F209" i="1" s="1"/>
  <c r="I209" i="1"/>
  <c r="N209" i="1" s="1"/>
  <c r="H209" i="1"/>
  <c r="T208" i="1"/>
  <c r="I208" i="1"/>
  <c r="H208" i="1"/>
  <c r="T207" i="1"/>
  <c r="H207" i="1"/>
  <c r="I207" i="1" s="1"/>
  <c r="T206" i="1"/>
  <c r="H206" i="1"/>
  <c r="T205" i="1"/>
  <c r="H205" i="1"/>
  <c r="T204" i="1"/>
  <c r="N204" i="1"/>
  <c r="J204" i="1" s="1"/>
  <c r="I204" i="1"/>
  <c r="H204" i="1"/>
  <c r="T203" i="1"/>
  <c r="I203" i="1"/>
  <c r="H203" i="1"/>
  <c r="T202" i="1"/>
  <c r="H202" i="1"/>
  <c r="T201" i="1"/>
  <c r="N201" i="1"/>
  <c r="J201" i="1" s="1"/>
  <c r="I201" i="1"/>
  <c r="F201" i="1" s="1"/>
  <c r="H201" i="1"/>
  <c r="T200" i="1"/>
  <c r="I200" i="1"/>
  <c r="H200" i="1"/>
  <c r="T199" i="1"/>
  <c r="N199" i="1"/>
  <c r="J199" i="1"/>
  <c r="F199" i="1" s="1"/>
  <c r="H199" i="1"/>
  <c r="I199" i="1" s="1"/>
  <c r="T198" i="1"/>
  <c r="I198" i="1"/>
  <c r="H198" i="1"/>
  <c r="T197" i="1"/>
  <c r="H197" i="1"/>
  <c r="T196" i="1"/>
  <c r="N196" i="1"/>
  <c r="J196" i="1" s="1"/>
  <c r="I196" i="1"/>
  <c r="H196" i="1"/>
  <c r="T195" i="1"/>
  <c r="I195" i="1"/>
  <c r="N195" i="1" s="1"/>
  <c r="H195" i="1"/>
  <c r="T194" i="1"/>
  <c r="H194" i="1"/>
  <c r="T193" i="1"/>
  <c r="J193" i="1"/>
  <c r="I193" i="1"/>
  <c r="N193" i="1" s="1"/>
  <c r="H193" i="1"/>
  <c r="T192" i="1"/>
  <c r="H192" i="1"/>
  <c r="I192" i="1" s="1"/>
  <c r="T191" i="1"/>
  <c r="H191" i="1"/>
  <c r="I191" i="1" s="1"/>
  <c r="T190" i="1"/>
  <c r="H190" i="1"/>
  <c r="T189" i="1"/>
  <c r="H189" i="1"/>
  <c r="T188" i="1"/>
  <c r="I188" i="1"/>
  <c r="H188" i="1"/>
  <c r="T187" i="1"/>
  <c r="H187" i="1"/>
  <c r="T186" i="1"/>
  <c r="H186" i="1"/>
  <c r="T185" i="1"/>
  <c r="I185" i="1"/>
  <c r="N185" i="1" s="1"/>
  <c r="J185" i="1" s="1"/>
  <c r="F185" i="1" s="1"/>
  <c r="H185" i="1"/>
  <c r="T184" i="1"/>
  <c r="I184" i="1"/>
  <c r="H184" i="1"/>
  <c r="T183" i="1"/>
  <c r="N183" i="1"/>
  <c r="J183" i="1"/>
  <c r="H183" i="1"/>
  <c r="I183" i="1" s="1"/>
  <c r="T182" i="1"/>
  <c r="H182" i="1"/>
  <c r="I182" i="1" s="1"/>
  <c r="T181" i="1"/>
  <c r="H181" i="1"/>
  <c r="T180" i="1"/>
  <c r="I180" i="1"/>
  <c r="H180" i="1"/>
  <c r="T179" i="1"/>
  <c r="N179" i="1"/>
  <c r="I179" i="1"/>
  <c r="H179" i="1"/>
  <c r="T178" i="1"/>
  <c r="H178" i="1"/>
  <c r="T177" i="1"/>
  <c r="I177" i="1"/>
  <c r="N177" i="1" s="1"/>
  <c r="J177" i="1" s="1"/>
  <c r="F177" i="1" s="1"/>
  <c r="H177" i="1"/>
  <c r="T176" i="1"/>
  <c r="I176" i="1"/>
  <c r="H176" i="1"/>
  <c r="T175" i="1"/>
  <c r="H175" i="1"/>
  <c r="T174" i="1"/>
  <c r="H174" i="1"/>
  <c r="T173" i="1"/>
  <c r="H173" i="1"/>
  <c r="T172" i="1"/>
  <c r="N172" i="1"/>
  <c r="J172" i="1" s="1"/>
  <c r="F172" i="1" s="1"/>
  <c r="I172" i="1"/>
  <c r="H172" i="1"/>
  <c r="T171" i="1"/>
  <c r="H171" i="1"/>
  <c r="T170" i="1"/>
  <c r="H170" i="1"/>
  <c r="T169" i="1"/>
  <c r="N169" i="1"/>
  <c r="J169" i="1" s="1"/>
  <c r="I169" i="1"/>
  <c r="F169" i="1" s="1"/>
  <c r="H169" i="1"/>
  <c r="T168" i="1"/>
  <c r="I168" i="1"/>
  <c r="H168" i="1"/>
  <c r="T167" i="1"/>
  <c r="H167" i="1"/>
  <c r="I167" i="1" s="1"/>
  <c r="T166" i="1"/>
  <c r="H166" i="1"/>
  <c r="I166" i="1" s="1"/>
  <c r="T165" i="1"/>
  <c r="H165" i="1"/>
  <c r="T164" i="1"/>
  <c r="I164" i="1"/>
  <c r="H164" i="1"/>
  <c r="T163" i="1"/>
  <c r="N163" i="1"/>
  <c r="I163" i="1"/>
  <c r="H163" i="1"/>
  <c r="T162" i="1"/>
  <c r="H162" i="1"/>
  <c r="T161" i="1"/>
  <c r="I161" i="1"/>
  <c r="N161" i="1" s="1"/>
  <c r="J161" i="1" s="1"/>
  <c r="H161" i="1"/>
  <c r="T160" i="1"/>
  <c r="I160" i="1"/>
  <c r="H160" i="1"/>
  <c r="T159" i="1"/>
  <c r="H159" i="1"/>
  <c r="T158" i="1"/>
  <c r="H158" i="1"/>
  <c r="T157" i="1"/>
  <c r="H157" i="1"/>
  <c r="G155" i="1"/>
  <c r="T154" i="1"/>
  <c r="L154" i="1"/>
  <c r="K154" i="1"/>
  <c r="H154" i="1"/>
  <c r="F154" i="1"/>
  <c r="E154" i="1"/>
  <c r="C154" i="1"/>
  <c r="A154" i="1"/>
  <c r="T153" i="1"/>
  <c r="L153" i="1"/>
  <c r="K153" i="1"/>
  <c r="H153" i="1"/>
  <c r="I153" i="1" s="1"/>
  <c r="M153" i="1" s="1"/>
  <c r="F153" i="1"/>
  <c r="E153" i="1"/>
  <c r="C153" i="1"/>
  <c r="A153" i="1"/>
  <c r="T152" i="1"/>
  <c r="L152" i="1"/>
  <c r="K152" i="1"/>
  <c r="H152" i="1"/>
  <c r="F152" i="1"/>
  <c r="E152" i="1"/>
  <c r="I152" i="1" s="1"/>
  <c r="M152" i="1" s="1"/>
  <c r="C152" i="1"/>
  <c r="A152" i="1"/>
  <c r="T151" i="1"/>
  <c r="L151" i="1"/>
  <c r="K151" i="1"/>
  <c r="H151" i="1"/>
  <c r="I151" i="1" s="1"/>
  <c r="M151" i="1" s="1"/>
  <c r="F151" i="1"/>
  <c r="E151" i="1"/>
  <c r="C151" i="1"/>
  <c r="A151" i="1"/>
  <c r="T150" i="1"/>
  <c r="L150" i="1"/>
  <c r="K150" i="1"/>
  <c r="H150" i="1"/>
  <c r="I150" i="1" s="1"/>
  <c r="M150" i="1" s="1"/>
  <c r="F150" i="1"/>
  <c r="E150" i="1"/>
  <c r="C150" i="1"/>
  <c r="A150" i="1"/>
  <c r="T149" i="1"/>
  <c r="L149" i="1"/>
  <c r="K149" i="1"/>
  <c r="I149" i="1"/>
  <c r="M149" i="1" s="1"/>
  <c r="H149" i="1"/>
  <c r="F149" i="1"/>
  <c r="E149" i="1"/>
  <c r="C149" i="1"/>
  <c r="A149" i="1"/>
  <c r="T148" i="1"/>
  <c r="M148" i="1"/>
  <c r="L148" i="1"/>
  <c r="K148" i="1"/>
  <c r="I148" i="1"/>
  <c r="H148" i="1"/>
  <c r="F148" i="1"/>
  <c r="E148" i="1"/>
  <c r="C148" i="1"/>
  <c r="A148" i="1"/>
  <c r="T147" i="1"/>
  <c r="L147" i="1"/>
  <c r="K147" i="1"/>
  <c r="H147" i="1"/>
  <c r="I147" i="1" s="1"/>
  <c r="M147" i="1" s="1"/>
  <c r="F147" i="1"/>
  <c r="E147" i="1"/>
  <c r="C147" i="1"/>
  <c r="A147" i="1"/>
  <c r="T146" i="1"/>
  <c r="L146" i="1"/>
  <c r="K146" i="1"/>
  <c r="H146" i="1"/>
  <c r="F146" i="1"/>
  <c r="E146" i="1"/>
  <c r="C146" i="1"/>
  <c r="A146" i="1"/>
  <c r="T145" i="1"/>
  <c r="L145" i="1"/>
  <c r="K145" i="1"/>
  <c r="H145" i="1"/>
  <c r="I145" i="1" s="1"/>
  <c r="M145" i="1" s="1"/>
  <c r="F145" i="1"/>
  <c r="E145" i="1"/>
  <c r="C145" i="1"/>
  <c r="A145" i="1"/>
  <c r="T144" i="1"/>
  <c r="L144" i="1"/>
  <c r="K144" i="1"/>
  <c r="H144" i="1"/>
  <c r="I144" i="1" s="1"/>
  <c r="M144" i="1" s="1"/>
  <c r="F144" i="1"/>
  <c r="E144" i="1"/>
  <c r="C144" i="1"/>
  <c r="A144" i="1"/>
  <c r="T143" i="1"/>
  <c r="L143" i="1"/>
  <c r="K143" i="1"/>
  <c r="H143" i="1"/>
  <c r="I143" i="1" s="1"/>
  <c r="M143" i="1" s="1"/>
  <c r="F143" i="1"/>
  <c r="E143" i="1"/>
  <c r="C143" i="1"/>
  <c r="A143" i="1"/>
  <c r="T142" i="1"/>
  <c r="L142" i="1"/>
  <c r="K142" i="1"/>
  <c r="H142" i="1"/>
  <c r="F142" i="1"/>
  <c r="E142" i="1"/>
  <c r="C142" i="1"/>
  <c r="A142" i="1"/>
  <c r="T141" i="1"/>
  <c r="L141" i="1"/>
  <c r="K141" i="1"/>
  <c r="H141" i="1"/>
  <c r="I141" i="1" s="1"/>
  <c r="M141" i="1" s="1"/>
  <c r="F141" i="1"/>
  <c r="E141" i="1"/>
  <c r="C141" i="1"/>
  <c r="A141" i="1"/>
  <c r="T140" i="1"/>
  <c r="L140" i="1"/>
  <c r="K140" i="1"/>
  <c r="I140" i="1"/>
  <c r="M140" i="1" s="1"/>
  <c r="H140" i="1"/>
  <c r="F140" i="1"/>
  <c r="E140" i="1"/>
  <c r="C140" i="1"/>
  <c r="A140" i="1"/>
  <c r="T139" i="1"/>
  <c r="L139" i="1"/>
  <c r="K139" i="1"/>
  <c r="I139" i="1"/>
  <c r="M139" i="1" s="1"/>
  <c r="H139" i="1"/>
  <c r="F139" i="1"/>
  <c r="E139" i="1"/>
  <c r="C139" i="1"/>
  <c r="A139" i="1"/>
  <c r="T138" i="1"/>
  <c r="L138" i="1"/>
  <c r="K138" i="1"/>
  <c r="H138" i="1"/>
  <c r="I138" i="1" s="1"/>
  <c r="M138" i="1" s="1"/>
  <c r="F138" i="1"/>
  <c r="E138" i="1"/>
  <c r="C138" i="1"/>
  <c r="A138" i="1"/>
  <c r="T137" i="1"/>
  <c r="M137" i="1"/>
  <c r="L137" i="1"/>
  <c r="K137" i="1"/>
  <c r="I137" i="1"/>
  <c r="H137" i="1"/>
  <c r="F137" i="1"/>
  <c r="E137" i="1"/>
  <c r="C137" i="1"/>
  <c r="A137" i="1"/>
  <c r="T136" i="1"/>
  <c r="L136" i="1"/>
  <c r="K136" i="1"/>
  <c r="H136" i="1"/>
  <c r="I136" i="1" s="1"/>
  <c r="M136" i="1" s="1"/>
  <c r="F136" i="1"/>
  <c r="E136" i="1"/>
  <c r="C136" i="1"/>
  <c r="A136" i="1"/>
  <c r="T135" i="1"/>
  <c r="L135" i="1"/>
  <c r="K135" i="1"/>
  <c r="H135" i="1"/>
  <c r="F135" i="1"/>
  <c r="E135" i="1"/>
  <c r="C135" i="1"/>
  <c r="A135" i="1"/>
  <c r="T134" i="1"/>
  <c r="L134" i="1"/>
  <c r="K134" i="1"/>
  <c r="H134" i="1"/>
  <c r="I134" i="1" s="1"/>
  <c r="M134" i="1" s="1"/>
  <c r="F134" i="1"/>
  <c r="E134" i="1"/>
  <c r="C134" i="1"/>
  <c r="A134" i="1"/>
  <c r="T133" i="1"/>
  <c r="L133" i="1"/>
  <c r="K133" i="1"/>
  <c r="I133" i="1"/>
  <c r="M133" i="1" s="1"/>
  <c r="H133" i="1"/>
  <c r="F133" i="1"/>
  <c r="E133" i="1"/>
  <c r="C133" i="1"/>
  <c r="A133" i="1"/>
  <c r="T132" i="1"/>
  <c r="L132" i="1"/>
  <c r="K132" i="1"/>
  <c r="H132" i="1"/>
  <c r="I132" i="1" s="1"/>
  <c r="M132" i="1" s="1"/>
  <c r="F132" i="1"/>
  <c r="E132" i="1"/>
  <c r="C132" i="1"/>
  <c r="A132" i="1"/>
  <c r="T131" i="1"/>
  <c r="L131" i="1"/>
  <c r="K131" i="1"/>
  <c r="H131" i="1"/>
  <c r="F131" i="1"/>
  <c r="E131" i="1"/>
  <c r="I131" i="1" s="1"/>
  <c r="M131" i="1" s="1"/>
  <c r="C131" i="1"/>
  <c r="A131" i="1"/>
  <c r="T130" i="1"/>
  <c r="L130" i="1"/>
  <c r="K130" i="1"/>
  <c r="H130" i="1"/>
  <c r="F130" i="1"/>
  <c r="E130" i="1"/>
  <c r="C130" i="1"/>
  <c r="A130" i="1"/>
  <c r="T129" i="1"/>
  <c r="L129" i="1"/>
  <c r="K129" i="1"/>
  <c r="H129" i="1"/>
  <c r="I129" i="1" s="1"/>
  <c r="M129" i="1" s="1"/>
  <c r="F129" i="1"/>
  <c r="E129" i="1"/>
  <c r="C129" i="1"/>
  <c r="A129" i="1"/>
  <c r="T128" i="1"/>
  <c r="L128" i="1"/>
  <c r="K128" i="1"/>
  <c r="I128" i="1"/>
  <c r="M128" i="1" s="1"/>
  <c r="H128" i="1"/>
  <c r="F128" i="1"/>
  <c r="E128" i="1"/>
  <c r="C128" i="1"/>
  <c r="A128" i="1"/>
  <c r="T127" i="1"/>
  <c r="M127" i="1"/>
  <c r="L127" i="1"/>
  <c r="K127" i="1"/>
  <c r="I127" i="1"/>
  <c r="H127" i="1"/>
  <c r="F127" i="1"/>
  <c r="E127" i="1"/>
  <c r="C127" i="1"/>
  <c r="A127" i="1"/>
  <c r="T126" i="1"/>
  <c r="L126" i="1"/>
  <c r="K126" i="1"/>
  <c r="H126" i="1"/>
  <c r="F126" i="1"/>
  <c r="E126" i="1"/>
  <c r="C126" i="1"/>
  <c r="A126" i="1"/>
  <c r="T125" i="1"/>
  <c r="L125" i="1"/>
  <c r="K125" i="1"/>
  <c r="H125" i="1"/>
  <c r="I125" i="1" s="1"/>
  <c r="M125" i="1" s="1"/>
  <c r="F125" i="1"/>
  <c r="E125" i="1"/>
  <c r="C125" i="1"/>
  <c r="A125" i="1"/>
  <c r="T124" i="1"/>
  <c r="L124" i="1"/>
  <c r="K124" i="1"/>
  <c r="H124" i="1"/>
  <c r="I124" i="1" s="1"/>
  <c r="M124" i="1" s="1"/>
  <c r="F124" i="1"/>
  <c r="E124" i="1"/>
  <c r="C124" i="1"/>
  <c r="A124" i="1"/>
  <c r="T123" i="1"/>
  <c r="L123" i="1"/>
  <c r="K123" i="1"/>
  <c r="I123" i="1"/>
  <c r="M123" i="1" s="1"/>
  <c r="H123" i="1"/>
  <c r="F123" i="1"/>
  <c r="E123" i="1"/>
  <c r="C123" i="1"/>
  <c r="A123" i="1"/>
  <c r="T122" i="1"/>
  <c r="M122" i="1"/>
  <c r="L122" i="1"/>
  <c r="K122" i="1"/>
  <c r="H122" i="1"/>
  <c r="I122" i="1" s="1"/>
  <c r="F122" i="1"/>
  <c r="E122" i="1"/>
  <c r="C122" i="1"/>
  <c r="A122" i="1"/>
  <c r="T121" i="1"/>
  <c r="L121" i="1"/>
  <c r="K121" i="1"/>
  <c r="H121" i="1"/>
  <c r="F121" i="1"/>
  <c r="E121" i="1"/>
  <c r="C121" i="1"/>
  <c r="A121" i="1"/>
  <c r="T120" i="1"/>
  <c r="L120" i="1"/>
  <c r="K120" i="1"/>
  <c r="H120" i="1"/>
  <c r="I120" i="1" s="1"/>
  <c r="M120" i="1" s="1"/>
  <c r="F120" i="1"/>
  <c r="E120" i="1"/>
  <c r="C120" i="1"/>
  <c r="A120" i="1"/>
  <c r="T119" i="1"/>
  <c r="L119" i="1"/>
  <c r="K119" i="1"/>
  <c r="H119" i="1"/>
  <c r="I119" i="1" s="1"/>
  <c r="M119" i="1" s="1"/>
  <c r="F119" i="1"/>
  <c r="E119" i="1"/>
  <c r="C119" i="1"/>
  <c r="A119" i="1"/>
  <c r="T118" i="1"/>
  <c r="L118" i="1"/>
  <c r="K118" i="1"/>
  <c r="H118" i="1"/>
  <c r="I118" i="1" s="1"/>
  <c r="M118" i="1" s="1"/>
  <c r="F118" i="1"/>
  <c r="E118" i="1"/>
  <c r="C118" i="1"/>
  <c r="A118" i="1"/>
  <c r="T117" i="1"/>
  <c r="M117" i="1"/>
  <c r="L117" i="1"/>
  <c r="K117" i="1"/>
  <c r="I117" i="1"/>
  <c r="H117" i="1"/>
  <c r="F117" i="1"/>
  <c r="E117" i="1"/>
  <c r="C117" i="1"/>
  <c r="A117" i="1"/>
  <c r="T116" i="1"/>
  <c r="L116" i="1"/>
  <c r="K116" i="1"/>
  <c r="H116" i="1"/>
  <c r="I116" i="1" s="1"/>
  <c r="M116" i="1" s="1"/>
  <c r="F116" i="1"/>
  <c r="E116" i="1"/>
  <c r="C116" i="1"/>
  <c r="A116" i="1"/>
  <c r="T115" i="1"/>
  <c r="L115" i="1"/>
  <c r="K115" i="1"/>
  <c r="H115" i="1"/>
  <c r="I115" i="1" s="1"/>
  <c r="M115" i="1" s="1"/>
  <c r="F115" i="1"/>
  <c r="E115" i="1"/>
  <c r="C115" i="1"/>
  <c r="A115" i="1"/>
  <c r="T114" i="1"/>
  <c r="L114" i="1"/>
  <c r="K114" i="1"/>
  <c r="H114" i="1"/>
  <c r="F114" i="1"/>
  <c r="E114" i="1"/>
  <c r="C114" i="1"/>
  <c r="A114" i="1"/>
  <c r="T113" i="1"/>
  <c r="L113" i="1"/>
  <c r="K113" i="1"/>
  <c r="I113" i="1"/>
  <c r="M113" i="1" s="1"/>
  <c r="H113" i="1"/>
  <c r="F113" i="1"/>
  <c r="E113" i="1"/>
  <c r="C113" i="1"/>
  <c r="A113" i="1"/>
  <c r="T112" i="1"/>
  <c r="M112" i="1"/>
  <c r="L112" i="1"/>
  <c r="K112" i="1"/>
  <c r="H112" i="1"/>
  <c r="I112" i="1" s="1"/>
  <c r="F112" i="1"/>
  <c r="E112" i="1"/>
  <c r="C112" i="1"/>
  <c r="A112" i="1"/>
  <c r="T111" i="1"/>
  <c r="M111" i="1"/>
  <c r="L111" i="1"/>
  <c r="K111" i="1"/>
  <c r="I111" i="1"/>
  <c r="H111" i="1"/>
  <c r="F111" i="1"/>
  <c r="E111" i="1"/>
  <c r="C111" i="1"/>
  <c r="A111" i="1"/>
  <c r="T110" i="1"/>
  <c r="L110" i="1"/>
  <c r="K110" i="1"/>
  <c r="H110" i="1"/>
  <c r="F110" i="1"/>
  <c r="E110" i="1"/>
  <c r="C110" i="1"/>
  <c r="A110" i="1"/>
  <c r="T109" i="1"/>
  <c r="L109" i="1"/>
  <c r="K109" i="1"/>
  <c r="H109" i="1"/>
  <c r="I109" i="1" s="1"/>
  <c r="M109" i="1" s="1"/>
  <c r="F109" i="1"/>
  <c r="E109" i="1"/>
  <c r="C109" i="1"/>
  <c r="A109" i="1"/>
  <c r="T108" i="1"/>
  <c r="L108" i="1"/>
  <c r="K108" i="1"/>
  <c r="I108" i="1"/>
  <c r="M108" i="1" s="1"/>
  <c r="H108" i="1"/>
  <c r="F108" i="1"/>
  <c r="E108" i="1"/>
  <c r="C108" i="1"/>
  <c r="A108" i="1"/>
  <c r="T107" i="1"/>
  <c r="L107" i="1"/>
  <c r="K107" i="1"/>
  <c r="H107" i="1"/>
  <c r="I107" i="1" s="1"/>
  <c r="M107" i="1" s="1"/>
  <c r="F107" i="1"/>
  <c r="E107" i="1"/>
  <c r="C107" i="1"/>
  <c r="A107" i="1"/>
  <c r="T106" i="1"/>
  <c r="L106" i="1"/>
  <c r="K106" i="1"/>
  <c r="H106" i="1"/>
  <c r="I106" i="1" s="1"/>
  <c r="M106" i="1" s="1"/>
  <c r="F106" i="1"/>
  <c r="E106" i="1"/>
  <c r="C106" i="1"/>
  <c r="A106" i="1"/>
  <c r="T105" i="1"/>
  <c r="L105" i="1"/>
  <c r="K105" i="1"/>
  <c r="H105" i="1"/>
  <c r="I105" i="1" s="1"/>
  <c r="M105" i="1" s="1"/>
  <c r="F105" i="1"/>
  <c r="E105" i="1"/>
  <c r="C105" i="1"/>
  <c r="A105" i="1"/>
  <c r="T104" i="1"/>
  <c r="L104" i="1"/>
  <c r="K104" i="1"/>
  <c r="H104" i="1"/>
  <c r="I104" i="1" s="1"/>
  <c r="M104" i="1" s="1"/>
  <c r="F104" i="1"/>
  <c r="E104" i="1"/>
  <c r="C104" i="1"/>
  <c r="A104" i="1"/>
  <c r="T103" i="1"/>
  <c r="L103" i="1"/>
  <c r="K103" i="1"/>
  <c r="H103" i="1"/>
  <c r="I103" i="1" s="1"/>
  <c r="M103" i="1" s="1"/>
  <c r="F103" i="1"/>
  <c r="E103" i="1"/>
  <c r="C103" i="1"/>
  <c r="A103" i="1"/>
  <c r="T102" i="1"/>
  <c r="L102" i="1"/>
  <c r="K102" i="1"/>
  <c r="H102" i="1"/>
  <c r="I102" i="1" s="1"/>
  <c r="M102" i="1" s="1"/>
  <c r="F102" i="1"/>
  <c r="E102" i="1"/>
  <c r="C102" i="1"/>
  <c r="A102" i="1"/>
  <c r="T101" i="1"/>
  <c r="L101" i="1"/>
  <c r="K101" i="1"/>
  <c r="I101" i="1"/>
  <c r="M101" i="1" s="1"/>
  <c r="H101" i="1"/>
  <c r="F101" i="1"/>
  <c r="E101" i="1"/>
  <c r="C101" i="1"/>
  <c r="A101" i="1"/>
  <c r="T100" i="1"/>
  <c r="M100" i="1"/>
  <c r="L100" i="1"/>
  <c r="K100" i="1"/>
  <c r="I100" i="1"/>
  <c r="H100" i="1"/>
  <c r="F100" i="1"/>
  <c r="E100" i="1"/>
  <c r="C100" i="1"/>
  <c r="A100" i="1"/>
  <c r="T99" i="1"/>
  <c r="L99" i="1"/>
  <c r="K99" i="1"/>
  <c r="H99" i="1"/>
  <c r="F99" i="1"/>
  <c r="E99" i="1"/>
  <c r="I99" i="1" s="1"/>
  <c r="M99" i="1" s="1"/>
  <c r="C99" i="1"/>
  <c r="A99" i="1"/>
  <c r="T98" i="1"/>
  <c r="L98" i="1"/>
  <c r="K98" i="1"/>
  <c r="H98" i="1"/>
  <c r="F98" i="1"/>
  <c r="E98" i="1"/>
  <c r="C98" i="1"/>
  <c r="A98" i="1"/>
  <c r="T97" i="1"/>
  <c r="L97" i="1"/>
  <c r="K97" i="1"/>
  <c r="I97" i="1"/>
  <c r="M97" i="1" s="1"/>
  <c r="H97" i="1"/>
  <c r="F97" i="1"/>
  <c r="E97" i="1"/>
  <c r="C97" i="1"/>
  <c r="A97" i="1"/>
  <c r="T96" i="1"/>
  <c r="L96" i="1"/>
  <c r="K96" i="1"/>
  <c r="H96" i="1"/>
  <c r="I96" i="1" s="1"/>
  <c r="M96" i="1" s="1"/>
  <c r="F96" i="1"/>
  <c r="E96" i="1"/>
  <c r="C96" i="1"/>
  <c r="A96" i="1"/>
  <c r="T95" i="1"/>
  <c r="L95" i="1"/>
  <c r="K95" i="1"/>
  <c r="H95" i="1"/>
  <c r="I95" i="1" s="1"/>
  <c r="M95" i="1" s="1"/>
  <c r="F95" i="1"/>
  <c r="E95" i="1"/>
  <c r="C95" i="1"/>
  <c r="A95" i="1"/>
  <c r="T94" i="1"/>
  <c r="L94" i="1"/>
  <c r="K94" i="1"/>
  <c r="H94" i="1"/>
  <c r="F94" i="1"/>
  <c r="E94" i="1"/>
  <c r="C94" i="1"/>
  <c r="A94" i="1"/>
  <c r="T93" i="1"/>
  <c r="L93" i="1"/>
  <c r="K93" i="1"/>
  <c r="H93" i="1"/>
  <c r="I93" i="1" s="1"/>
  <c r="M93" i="1" s="1"/>
  <c r="F93" i="1"/>
  <c r="E93" i="1"/>
  <c r="C93" i="1"/>
  <c r="A93" i="1"/>
  <c r="T92" i="1"/>
  <c r="L92" i="1"/>
  <c r="K92" i="1"/>
  <c r="I92" i="1"/>
  <c r="M92" i="1" s="1"/>
  <c r="H92" i="1"/>
  <c r="F92" i="1"/>
  <c r="E92" i="1"/>
  <c r="C92" i="1"/>
  <c r="A92" i="1"/>
  <c r="T91" i="1"/>
  <c r="L91" i="1"/>
  <c r="K91" i="1"/>
  <c r="H91" i="1"/>
  <c r="I91" i="1" s="1"/>
  <c r="M91" i="1" s="1"/>
  <c r="F91" i="1"/>
  <c r="E91" i="1"/>
  <c r="C91" i="1"/>
  <c r="A91" i="1"/>
  <c r="T90" i="1"/>
  <c r="L90" i="1"/>
  <c r="K90" i="1"/>
  <c r="H90" i="1"/>
  <c r="F90" i="1"/>
  <c r="E90" i="1"/>
  <c r="C90" i="1"/>
  <c r="A90" i="1"/>
  <c r="T89" i="1"/>
  <c r="L89" i="1"/>
  <c r="K89" i="1"/>
  <c r="H89" i="1"/>
  <c r="F89" i="1"/>
  <c r="E89" i="1"/>
  <c r="C89" i="1"/>
  <c r="A89" i="1"/>
  <c r="T88" i="1"/>
  <c r="L88" i="1"/>
  <c r="K88" i="1"/>
  <c r="H88" i="1"/>
  <c r="I88" i="1" s="1"/>
  <c r="M88" i="1" s="1"/>
  <c r="F88" i="1"/>
  <c r="E88" i="1"/>
  <c r="C88" i="1"/>
  <c r="A88" i="1"/>
  <c r="T87" i="1"/>
  <c r="L87" i="1"/>
  <c r="K87" i="1"/>
  <c r="I87" i="1"/>
  <c r="M87" i="1" s="1"/>
  <c r="H87" i="1"/>
  <c r="F87" i="1"/>
  <c r="E87" i="1"/>
  <c r="C87" i="1"/>
  <c r="A87" i="1"/>
  <c r="T86" i="1"/>
  <c r="M86" i="1"/>
  <c r="L86" i="1"/>
  <c r="K86" i="1"/>
  <c r="H86" i="1"/>
  <c r="I86" i="1" s="1"/>
  <c r="F86" i="1"/>
  <c r="E86" i="1"/>
  <c r="C86" i="1"/>
  <c r="A86" i="1"/>
  <c r="T85" i="1"/>
  <c r="M85" i="1"/>
  <c r="L85" i="1"/>
  <c r="K85" i="1"/>
  <c r="I85" i="1"/>
  <c r="H85" i="1"/>
  <c r="F85" i="1"/>
  <c r="E85" i="1"/>
  <c r="C85" i="1"/>
  <c r="A85" i="1"/>
  <c r="T84" i="1"/>
  <c r="L84" i="1"/>
  <c r="K84" i="1"/>
  <c r="H84" i="1"/>
  <c r="I84" i="1" s="1"/>
  <c r="M84" i="1" s="1"/>
  <c r="F84" i="1"/>
  <c r="E84" i="1"/>
  <c r="C84" i="1"/>
  <c r="A84" i="1"/>
  <c r="T83" i="1"/>
  <c r="L83" i="1"/>
  <c r="K83" i="1"/>
  <c r="H83" i="1"/>
  <c r="I83" i="1" s="1"/>
  <c r="M83" i="1" s="1"/>
  <c r="F83" i="1"/>
  <c r="E83" i="1"/>
  <c r="C83" i="1"/>
  <c r="A83" i="1"/>
  <c r="T82" i="1"/>
  <c r="L82" i="1"/>
  <c r="K82" i="1"/>
  <c r="H82" i="1"/>
  <c r="I82" i="1" s="1"/>
  <c r="M82" i="1" s="1"/>
  <c r="F82" i="1"/>
  <c r="E82" i="1"/>
  <c r="C82" i="1"/>
  <c r="A82" i="1"/>
  <c r="T81" i="1"/>
  <c r="L81" i="1"/>
  <c r="K81" i="1"/>
  <c r="I81" i="1"/>
  <c r="M81" i="1" s="1"/>
  <c r="H81" i="1"/>
  <c r="F81" i="1"/>
  <c r="E81" i="1"/>
  <c r="C81" i="1"/>
  <c r="A81" i="1"/>
  <c r="T80" i="1"/>
  <c r="M80" i="1"/>
  <c r="L80" i="1"/>
  <c r="K80" i="1"/>
  <c r="H80" i="1"/>
  <c r="I80" i="1" s="1"/>
  <c r="F80" i="1"/>
  <c r="E80" i="1"/>
  <c r="C80" i="1"/>
  <c r="A80" i="1"/>
  <c r="T79" i="1"/>
  <c r="L79" i="1"/>
  <c r="K79" i="1"/>
  <c r="H79" i="1"/>
  <c r="I79" i="1" s="1"/>
  <c r="M79" i="1" s="1"/>
  <c r="F79" i="1"/>
  <c r="E79" i="1"/>
  <c r="C79" i="1"/>
  <c r="A79" i="1"/>
  <c r="T78" i="1"/>
  <c r="L78" i="1"/>
  <c r="K78" i="1"/>
  <c r="H78" i="1"/>
  <c r="F78" i="1"/>
  <c r="E78" i="1"/>
  <c r="C78" i="1"/>
  <c r="A78" i="1"/>
  <c r="T77" i="1"/>
  <c r="L77" i="1"/>
  <c r="K77" i="1"/>
  <c r="H77" i="1"/>
  <c r="I77" i="1" s="1"/>
  <c r="M77" i="1" s="1"/>
  <c r="F77" i="1"/>
  <c r="E77" i="1"/>
  <c r="C77" i="1"/>
  <c r="A77" i="1"/>
  <c r="T76" i="1"/>
  <c r="L76" i="1"/>
  <c r="K76" i="1"/>
  <c r="I76" i="1"/>
  <c r="M76" i="1" s="1"/>
  <c r="H76" i="1"/>
  <c r="F76" i="1"/>
  <c r="E76" i="1"/>
  <c r="C76" i="1"/>
  <c r="A76" i="1"/>
  <c r="T75" i="1"/>
  <c r="M75" i="1"/>
  <c r="L75" i="1"/>
  <c r="K75" i="1"/>
  <c r="I75" i="1"/>
  <c r="H75" i="1"/>
  <c r="F75" i="1"/>
  <c r="E75" i="1"/>
  <c r="C75" i="1"/>
  <c r="A75" i="1"/>
  <c r="T74" i="1"/>
  <c r="L74" i="1"/>
  <c r="K74" i="1"/>
  <c r="H74" i="1"/>
  <c r="F74" i="1"/>
  <c r="E74" i="1"/>
  <c r="C74" i="1"/>
  <c r="A74" i="1"/>
  <c r="T73" i="1"/>
  <c r="L73" i="1"/>
  <c r="K73" i="1"/>
  <c r="H73" i="1"/>
  <c r="I73" i="1" s="1"/>
  <c r="M73" i="1" s="1"/>
  <c r="F73" i="1"/>
  <c r="E73" i="1"/>
  <c r="C73" i="1"/>
  <c r="A73" i="1"/>
  <c r="T72" i="1"/>
  <c r="L72" i="1"/>
  <c r="K72" i="1"/>
  <c r="H72" i="1"/>
  <c r="I72" i="1" s="1"/>
  <c r="M72" i="1" s="1"/>
  <c r="F72" i="1"/>
  <c r="E72" i="1"/>
  <c r="C72" i="1"/>
  <c r="A72" i="1"/>
  <c r="T71" i="1"/>
  <c r="L71" i="1"/>
  <c r="K71" i="1"/>
  <c r="H71" i="1"/>
  <c r="I71" i="1" s="1"/>
  <c r="M71" i="1" s="1"/>
  <c r="F71" i="1"/>
  <c r="E71" i="1"/>
  <c r="C71" i="1"/>
  <c r="A71" i="1"/>
  <c r="T70" i="1"/>
  <c r="M70" i="1"/>
  <c r="L70" i="1"/>
  <c r="K70" i="1"/>
  <c r="H70" i="1"/>
  <c r="I70" i="1" s="1"/>
  <c r="F70" i="1"/>
  <c r="E70" i="1"/>
  <c r="C70" i="1"/>
  <c r="A70" i="1"/>
  <c r="T69" i="1"/>
  <c r="L69" i="1"/>
  <c r="K69" i="1"/>
  <c r="H69" i="1"/>
  <c r="I69" i="1" s="1"/>
  <c r="M69" i="1" s="1"/>
  <c r="F69" i="1"/>
  <c r="E69" i="1"/>
  <c r="C69" i="1"/>
  <c r="A69" i="1"/>
  <c r="T68" i="1"/>
  <c r="L68" i="1"/>
  <c r="K68" i="1"/>
  <c r="H68" i="1"/>
  <c r="I68" i="1" s="1"/>
  <c r="M68" i="1" s="1"/>
  <c r="F68" i="1"/>
  <c r="E68" i="1"/>
  <c r="C68" i="1"/>
  <c r="A68" i="1"/>
  <c r="T67" i="1"/>
  <c r="L67" i="1"/>
  <c r="K67" i="1"/>
  <c r="H67" i="1"/>
  <c r="F67" i="1"/>
  <c r="E67" i="1"/>
  <c r="I67" i="1" s="1"/>
  <c r="M67" i="1" s="1"/>
  <c r="C67" i="1"/>
  <c r="A67" i="1"/>
  <c r="T66" i="1"/>
  <c r="L66" i="1"/>
  <c r="K66" i="1"/>
  <c r="H66" i="1"/>
  <c r="I66" i="1" s="1"/>
  <c r="M66" i="1" s="1"/>
  <c r="F66" i="1"/>
  <c r="E66" i="1"/>
  <c r="C66" i="1"/>
  <c r="A66" i="1"/>
  <c r="T65" i="1"/>
  <c r="L65" i="1"/>
  <c r="K65" i="1"/>
  <c r="I65" i="1"/>
  <c r="M65" i="1" s="1"/>
  <c r="H65" i="1"/>
  <c r="F65" i="1"/>
  <c r="E65" i="1"/>
  <c r="C65" i="1"/>
  <c r="A65" i="1"/>
  <c r="T64" i="1"/>
  <c r="M64" i="1"/>
  <c r="L64" i="1"/>
  <c r="K64" i="1"/>
  <c r="I64" i="1"/>
  <c r="H64" i="1"/>
  <c r="F64" i="1"/>
  <c r="E64" i="1"/>
  <c r="C64" i="1"/>
  <c r="A64" i="1"/>
  <c r="T63" i="1"/>
  <c r="L63" i="1"/>
  <c r="K63" i="1"/>
  <c r="H63" i="1"/>
  <c r="I63" i="1" s="1"/>
  <c r="M63" i="1" s="1"/>
  <c r="F63" i="1"/>
  <c r="E63" i="1"/>
  <c r="C63" i="1"/>
  <c r="A63" i="1"/>
  <c r="T62" i="1"/>
  <c r="L62" i="1"/>
  <c r="K62" i="1"/>
  <c r="H62" i="1"/>
  <c r="F62" i="1"/>
  <c r="E62" i="1"/>
  <c r="C62" i="1"/>
  <c r="A62" i="1"/>
  <c r="T61" i="1"/>
  <c r="L61" i="1"/>
  <c r="K61" i="1"/>
  <c r="I61" i="1"/>
  <c r="M61" i="1" s="1"/>
  <c r="H61" i="1"/>
  <c r="F61" i="1"/>
  <c r="E61" i="1"/>
  <c r="C61" i="1"/>
  <c r="A61" i="1"/>
  <c r="T60" i="1"/>
  <c r="L60" i="1"/>
  <c r="K60" i="1"/>
  <c r="I60" i="1"/>
  <c r="M60" i="1" s="1"/>
  <c r="H60" i="1"/>
  <c r="F60" i="1"/>
  <c r="E60" i="1"/>
  <c r="C60" i="1"/>
  <c r="A60" i="1"/>
  <c r="T59" i="1"/>
  <c r="M59" i="1"/>
  <c r="L59" i="1"/>
  <c r="K59" i="1"/>
  <c r="I59" i="1"/>
  <c r="H59" i="1"/>
  <c r="F59" i="1"/>
  <c r="E59" i="1"/>
  <c r="C59" i="1"/>
  <c r="A59" i="1"/>
  <c r="T58" i="1"/>
  <c r="L58" i="1"/>
  <c r="K58" i="1"/>
  <c r="H58" i="1"/>
  <c r="F58" i="1"/>
  <c r="E58" i="1"/>
  <c r="C58" i="1"/>
  <c r="A58" i="1"/>
  <c r="T57" i="1"/>
  <c r="L57" i="1"/>
  <c r="K57" i="1"/>
  <c r="H57" i="1"/>
  <c r="F57" i="1"/>
  <c r="E57" i="1"/>
  <c r="C57" i="1"/>
  <c r="A57" i="1"/>
  <c r="T56" i="1"/>
  <c r="L56" i="1"/>
  <c r="K56" i="1"/>
  <c r="H56" i="1"/>
  <c r="I56" i="1" s="1"/>
  <c r="M56" i="1" s="1"/>
  <c r="F56" i="1"/>
  <c r="E56" i="1"/>
  <c r="C56" i="1"/>
  <c r="A56" i="1"/>
  <c r="T55" i="1"/>
  <c r="L55" i="1"/>
  <c r="K55" i="1"/>
  <c r="I55" i="1"/>
  <c r="M55" i="1" s="1"/>
  <c r="H55" i="1"/>
  <c r="F55" i="1"/>
  <c r="E55" i="1"/>
  <c r="C55" i="1"/>
  <c r="A55" i="1"/>
  <c r="T54" i="1"/>
  <c r="M54" i="1"/>
  <c r="L54" i="1"/>
  <c r="K54" i="1"/>
  <c r="H54" i="1"/>
  <c r="I54" i="1" s="1"/>
  <c r="F54" i="1"/>
  <c r="E54" i="1"/>
  <c r="C54" i="1"/>
  <c r="A54" i="1"/>
  <c r="T53" i="1"/>
  <c r="L53" i="1"/>
  <c r="K53" i="1"/>
  <c r="H53" i="1"/>
  <c r="F53" i="1"/>
  <c r="E53" i="1"/>
  <c r="I53" i="1" s="1"/>
  <c r="M53" i="1" s="1"/>
  <c r="C53" i="1"/>
  <c r="A53" i="1"/>
  <c r="T52" i="1"/>
  <c r="L52" i="1"/>
  <c r="K52" i="1"/>
  <c r="H52" i="1"/>
  <c r="I52" i="1" s="1"/>
  <c r="M52" i="1" s="1"/>
  <c r="F52" i="1"/>
  <c r="E52" i="1"/>
  <c r="C52" i="1"/>
  <c r="A52" i="1"/>
  <c r="T51" i="1"/>
  <c r="L51" i="1"/>
  <c r="K51" i="1"/>
  <c r="H51" i="1"/>
  <c r="I51" i="1" s="1"/>
  <c r="M51" i="1" s="1"/>
  <c r="F51" i="1"/>
  <c r="E51" i="1"/>
  <c r="C51" i="1"/>
  <c r="A51" i="1"/>
  <c r="T50" i="1"/>
  <c r="L50" i="1"/>
  <c r="K50" i="1"/>
  <c r="H50" i="1"/>
  <c r="I50" i="1" s="1"/>
  <c r="M50" i="1" s="1"/>
  <c r="F50" i="1"/>
  <c r="E50" i="1"/>
  <c r="C50" i="1"/>
  <c r="A50" i="1"/>
  <c r="T49" i="1"/>
  <c r="L49" i="1"/>
  <c r="K49" i="1"/>
  <c r="H49" i="1"/>
  <c r="I49" i="1" s="1"/>
  <c r="M49" i="1" s="1"/>
  <c r="F49" i="1"/>
  <c r="E49" i="1"/>
  <c r="C49" i="1"/>
  <c r="A49" i="1"/>
  <c r="T48" i="1"/>
  <c r="L48" i="1"/>
  <c r="K48" i="1"/>
  <c r="H48" i="1"/>
  <c r="F48" i="1"/>
  <c r="E48" i="1"/>
  <c r="C48" i="1"/>
  <c r="A48" i="1"/>
  <c r="T47" i="1"/>
  <c r="L47" i="1"/>
  <c r="K47" i="1"/>
  <c r="H47" i="1"/>
  <c r="I47" i="1" s="1"/>
  <c r="M47" i="1" s="1"/>
  <c r="F47" i="1"/>
  <c r="E47" i="1"/>
  <c r="C47" i="1"/>
  <c r="A47" i="1"/>
  <c r="T46" i="1"/>
  <c r="L46" i="1"/>
  <c r="K46" i="1"/>
  <c r="H46" i="1"/>
  <c r="F46" i="1"/>
  <c r="E46" i="1"/>
  <c r="C46" i="1"/>
  <c r="A46" i="1"/>
  <c r="T45" i="1"/>
  <c r="L45" i="1"/>
  <c r="K45" i="1"/>
  <c r="I45" i="1"/>
  <c r="M45" i="1" s="1"/>
  <c r="H45" i="1"/>
  <c r="F45" i="1"/>
  <c r="E45" i="1"/>
  <c r="C45" i="1"/>
  <c r="A45" i="1"/>
  <c r="T44" i="1"/>
  <c r="M44" i="1"/>
  <c r="L44" i="1"/>
  <c r="K44" i="1"/>
  <c r="I44" i="1"/>
  <c r="H44" i="1"/>
  <c r="F44" i="1"/>
  <c r="E44" i="1"/>
  <c r="C44" i="1"/>
  <c r="A44" i="1"/>
  <c r="T43" i="1"/>
  <c r="L43" i="1"/>
  <c r="K43" i="1"/>
  <c r="H43" i="1"/>
  <c r="I43" i="1" s="1"/>
  <c r="M43" i="1" s="1"/>
  <c r="F43" i="1"/>
  <c r="E43" i="1"/>
  <c r="C43" i="1"/>
  <c r="A43" i="1"/>
  <c r="T42" i="1"/>
  <c r="L42" i="1"/>
  <c r="K42" i="1"/>
  <c r="H42" i="1"/>
  <c r="F42" i="1"/>
  <c r="E42" i="1"/>
  <c r="C42" i="1"/>
  <c r="A42" i="1"/>
  <c r="T41" i="1"/>
  <c r="L41" i="1"/>
  <c r="K41" i="1"/>
  <c r="H41" i="1"/>
  <c r="I41" i="1" s="1"/>
  <c r="M41" i="1" s="1"/>
  <c r="F41" i="1"/>
  <c r="E41" i="1"/>
  <c r="C41" i="1"/>
  <c r="A41" i="1"/>
  <c r="T40" i="1"/>
  <c r="L40" i="1"/>
  <c r="K40" i="1"/>
  <c r="I40" i="1"/>
  <c r="M40" i="1" s="1"/>
  <c r="H40" i="1"/>
  <c r="F40" i="1"/>
  <c r="E40" i="1"/>
  <c r="C40" i="1"/>
  <c r="A40" i="1"/>
  <c r="T39" i="1"/>
  <c r="M39" i="1"/>
  <c r="L39" i="1"/>
  <c r="K39" i="1"/>
  <c r="H39" i="1"/>
  <c r="I39" i="1" s="1"/>
  <c r="F39" i="1"/>
  <c r="E39" i="1"/>
  <c r="C39" i="1"/>
  <c r="A39" i="1"/>
  <c r="T38" i="1"/>
  <c r="M38" i="1"/>
  <c r="L38" i="1"/>
  <c r="K38" i="1"/>
  <c r="H38" i="1"/>
  <c r="I38" i="1" s="1"/>
  <c r="F38" i="1"/>
  <c r="E38" i="1"/>
  <c r="C38" i="1"/>
  <c r="A38" i="1"/>
  <c r="T37" i="1"/>
  <c r="L37" i="1"/>
  <c r="K37" i="1"/>
  <c r="I37" i="1"/>
  <c r="M37" i="1" s="1"/>
  <c r="H37" i="1"/>
  <c r="F37" i="1"/>
  <c r="E37" i="1"/>
  <c r="C37" i="1"/>
  <c r="A37" i="1"/>
  <c r="T36" i="1"/>
  <c r="L36" i="1"/>
  <c r="K36" i="1"/>
  <c r="H36" i="1"/>
  <c r="I36" i="1" s="1"/>
  <c r="M36" i="1" s="1"/>
  <c r="F36" i="1"/>
  <c r="E36" i="1"/>
  <c r="C36" i="1"/>
  <c r="A36" i="1"/>
  <c r="T35" i="1"/>
  <c r="L35" i="1"/>
  <c r="K35" i="1"/>
  <c r="I35" i="1"/>
  <c r="M35" i="1" s="1"/>
  <c r="H35" i="1"/>
  <c r="F35" i="1"/>
  <c r="E35" i="1"/>
  <c r="C35" i="1"/>
  <c r="A35" i="1"/>
  <c r="T34" i="1"/>
  <c r="L34" i="1"/>
  <c r="K34" i="1"/>
  <c r="H34" i="1"/>
  <c r="I34" i="1" s="1"/>
  <c r="M34" i="1" s="1"/>
  <c r="F34" i="1"/>
  <c r="E34" i="1"/>
  <c r="C34" i="1"/>
  <c r="A34" i="1"/>
  <c r="T33" i="1"/>
  <c r="L33" i="1"/>
  <c r="K33" i="1"/>
  <c r="H33" i="1"/>
  <c r="I33" i="1" s="1"/>
  <c r="M33" i="1" s="1"/>
  <c r="F33" i="1"/>
  <c r="E33" i="1"/>
  <c r="C33" i="1"/>
  <c r="A33" i="1"/>
  <c r="T32" i="1"/>
  <c r="L32" i="1"/>
  <c r="K32" i="1"/>
  <c r="H32" i="1"/>
  <c r="I32" i="1" s="1"/>
  <c r="M32" i="1" s="1"/>
  <c r="F32" i="1"/>
  <c r="E32" i="1"/>
  <c r="C32" i="1"/>
  <c r="A32" i="1"/>
  <c r="T31" i="1"/>
  <c r="L31" i="1"/>
  <c r="K31" i="1"/>
  <c r="H31" i="1"/>
  <c r="I31" i="1" s="1"/>
  <c r="M31" i="1" s="1"/>
  <c r="F31" i="1"/>
  <c r="E31" i="1"/>
  <c r="C31" i="1"/>
  <c r="A31" i="1"/>
  <c r="T30" i="1"/>
  <c r="L30" i="1"/>
  <c r="K30" i="1"/>
  <c r="H30" i="1"/>
  <c r="F30" i="1"/>
  <c r="E30" i="1"/>
  <c r="C30" i="1"/>
  <c r="A30" i="1"/>
  <c r="T29" i="1"/>
  <c r="L29" i="1"/>
  <c r="K29" i="1"/>
  <c r="I29" i="1"/>
  <c r="M29" i="1" s="1"/>
  <c r="H29" i="1"/>
  <c r="F29" i="1"/>
  <c r="E29" i="1"/>
  <c r="C29" i="1"/>
  <c r="A29" i="1"/>
  <c r="T28" i="1"/>
  <c r="L28" i="1"/>
  <c r="K28" i="1"/>
  <c r="H28" i="1"/>
  <c r="I28" i="1" s="1"/>
  <c r="M28" i="1" s="1"/>
  <c r="F28" i="1"/>
  <c r="E28" i="1"/>
  <c r="C28" i="1"/>
  <c r="A28" i="1"/>
  <c r="T27" i="1"/>
  <c r="L27" i="1"/>
  <c r="K27" i="1"/>
  <c r="H27" i="1"/>
  <c r="I27" i="1" s="1"/>
  <c r="M27" i="1" s="1"/>
  <c r="F27" i="1"/>
  <c r="E27" i="1"/>
  <c r="C27" i="1"/>
  <c r="A27" i="1"/>
  <c r="T26" i="1"/>
  <c r="L26" i="1"/>
  <c r="K26" i="1"/>
  <c r="H26" i="1"/>
  <c r="F26" i="1"/>
  <c r="E26" i="1"/>
  <c r="C26" i="1"/>
  <c r="A26" i="1"/>
  <c r="T25" i="1"/>
  <c r="L25" i="1"/>
  <c r="K25" i="1"/>
  <c r="H25" i="1"/>
  <c r="F25" i="1"/>
  <c r="E25" i="1"/>
  <c r="C25" i="1"/>
  <c r="A25" i="1"/>
  <c r="T24" i="1"/>
  <c r="L24" i="1"/>
  <c r="K24" i="1"/>
  <c r="I24" i="1"/>
  <c r="M24" i="1" s="1"/>
  <c r="H24" i="1"/>
  <c r="F24" i="1"/>
  <c r="E24" i="1"/>
  <c r="C24" i="1"/>
  <c r="A24" i="1"/>
  <c r="T23" i="1"/>
  <c r="L23" i="1"/>
  <c r="K23" i="1"/>
  <c r="H23" i="1"/>
  <c r="I23" i="1" s="1"/>
  <c r="M23" i="1" s="1"/>
  <c r="F23" i="1"/>
  <c r="E23" i="1"/>
  <c r="C23" i="1"/>
  <c r="A23" i="1"/>
  <c r="T22" i="1"/>
  <c r="M22" i="1"/>
  <c r="L22" i="1"/>
  <c r="K22" i="1"/>
  <c r="H22" i="1"/>
  <c r="I22" i="1" s="1"/>
  <c r="F22" i="1"/>
  <c r="E22" i="1"/>
  <c r="C22" i="1"/>
  <c r="A22" i="1"/>
  <c r="T21" i="1"/>
  <c r="L21" i="1"/>
  <c r="K21" i="1"/>
  <c r="H21" i="1"/>
  <c r="F21" i="1"/>
  <c r="E21" i="1"/>
  <c r="I21" i="1" s="1"/>
  <c r="M21" i="1" s="1"/>
  <c r="C21" i="1"/>
  <c r="A21" i="1"/>
  <c r="T20" i="1"/>
  <c r="L20" i="1"/>
  <c r="K20" i="1"/>
  <c r="H20" i="1"/>
  <c r="I20" i="1" s="1"/>
  <c r="M20" i="1" s="1"/>
  <c r="F20" i="1"/>
  <c r="E20" i="1"/>
  <c r="C20" i="1"/>
  <c r="A20" i="1"/>
  <c r="T19" i="1"/>
  <c r="L19" i="1"/>
  <c r="K19" i="1"/>
  <c r="I19" i="1"/>
  <c r="M19" i="1" s="1"/>
  <c r="H19" i="1"/>
  <c r="F19" i="1"/>
  <c r="E19" i="1"/>
  <c r="C19" i="1"/>
  <c r="A19" i="1"/>
  <c r="T18" i="1"/>
  <c r="M18" i="1"/>
  <c r="L18" i="1"/>
  <c r="K18" i="1"/>
  <c r="H18" i="1"/>
  <c r="I18" i="1" s="1"/>
  <c r="F18" i="1"/>
  <c r="E18" i="1"/>
  <c r="C18" i="1"/>
  <c r="A18" i="1"/>
  <c r="T17" i="1"/>
  <c r="M17" i="1"/>
  <c r="L17" i="1"/>
  <c r="K17" i="1"/>
  <c r="I17" i="1"/>
  <c r="H17" i="1"/>
  <c r="F17" i="1"/>
  <c r="E17" i="1"/>
  <c r="C17" i="1"/>
  <c r="A17" i="1"/>
  <c r="T16" i="1"/>
  <c r="L16" i="1"/>
  <c r="K16" i="1"/>
  <c r="H16" i="1"/>
  <c r="F16" i="1"/>
  <c r="E16" i="1"/>
  <c r="C16" i="1"/>
  <c r="A16" i="1"/>
  <c r="T15" i="1"/>
  <c r="L15" i="1"/>
  <c r="K15" i="1"/>
  <c r="H15" i="1"/>
  <c r="I15" i="1" s="1"/>
  <c r="M15" i="1" s="1"/>
  <c r="F15" i="1"/>
  <c r="E15" i="1"/>
  <c r="C15" i="1"/>
  <c r="A15" i="1"/>
  <c r="T14" i="1"/>
  <c r="L14" i="1"/>
  <c r="K14" i="1"/>
  <c r="H14" i="1"/>
  <c r="I14" i="1" s="1"/>
  <c r="M14" i="1" s="1"/>
  <c r="F14" i="1"/>
  <c r="E14" i="1"/>
  <c r="C14" i="1"/>
  <c r="A14" i="1"/>
  <c r="T13" i="1"/>
  <c r="L13" i="1"/>
  <c r="K13" i="1"/>
  <c r="I13" i="1"/>
  <c r="M13" i="1" s="1"/>
  <c r="H13" i="1"/>
  <c r="F13" i="1"/>
  <c r="E13" i="1"/>
  <c r="C13" i="1"/>
  <c r="A13" i="1"/>
  <c r="T12" i="1"/>
  <c r="M12" i="1"/>
  <c r="L12" i="1"/>
  <c r="K12" i="1"/>
  <c r="I12" i="1"/>
  <c r="H12" i="1"/>
  <c r="F12" i="1"/>
  <c r="E12" i="1"/>
  <c r="C12" i="1"/>
  <c r="A12" i="1"/>
  <c r="T11" i="1"/>
  <c r="L11" i="1"/>
  <c r="K11" i="1"/>
  <c r="H11" i="1"/>
  <c r="I11" i="1" s="1"/>
  <c r="M11" i="1" s="1"/>
  <c r="F11" i="1"/>
  <c r="E11" i="1"/>
  <c r="C11" i="1"/>
  <c r="A11" i="1"/>
  <c r="T10" i="1"/>
  <c r="L10" i="1"/>
  <c r="K10" i="1"/>
  <c r="H10" i="1"/>
  <c r="F10" i="1"/>
  <c r="E10" i="1"/>
  <c r="C10" i="1"/>
  <c r="A10" i="1"/>
  <c r="T9" i="1"/>
  <c r="L9" i="1"/>
  <c r="K9" i="1"/>
  <c r="H9" i="1"/>
  <c r="I9" i="1" s="1"/>
  <c r="M9" i="1" s="1"/>
  <c r="F9" i="1"/>
  <c r="E9" i="1"/>
  <c r="C9" i="1"/>
  <c r="A9" i="1"/>
  <c r="T8" i="1"/>
  <c r="L8" i="1"/>
  <c r="K8" i="1"/>
  <c r="I8" i="1"/>
  <c r="M8" i="1" s="1"/>
  <c r="H8" i="1"/>
  <c r="F8" i="1"/>
  <c r="E8" i="1"/>
  <c r="C8" i="1"/>
  <c r="A8" i="1"/>
  <c r="T7" i="1"/>
  <c r="K7" i="1"/>
  <c r="L7" i="1" s="1"/>
  <c r="H7" i="1"/>
  <c r="C7" i="1"/>
  <c r="A7" i="1"/>
  <c r="T6" i="1"/>
  <c r="L6" i="1"/>
  <c r="K6" i="1"/>
  <c r="H6" i="1"/>
  <c r="I6" i="1" s="1"/>
  <c r="F6" i="1"/>
  <c r="C6" i="1"/>
  <c r="A6" i="1"/>
  <c r="T5" i="1"/>
  <c r="L5" i="1"/>
  <c r="K5" i="1"/>
  <c r="H5" i="1"/>
  <c r="I5" i="1" s="1"/>
  <c r="F5" i="1"/>
  <c r="E5" i="1"/>
  <c r="C5" i="1"/>
  <c r="A5" i="1"/>
  <c r="E3" i="1"/>
  <c r="F2" i="1"/>
  <c r="D2" i="1"/>
  <c r="A2" i="1"/>
  <c r="I7" i="1" l="1"/>
  <c r="M7" i="1" s="1"/>
  <c r="F7" i="1"/>
  <c r="M6" i="1"/>
  <c r="M5" i="1"/>
  <c r="F297" i="1"/>
  <c r="F204" i="1"/>
  <c r="F412" i="1"/>
  <c r="F476" i="1"/>
  <c r="N263" i="1"/>
  <c r="J263" i="1" s="1"/>
  <c r="F263" i="1" s="1"/>
  <c r="I263" i="1"/>
  <c r="I270" i="1"/>
  <c r="I375" i="1"/>
  <c r="N375" i="1" s="1"/>
  <c r="J375" i="1" s="1"/>
  <c r="N164" i="1"/>
  <c r="J164" i="1" s="1"/>
  <c r="F164" i="1" s="1"/>
  <c r="I171" i="1"/>
  <c r="F183" i="1"/>
  <c r="I186" i="1"/>
  <c r="J189" i="1"/>
  <c r="I206" i="1"/>
  <c r="N208" i="1"/>
  <c r="J208" i="1" s="1"/>
  <c r="F208" i="1" s="1"/>
  <c r="I226" i="1"/>
  <c r="J246" i="1"/>
  <c r="F246" i="1"/>
  <c r="N246" i="1"/>
  <c r="F251" i="1"/>
  <c r="J251" i="1"/>
  <c r="I266" i="1"/>
  <c r="N266" i="1"/>
  <c r="J266" i="1" s="1"/>
  <c r="F266" i="1" s="1"/>
  <c r="I279" i="1"/>
  <c r="F281" i="1"/>
  <c r="N284" i="1"/>
  <c r="J284" i="1" s="1"/>
  <c r="F284" i="1" s="1"/>
  <c r="F303" i="1"/>
  <c r="N303" i="1"/>
  <c r="J303" i="1" s="1"/>
  <c r="F305" i="1"/>
  <c r="I314" i="1"/>
  <c r="N320" i="1"/>
  <c r="J320" i="1" s="1"/>
  <c r="F320" i="1" s="1"/>
  <c r="N327" i="1"/>
  <c r="J327" i="1" s="1"/>
  <c r="I327" i="1"/>
  <c r="I334" i="1"/>
  <c r="I351" i="1"/>
  <c r="N359" i="1"/>
  <c r="J359" i="1" s="1"/>
  <c r="I359" i="1"/>
  <c r="F361" i="1"/>
  <c r="J363" i="1"/>
  <c r="F363" i="1" s="1"/>
  <c r="N372" i="1"/>
  <c r="J372" i="1" s="1"/>
  <c r="I386" i="1"/>
  <c r="N386" i="1" s="1"/>
  <c r="J386" i="1" s="1"/>
  <c r="F386" i="1"/>
  <c r="F391" i="1"/>
  <c r="N391" i="1"/>
  <c r="J391" i="1" s="1"/>
  <c r="I391" i="1"/>
  <c r="N412" i="1"/>
  <c r="J412" i="1" s="1"/>
  <c r="I422" i="1"/>
  <c r="F433" i="1"/>
  <c r="N439" i="1"/>
  <c r="J439" i="1" s="1"/>
  <c r="I439" i="1"/>
  <c r="N446" i="1"/>
  <c r="J446" i="1" s="1"/>
  <c r="I446" i="1"/>
  <c r="F446" i="1" s="1"/>
  <c r="I458" i="1"/>
  <c r="I462" i="1"/>
  <c r="N462" i="1" s="1"/>
  <c r="J462" i="1" s="1"/>
  <c r="F473" i="1"/>
  <c r="N473" i="1"/>
  <c r="J473" i="1" s="1"/>
  <c r="F484" i="1"/>
  <c r="N508" i="1"/>
  <c r="J508" i="1" s="1"/>
  <c r="F508" i="1" s="1"/>
  <c r="J526" i="1"/>
  <c r="F526" i="1" s="1"/>
  <c r="N526" i="1"/>
  <c r="I526" i="1"/>
  <c r="N563" i="1"/>
  <c r="I158" i="1"/>
  <c r="F158" i="1" s="1"/>
  <c r="N160" i="1"/>
  <c r="J160" i="1"/>
  <c r="F160" i="1" s="1"/>
  <c r="I178" i="1"/>
  <c r="J198" i="1"/>
  <c r="F198" i="1" s="1"/>
  <c r="N198" i="1"/>
  <c r="J203" i="1"/>
  <c r="F203" i="1" s="1"/>
  <c r="I221" i="1"/>
  <c r="N221" i="1" s="1"/>
  <c r="J221" i="1" s="1"/>
  <c r="N223" i="1"/>
  <c r="J223" i="1" s="1"/>
  <c r="F223" i="1" s="1"/>
  <c r="F225" i="1"/>
  <c r="F233" i="1"/>
  <c r="F289" i="1"/>
  <c r="I294" i="1"/>
  <c r="N297" i="1"/>
  <c r="J297" i="1" s="1"/>
  <c r="I318" i="1"/>
  <c r="I338" i="1"/>
  <c r="N338" i="1" s="1"/>
  <c r="J338" i="1" s="1"/>
  <c r="F340" i="1"/>
  <c r="I349" i="1"/>
  <c r="F369" i="1"/>
  <c r="F377" i="1"/>
  <c r="N377" i="1"/>
  <c r="J377" i="1" s="1"/>
  <c r="N393" i="1"/>
  <c r="J393" i="1" s="1"/>
  <c r="F393" i="1" s="1"/>
  <c r="N471" i="1"/>
  <c r="J471" i="1"/>
  <c r="I471" i="1"/>
  <c r="I478" i="1"/>
  <c r="I482" i="1"/>
  <c r="N482" i="1" s="1"/>
  <c r="J482" i="1" s="1"/>
  <c r="I487" i="1"/>
  <c r="N489" i="1"/>
  <c r="J489" i="1" s="1"/>
  <c r="F489" i="1" s="1"/>
  <c r="F502" i="1"/>
  <c r="F519" i="1"/>
  <c r="N519" i="1"/>
  <c r="J519" i="1" s="1"/>
  <c r="I519" i="1"/>
  <c r="N540" i="1"/>
  <c r="J540" i="1" s="1"/>
  <c r="F540" i="1" s="1"/>
  <c r="I546" i="1"/>
  <c r="I402" i="1"/>
  <c r="N402" i="1"/>
  <c r="J402" i="1" s="1"/>
  <c r="F402" i="1" s="1"/>
  <c r="F420" i="1"/>
  <c r="I447" i="1"/>
  <c r="I498" i="1"/>
  <c r="N500" i="1"/>
  <c r="J500" i="1" s="1"/>
  <c r="F500" i="1" s="1"/>
  <c r="N543" i="1"/>
  <c r="I190" i="1"/>
  <c r="I285" i="1"/>
  <c r="N285" i="1"/>
  <c r="I311" i="1"/>
  <c r="N311" i="1" s="1"/>
  <c r="J311" i="1" s="1"/>
  <c r="I346" i="1"/>
  <c r="F346" i="1"/>
  <c r="N346" i="1"/>
  <c r="J346" i="1" s="1"/>
  <c r="I394" i="1"/>
  <c r="N394" i="1"/>
  <c r="J394" i="1"/>
  <c r="F394" i="1"/>
  <c r="J398" i="1"/>
  <c r="F398" i="1" s="1"/>
  <c r="N398" i="1"/>
  <c r="I398" i="1"/>
  <c r="N404" i="1"/>
  <c r="J404" i="1" s="1"/>
  <c r="F404" i="1" s="1"/>
  <c r="I418" i="1"/>
  <c r="N420" i="1"/>
  <c r="J420" i="1" s="1"/>
  <c r="I423" i="1"/>
  <c r="N427" i="1"/>
  <c r="N444" i="1"/>
  <c r="J444" i="1" s="1"/>
  <c r="F444" i="1" s="1"/>
  <c r="I454" i="1"/>
  <c r="N479" i="1"/>
  <c r="J479" i="1" s="1"/>
  <c r="I479" i="1"/>
  <c r="F479" i="1" s="1"/>
  <c r="I490" i="1"/>
  <c r="N490" i="1"/>
  <c r="J490" i="1"/>
  <c r="F490" i="1"/>
  <c r="J494" i="1"/>
  <c r="F494" i="1" s="1"/>
  <c r="N494" i="1"/>
  <c r="I494" i="1"/>
  <c r="F505" i="1"/>
  <c r="N505" i="1"/>
  <c r="J505" i="1" s="1"/>
  <c r="N516" i="1"/>
  <c r="J516" i="1" s="1"/>
  <c r="F516" i="1" s="1"/>
  <c r="I522" i="1"/>
  <c r="N529" i="1"/>
  <c r="J529" i="1" s="1"/>
  <c r="F529" i="1" s="1"/>
  <c r="N287" i="1"/>
  <c r="J287" i="1" s="1"/>
  <c r="F287" i="1" s="1"/>
  <c r="I287" i="1"/>
  <c r="J285" i="1"/>
  <c r="N307" i="1"/>
  <c r="I326" i="1"/>
  <c r="N329" i="1"/>
  <c r="J329" i="1" s="1"/>
  <c r="F329" i="1" s="1"/>
  <c r="I335" i="1"/>
  <c r="N335" i="1" s="1"/>
  <c r="N340" i="1"/>
  <c r="J340" i="1" s="1"/>
  <c r="I350" i="1"/>
  <c r="I352" i="1"/>
  <c r="N358" i="1"/>
  <c r="J358" i="1" s="1"/>
  <c r="I358" i="1"/>
  <c r="F358" i="1" s="1"/>
  <c r="I383" i="1"/>
  <c r="N387" i="1"/>
  <c r="F409" i="1"/>
  <c r="N409" i="1"/>
  <c r="J409" i="1" s="1"/>
  <c r="N425" i="1"/>
  <c r="J425" i="1" s="1"/>
  <c r="F425" i="1" s="1"/>
  <c r="F463" i="1"/>
  <c r="N476" i="1"/>
  <c r="J476" i="1" s="1"/>
  <c r="I503" i="1"/>
  <c r="N589" i="1"/>
  <c r="J589" i="1" s="1"/>
  <c r="F589" i="1" s="1"/>
  <c r="I589" i="1"/>
  <c r="N175" i="1"/>
  <c r="I218" i="1"/>
  <c r="N240" i="1"/>
  <c r="F240" i="1"/>
  <c r="J240" i="1"/>
  <c r="I258" i="1"/>
  <c r="I322" i="1"/>
  <c r="I25" i="1"/>
  <c r="M25" i="1" s="1"/>
  <c r="N158" i="1"/>
  <c r="J158" i="1" s="1"/>
  <c r="I240" i="1"/>
  <c r="I253" i="1"/>
  <c r="I274" i="1"/>
  <c r="N274" i="1" s="1"/>
  <c r="J274" i="1" s="1"/>
  <c r="N283" i="1"/>
  <c r="I298" i="1"/>
  <c r="N298" i="1"/>
  <c r="J298" i="1" s="1"/>
  <c r="I342" i="1"/>
  <c r="N342" i="1" s="1"/>
  <c r="J342" i="1" s="1"/>
  <c r="I26" i="1"/>
  <c r="M26" i="1" s="1"/>
  <c r="I57" i="1"/>
  <c r="M57" i="1" s="1"/>
  <c r="I78" i="1"/>
  <c r="M78" i="1" s="1"/>
  <c r="I130" i="1"/>
  <c r="M130" i="1" s="1"/>
  <c r="I146" i="1"/>
  <c r="M146" i="1" s="1"/>
  <c r="I162" i="1"/>
  <c r="I205" i="1"/>
  <c r="N205" i="1" s="1"/>
  <c r="J205" i="1" s="1"/>
  <c r="N228" i="1"/>
  <c r="J228" i="1" s="1"/>
  <c r="F228" i="1" s="1"/>
  <c r="I250" i="1"/>
  <c r="N250" i="1"/>
  <c r="J250" i="1" s="1"/>
  <c r="I255" i="1"/>
  <c r="N258" i="1"/>
  <c r="J258" i="1" s="1"/>
  <c r="I267" i="1"/>
  <c r="I16" i="1"/>
  <c r="I42" i="1"/>
  <c r="M42" i="1" s="1"/>
  <c r="I58" i="1"/>
  <c r="M58" i="1" s="1"/>
  <c r="I89" i="1"/>
  <c r="M89" i="1" s="1"/>
  <c r="I110" i="1"/>
  <c r="M110" i="1" s="1"/>
  <c r="I157" i="1"/>
  <c r="N157" i="1" s="1"/>
  <c r="F161" i="1"/>
  <c r="J167" i="1"/>
  <c r="F167" i="1" s="1"/>
  <c r="N180" i="1"/>
  <c r="J180" i="1" s="1"/>
  <c r="F180" i="1" s="1"/>
  <c r="I187" i="1"/>
  <c r="N190" i="1"/>
  <c r="J190" i="1" s="1"/>
  <c r="I202" i="1"/>
  <c r="N202" i="1"/>
  <c r="J202" i="1" s="1"/>
  <c r="N215" i="1"/>
  <c r="J215" i="1" s="1"/>
  <c r="F215" i="1" s="1"/>
  <c r="I222" i="1"/>
  <c r="N224" i="1"/>
  <c r="J224" i="1"/>
  <c r="F224" i="1" s="1"/>
  <c r="I242" i="1"/>
  <c r="N271" i="1"/>
  <c r="J271" i="1" s="1"/>
  <c r="F271" i="1" s="1"/>
  <c r="F273" i="1"/>
  <c r="I278" i="1"/>
  <c r="I282" i="1"/>
  <c r="N288" i="1"/>
  <c r="J288" i="1"/>
  <c r="F288" i="1" s="1"/>
  <c r="N291" i="1"/>
  <c r="N295" i="1"/>
  <c r="J295" i="1" s="1"/>
  <c r="I295" i="1"/>
  <c r="I302" i="1"/>
  <c r="I319" i="1"/>
  <c r="N324" i="1"/>
  <c r="J324" i="1" s="1"/>
  <c r="F324" i="1" s="1"/>
  <c r="J335" i="1"/>
  <c r="I354" i="1"/>
  <c r="F356" i="1"/>
  <c r="I362" i="1"/>
  <c r="N362" i="1"/>
  <c r="J362" i="1"/>
  <c r="F362" i="1" s="1"/>
  <c r="N380" i="1"/>
  <c r="J380" i="1" s="1"/>
  <c r="F380" i="1" s="1"/>
  <c r="J390" i="1"/>
  <c r="N390" i="1"/>
  <c r="I390" i="1"/>
  <c r="F390" i="1"/>
  <c r="F401" i="1"/>
  <c r="N407" i="1"/>
  <c r="J407" i="1" s="1"/>
  <c r="F407" i="1" s="1"/>
  <c r="I407" i="1"/>
  <c r="I414" i="1"/>
  <c r="N414" i="1" s="1"/>
  <c r="J414" i="1" s="1"/>
  <c r="F414" i="1" s="1"/>
  <c r="I434" i="1"/>
  <c r="N434" i="1"/>
  <c r="J434" i="1" s="1"/>
  <c r="N459" i="1"/>
  <c r="N483" i="1"/>
  <c r="F497" i="1"/>
  <c r="I530" i="1"/>
  <c r="N537" i="1"/>
  <c r="J537" i="1" s="1"/>
  <c r="F537" i="1" s="1"/>
  <c r="I173" i="1"/>
  <c r="N173" i="1"/>
  <c r="J173" i="1" s="1"/>
  <c r="I238" i="1"/>
  <c r="I382" i="1"/>
  <c r="I46" i="1"/>
  <c r="M46" i="1" s="1"/>
  <c r="I98" i="1"/>
  <c r="M98" i="1" s="1"/>
  <c r="I114" i="1"/>
  <c r="M114" i="1" s="1"/>
  <c r="I135" i="1"/>
  <c r="M135" i="1" s="1"/>
  <c r="N192" i="1"/>
  <c r="F192" i="1"/>
  <c r="J192" i="1"/>
  <c r="N203" i="1"/>
  <c r="N316" i="1"/>
  <c r="J316" i="1" s="1"/>
  <c r="F316" i="1" s="1"/>
  <c r="N331" i="1"/>
  <c r="J331" i="1" s="1"/>
  <c r="F331" i="1" s="1"/>
  <c r="I10" i="1"/>
  <c r="M10" i="1" s="1"/>
  <c r="J175" i="1"/>
  <c r="J182" i="1"/>
  <c r="F182" i="1" s="1"/>
  <c r="N182" i="1"/>
  <c r="N188" i="1"/>
  <c r="J188" i="1" s="1"/>
  <c r="F188" i="1" s="1"/>
  <c r="N207" i="1"/>
  <c r="J207" i="1" s="1"/>
  <c r="F207" i="1" s="1"/>
  <c r="I230" i="1"/>
  <c r="I235" i="1"/>
  <c r="I48" i="1"/>
  <c r="M48" i="1" s="1"/>
  <c r="I74" i="1"/>
  <c r="M74" i="1" s="1"/>
  <c r="I90" i="1"/>
  <c r="M90" i="1" s="1"/>
  <c r="I121" i="1"/>
  <c r="M121" i="1" s="1"/>
  <c r="I142" i="1"/>
  <c r="M142" i="1" s="1"/>
  <c r="J157" i="1"/>
  <c r="I159" i="1"/>
  <c r="N162" i="1"/>
  <c r="J162" i="1" s="1"/>
  <c r="N167" i="1"/>
  <c r="I174" i="1"/>
  <c r="N176" i="1"/>
  <c r="J176" i="1"/>
  <c r="F176" i="1" s="1"/>
  <c r="N187" i="1"/>
  <c r="J187" i="1" s="1"/>
  <c r="I194" i="1"/>
  <c r="N214" i="1"/>
  <c r="J214" i="1" s="1"/>
  <c r="F214" i="1" s="1"/>
  <c r="J219" i="1"/>
  <c r="F219" i="1" s="1"/>
  <c r="N220" i="1"/>
  <c r="J220" i="1" s="1"/>
  <c r="F220" i="1" s="1"/>
  <c r="I224" i="1"/>
  <c r="I237" i="1"/>
  <c r="N237" i="1" s="1"/>
  <c r="J237" i="1" s="1"/>
  <c r="N239" i="1"/>
  <c r="J239" i="1" s="1"/>
  <c r="F239" i="1" s="1"/>
  <c r="F241" i="1"/>
  <c r="F244" i="1"/>
  <c r="J247" i="1"/>
  <c r="F247" i="1" s="1"/>
  <c r="N260" i="1"/>
  <c r="J260" i="1" s="1"/>
  <c r="F260" i="1" s="1"/>
  <c r="I262" i="1"/>
  <c r="I271" i="1"/>
  <c r="N276" i="1"/>
  <c r="J276" i="1" s="1"/>
  <c r="F276" i="1" s="1"/>
  <c r="I286" i="1"/>
  <c r="J299" i="1"/>
  <c r="F299" i="1" s="1"/>
  <c r="N300" i="1"/>
  <c r="J300" i="1" s="1"/>
  <c r="F300" i="1" s="1"/>
  <c r="I306" i="1"/>
  <c r="N306" i="1"/>
  <c r="J306" i="1" s="1"/>
  <c r="F308" i="1"/>
  <c r="I317" i="1"/>
  <c r="I330" i="1"/>
  <c r="N330" i="1"/>
  <c r="J330" i="1" s="1"/>
  <c r="I343" i="1"/>
  <c r="F345" i="1"/>
  <c r="F372" i="1"/>
  <c r="F374" i="1"/>
  <c r="F399" i="1"/>
  <c r="I426" i="1"/>
  <c r="N426" i="1"/>
  <c r="J426" i="1" s="1"/>
  <c r="I430" i="1"/>
  <c r="N436" i="1"/>
  <c r="J436" i="1" s="1"/>
  <c r="F436" i="1" s="1"/>
  <c r="I450" i="1"/>
  <c r="N450" i="1"/>
  <c r="J450" i="1"/>
  <c r="F450" i="1"/>
  <c r="N452" i="1"/>
  <c r="J452" i="1" s="1"/>
  <c r="F452" i="1" s="1"/>
  <c r="F455" i="1"/>
  <c r="N455" i="1"/>
  <c r="J455" i="1" s="1"/>
  <c r="I455" i="1"/>
  <c r="N457" i="1"/>
  <c r="J457" i="1" s="1"/>
  <c r="F457" i="1" s="1"/>
  <c r="F477" i="1"/>
  <c r="J480" i="1"/>
  <c r="F480" i="1" s="1"/>
  <c r="J486" i="1"/>
  <c r="F486" i="1" s="1"/>
  <c r="N486" i="1"/>
  <c r="I486" i="1"/>
  <c r="I170" i="1"/>
  <c r="I175" i="1"/>
  <c r="I210" i="1"/>
  <c r="J166" i="1"/>
  <c r="F166" i="1" s="1"/>
  <c r="N166" i="1"/>
  <c r="I189" i="1"/>
  <c r="N189" i="1"/>
  <c r="N191" i="1"/>
  <c r="J191" i="1" s="1"/>
  <c r="F191" i="1"/>
  <c r="F193" i="1"/>
  <c r="F196" i="1"/>
  <c r="I234" i="1"/>
  <c r="N234" i="1" s="1"/>
  <c r="J234" i="1" s="1"/>
  <c r="F236" i="1"/>
  <c r="I254" i="1"/>
  <c r="N256" i="1"/>
  <c r="F256" i="1"/>
  <c r="J256" i="1"/>
  <c r="F268" i="1"/>
  <c r="I290" i="1"/>
  <c r="F292" i="1"/>
  <c r="J310" i="1"/>
  <c r="F310" i="1"/>
  <c r="N310" i="1"/>
  <c r="I366" i="1"/>
  <c r="I370" i="1"/>
  <c r="N370" i="1"/>
  <c r="J370" i="1" s="1"/>
  <c r="J384" i="1"/>
  <c r="F384" i="1" s="1"/>
  <c r="F388" i="1"/>
  <c r="I415" i="1"/>
  <c r="F441" i="1"/>
  <c r="N441" i="1"/>
  <c r="J441" i="1" s="1"/>
  <c r="I466" i="1"/>
  <c r="N468" i="1"/>
  <c r="J468" i="1" s="1"/>
  <c r="F468" i="1" s="1"/>
  <c r="F495" i="1"/>
  <c r="N511" i="1"/>
  <c r="J511" i="1"/>
  <c r="I511" i="1"/>
  <c r="F511" i="1" s="1"/>
  <c r="N515" i="1"/>
  <c r="I518" i="1"/>
  <c r="N518" i="1" s="1"/>
  <c r="J518" i="1" s="1"/>
  <c r="F518" i="1" s="1"/>
  <c r="N551" i="1"/>
  <c r="J551" i="1" s="1"/>
  <c r="F551" i="1" s="1"/>
  <c r="I551" i="1"/>
  <c r="J560" i="1"/>
  <c r="F560" i="1" s="1"/>
  <c r="I582" i="1"/>
  <c r="N582" i="1" s="1"/>
  <c r="J582" i="1" s="1"/>
  <c r="F582" i="1" s="1"/>
  <c r="I30" i="1"/>
  <c r="M30" i="1" s="1"/>
  <c r="I62" i="1"/>
  <c r="M62" i="1" s="1"/>
  <c r="I94" i="1"/>
  <c r="M94" i="1" s="1"/>
  <c r="I126" i="1"/>
  <c r="M126" i="1" s="1"/>
  <c r="I154" i="1"/>
  <c r="M154" i="1" s="1"/>
  <c r="J163" i="1"/>
  <c r="F163" i="1" s="1"/>
  <c r="I181" i="1"/>
  <c r="N181" i="1"/>
  <c r="J181" i="1" s="1"/>
  <c r="N184" i="1"/>
  <c r="J184" i="1" s="1"/>
  <c r="F184" i="1"/>
  <c r="F195" i="1"/>
  <c r="J195" i="1"/>
  <c r="I213" i="1"/>
  <c r="N213" i="1"/>
  <c r="J213" i="1" s="1"/>
  <c r="N216" i="1"/>
  <c r="J216" i="1" s="1"/>
  <c r="F216" i="1"/>
  <c r="J227" i="1"/>
  <c r="F227" i="1" s="1"/>
  <c r="I245" i="1"/>
  <c r="N248" i="1"/>
  <c r="J248" i="1" s="1"/>
  <c r="F248" i="1"/>
  <c r="J259" i="1"/>
  <c r="F259" i="1" s="1"/>
  <c r="I277" i="1"/>
  <c r="N277" i="1"/>
  <c r="J277" i="1" s="1"/>
  <c r="N280" i="1"/>
  <c r="J280" i="1" s="1"/>
  <c r="F280" i="1" s="1"/>
  <c r="J291" i="1"/>
  <c r="F291" i="1" s="1"/>
  <c r="I309" i="1"/>
  <c r="N309" i="1"/>
  <c r="J309" i="1" s="1"/>
  <c r="N312" i="1"/>
  <c r="J312" i="1" s="1"/>
  <c r="F312" i="1"/>
  <c r="F323" i="1"/>
  <c r="J323" i="1"/>
  <c r="I341" i="1"/>
  <c r="N341" i="1"/>
  <c r="J341" i="1" s="1"/>
  <c r="N344" i="1"/>
  <c r="J344" i="1" s="1"/>
  <c r="F344" i="1"/>
  <c r="J355" i="1"/>
  <c r="F355" i="1" s="1"/>
  <c r="N367" i="1"/>
  <c r="J367" i="1" s="1"/>
  <c r="F367" i="1" s="1"/>
  <c r="I373" i="1"/>
  <c r="N373" i="1" s="1"/>
  <c r="J373" i="1" s="1"/>
  <c r="N374" i="1"/>
  <c r="N376" i="1"/>
  <c r="J376" i="1" s="1"/>
  <c r="F376" i="1"/>
  <c r="N378" i="1"/>
  <c r="J378" i="1" s="1"/>
  <c r="F378" i="1" s="1"/>
  <c r="J387" i="1"/>
  <c r="F387" i="1" s="1"/>
  <c r="N399" i="1"/>
  <c r="J399" i="1" s="1"/>
  <c r="I405" i="1"/>
  <c r="N405" i="1" s="1"/>
  <c r="J405" i="1" s="1"/>
  <c r="N406" i="1"/>
  <c r="N408" i="1"/>
  <c r="J408" i="1" s="1"/>
  <c r="F408" i="1"/>
  <c r="N410" i="1"/>
  <c r="J410" i="1" s="1"/>
  <c r="F410" i="1" s="1"/>
  <c r="F419" i="1"/>
  <c r="J419" i="1"/>
  <c r="N431" i="1"/>
  <c r="J431" i="1" s="1"/>
  <c r="F431" i="1" s="1"/>
  <c r="I437" i="1"/>
  <c r="N437" i="1" s="1"/>
  <c r="J437" i="1" s="1"/>
  <c r="N438" i="1"/>
  <c r="J438" i="1" s="1"/>
  <c r="F438" i="1" s="1"/>
  <c r="N440" i="1"/>
  <c r="J440" i="1" s="1"/>
  <c r="F440" i="1"/>
  <c r="N442" i="1"/>
  <c r="J442" i="1" s="1"/>
  <c r="F442" i="1" s="1"/>
  <c r="F451" i="1"/>
  <c r="J451" i="1"/>
  <c r="I469" i="1"/>
  <c r="N469" i="1" s="1"/>
  <c r="J469" i="1" s="1"/>
  <c r="N472" i="1"/>
  <c r="J472" i="1" s="1"/>
  <c r="F472" i="1"/>
  <c r="J483" i="1"/>
  <c r="F483" i="1" s="1"/>
  <c r="N495" i="1"/>
  <c r="J495" i="1" s="1"/>
  <c r="I501" i="1"/>
  <c r="N501" i="1" s="1"/>
  <c r="J501" i="1" s="1"/>
  <c r="N502" i="1"/>
  <c r="N504" i="1"/>
  <c r="J504" i="1" s="1"/>
  <c r="F504" i="1"/>
  <c r="J515" i="1"/>
  <c r="F515" i="1" s="1"/>
  <c r="N527" i="1"/>
  <c r="J527" i="1" s="1"/>
  <c r="F527" i="1" s="1"/>
  <c r="I533" i="1"/>
  <c r="N533" i="1" s="1"/>
  <c r="J533" i="1" s="1"/>
  <c r="N534" i="1"/>
  <c r="N536" i="1"/>
  <c r="J536" i="1" s="1"/>
  <c r="F536" i="1"/>
  <c r="J543" i="1"/>
  <c r="F543" i="1" s="1"/>
  <c r="F545" i="1"/>
  <c r="F565" i="1"/>
  <c r="F569" i="1"/>
  <c r="N576" i="1"/>
  <c r="J576" i="1" s="1"/>
  <c r="I269" i="1"/>
  <c r="N269" i="1" s="1"/>
  <c r="J269" i="1" s="1"/>
  <c r="N272" i="1"/>
  <c r="F272" i="1"/>
  <c r="J283" i="1"/>
  <c r="F283" i="1" s="1"/>
  <c r="I301" i="1"/>
  <c r="N304" i="1"/>
  <c r="J315" i="1"/>
  <c r="F315" i="1" s="1"/>
  <c r="I333" i="1"/>
  <c r="N333" i="1"/>
  <c r="J333" i="1" s="1"/>
  <c r="N336" i="1"/>
  <c r="F347" i="1"/>
  <c r="J347" i="1"/>
  <c r="I365" i="1"/>
  <c r="N365" i="1"/>
  <c r="J365" i="1" s="1"/>
  <c r="N368" i="1"/>
  <c r="I397" i="1"/>
  <c r="N397" i="1" s="1"/>
  <c r="J397" i="1" s="1"/>
  <c r="N400" i="1"/>
  <c r="I429" i="1"/>
  <c r="N432" i="1"/>
  <c r="J443" i="1"/>
  <c r="F443" i="1" s="1"/>
  <c r="I461" i="1"/>
  <c r="N461" i="1"/>
  <c r="J461" i="1" s="1"/>
  <c r="N464" i="1"/>
  <c r="J464" i="1" s="1"/>
  <c r="F464" i="1" s="1"/>
  <c r="I493" i="1"/>
  <c r="N493" i="1"/>
  <c r="J493" i="1" s="1"/>
  <c r="N496" i="1"/>
  <c r="F496" i="1"/>
  <c r="I525" i="1"/>
  <c r="N525" i="1" s="1"/>
  <c r="J525" i="1" s="1"/>
  <c r="I567" i="1"/>
  <c r="N567" i="1" s="1"/>
  <c r="J567" i="1" s="1"/>
  <c r="I574" i="1"/>
  <c r="N574" i="1" s="1"/>
  <c r="J574" i="1" s="1"/>
  <c r="I576" i="1"/>
  <c r="I528" i="1"/>
  <c r="I539" i="1"/>
  <c r="J542" i="1"/>
  <c r="I542" i="1"/>
  <c r="I559" i="1"/>
  <c r="I578" i="1"/>
  <c r="I165" i="1"/>
  <c r="N165" i="1"/>
  <c r="J165" i="1" s="1"/>
  <c r="N168" i="1"/>
  <c r="J168" i="1" s="1"/>
  <c r="F168" i="1"/>
  <c r="F179" i="1"/>
  <c r="J179" i="1"/>
  <c r="I197" i="1"/>
  <c r="N197" i="1" s="1"/>
  <c r="J197" i="1" s="1"/>
  <c r="N200" i="1"/>
  <c r="J200" i="1" s="1"/>
  <c r="F200" i="1"/>
  <c r="J211" i="1"/>
  <c r="F211" i="1" s="1"/>
  <c r="I229" i="1"/>
  <c r="N232" i="1"/>
  <c r="J232" i="1" s="1"/>
  <c r="F232" i="1" s="1"/>
  <c r="J243" i="1"/>
  <c r="F243" i="1" s="1"/>
  <c r="I261" i="1"/>
  <c r="N261" i="1"/>
  <c r="J261" i="1" s="1"/>
  <c r="N264" i="1"/>
  <c r="J264" i="1" s="1"/>
  <c r="F264" i="1" s="1"/>
  <c r="J272" i="1"/>
  <c r="F275" i="1"/>
  <c r="J275" i="1"/>
  <c r="I293" i="1"/>
  <c r="N293" i="1"/>
  <c r="J293" i="1" s="1"/>
  <c r="N296" i="1"/>
  <c r="J296" i="1" s="1"/>
  <c r="F296" i="1"/>
  <c r="J304" i="1"/>
  <c r="F304" i="1" s="1"/>
  <c r="F307" i="1"/>
  <c r="J307" i="1"/>
  <c r="I325" i="1"/>
  <c r="N325" i="1"/>
  <c r="J325" i="1" s="1"/>
  <c r="N328" i="1"/>
  <c r="J328" i="1" s="1"/>
  <c r="F328" i="1"/>
  <c r="J336" i="1"/>
  <c r="F336" i="1" s="1"/>
  <c r="F339" i="1"/>
  <c r="J339" i="1"/>
  <c r="I357" i="1"/>
  <c r="N357" i="1" s="1"/>
  <c r="J357" i="1" s="1"/>
  <c r="N360" i="1"/>
  <c r="J360" i="1" s="1"/>
  <c r="F360" i="1"/>
  <c r="J368" i="1"/>
  <c r="F368" i="1" s="1"/>
  <c r="F371" i="1"/>
  <c r="J371" i="1"/>
  <c r="I389" i="1"/>
  <c r="N389" i="1" s="1"/>
  <c r="J389" i="1" s="1"/>
  <c r="N392" i="1"/>
  <c r="J392" i="1" s="1"/>
  <c r="F392" i="1"/>
  <c r="J400" i="1"/>
  <c r="F400" i="1" s="1"/>
  <c r="F403" i="1"/>
  <c r="J403" i="1"/>
  <c r="I421" i="1"/>
  <c r="N421" i="1" s="1"/>
  <c r="J421" i="1" s="1"/>
  <c r="N424" i="1"/>
  <c r="J424" i="1" s="1"/>
  <c r="F424" i="1"/>
  <c r="J432" i="1"/>
  <c r="F432" i="1" s="1"/>
  <c r="F435" i="1"/>
  <c r="J435" i="1"/>
  <c r="I453" i="1"/>
  <c r="N453" i="1" s="1"/>
  <c r="J453" i="1" s="1"/>
  <c r="I485" i="1"/>
  <c r="N485" i="1"/>
  <c r="J496" i="1"/>
  <c r="I510" i="1"/>
  <c r="I517" i="1"/>
  <c r="N517" i="1" s="1"/>
  <c r="J517" i="1" s="1"/>
  <c r="N520" i="1"/>
  <c r="J520" i="1" s="1"/>
  <c r="F520" i="1"/>
  <c r="I535" i="1"/>
  <c r="N548" i="1"/>
  <c r="J548" i="1" s="1"/>
  <c r="F548" i="1" s="1"/>
  <c r="I550" i="1"/>
  <c r="N559" i="1"/>
  <c r="J559" i="1" s="1"/>
  <c r="N562" i="1"/>
  <c r="J562" i="1" s="1"/>
  <c r="F562" i="1" s="1"/>
  <c r="F564" i="1"/>
  <c r="N568" i="1"/>
  <c r="J568" i="1" s="1"/>
  <c r="F568" i="1"/>
  <c r="J578" i="1"/>
  <c r="F578" i="1" s="1"/>
  <c r="I583" i="1"/>
  <c r="J374" i="1"/>
  <c r="N379" i="1"/>
  <c r="J379" i="1" s="1"/>
  <c r="F379" i="1" s="1"/>
  <c r="J406" i="1"/>
  <c r="F406" i="1" s="1"/>
  <c r="N411" i="1"/>
  <c r="J411" i="1" s="1"/>
  <c r="F411" i="1" s="1"/>
  <c r="N443" i="1"/>
  <c r="I456" i="1"/>
  <c r="N456" i="1" s="1"/>
  <c r="J456" i="1" s="1"/>
  <c r="F456" i="1" s="1"/>
  <c r="I467" i="1"/>
  <c r="J470" i="1"/>
  <c r="F470" i="1" s="1"/>
  <c r="N475" i="1"/>
  <c r="J475" i="1" s="1"/>
  <c r="F475" i="1" s="1"/>
  <c r="J485" i="1"/>
  <c r="I488" i="1"/>
  <c r="N488" i="1" s="1"/>
  <c r="J488" i="1" s="1"/>
  <c r="F488" i="1" s="1"/>
  <c r="I499" i="1"/>
  <c r="J502" i="1"/>
  <c r="N507" i="1"/>
  <c r="J507" i="1" s="1"/>
  <c r="F507" i="1" s="1"/>
  <c r="I520" i="1"/>
  <c r="I531" i="1"/>
  <c r="N532" i="1"/>
  <c r="J532" i="1" s="1"/>
  <c r="F532" i="1" s="1"/>
  <c r="J534" i="1"/>
  <c r="F534" i="1" s="1"/>
  <c r="N539" i="1"/>
  <c r="J539" i="1" s="1"/>
  <c r="N542" i="1"/>
  <c r="I544" i="1"/>
  <c r="N544" i="1" s="1"/>
  <c r="J544" i="1" s="1"/>
  <c r="I547" i="1"/>
  <c r="N552" i="1"/>
  <c r="J552" i="1" s="1"/>
  <c r="F552" i="1"/>
  <c r="J555" i="1"/>
  <c r="F555" i="1" s="1"/>
  <c r="N556" i="1"/>
  <c r="J556" i="1" s="1"/>
  <c r="F556" i="1" s="1"/>
  <c r="I558" i="1"/>
  <c r="I566" i="1"/>
  <c r="I568" i="1"/>
  <c r="F573" i="1"/>
  <c r="I381" i="1"/>
  <c r="N381" i="1"/>
  <c r="J381" i="1" s="1"/>
  <c r="N384" i="1"/>
  <c r="F395" i="1"/>
  <c r="J395" i="1"/>
  <c r="I413" i="1"/>
  <c r="N413" i="1"/>
  <c r="J413" i="1" s="1"/>
  <c r="N416" i="1"/>
  <c r="J416" i="1" s="1"/>
  <c r="F416" i="1" s="1"/>
  <c r="F427" i="1"/>
  <c r="J427" i="1"/>
  <c r="I445" i="1"/>
  <c r="N445" i="1"/>
  <c r="J445" i="1" s="1"/>
  <c r="N448" i="1"/>
  <c r="J448" i="1" s="1"/>
  <c r="F448" i="1" s="1"/>
  <c r="J459" i="1"/>
  <c r="F459" i="1" s="1"/>
  <c r="I477" i="1"/>
  <c r="N477" i="1"/>
  <c r="J477" i="1" s="1"/>
  <c r="N480" i="1"/>
  <c r="F491" i="1"/>
  <c r="J491" i="1"/>
  <c r="I509" i="1"/>
  <c r="N509" i="1" s="1"/>
  <c r="J509" i="1" s="1"/>
  <c r="N510" i="1"/>
  <c r="J510" i="1" s="1"/>
  <c r="N512" i="1"/>
  <c r="J512" i="1" s="1"/>
  <c r="F512" i="1"/>
  <c r="N514" i="1"/>
  <c r="J514" i="1" s="1"/>
  <c r="F514" i="1" s="1"/>
  <c r="J523" i="1"/>
  <c r="F523" i="1" s="1"/>
  <c r="N560" i="1"/>
  <c r="J563" i="1"/>
  <c r="F563" i="1" s="1"/>
  <c r="I570" i="1"/>
  <c r="N575" i="1"/>
  <c r="J575" i="1" s="1"/>
  <c r="F575" i="1" s="1"/>
  <c r="N577" i="1"/>
  <c r="J577" i="1" s="1"/>
  <c r="F577" i="1" s="1"/>
  <c r="N578" i="1"/>
  <c r="F580" i="1"/>
  <c r="N584" i="1"/>
  <c r="J584" i="1" s="1"/>
  <c r="F584" i="1" s="1"/>
  <c r="F587" i="1"/>
  <c r="N541" i="1"/>
  <c r="J541" i="1" s="1"/>
  <c r="F541" i="1" s="1"/>
  <c r="N549" i="1"/>
  <c r="J549" i="1" s="1"/>
  <c r="F549" i="1" s="1"/>
  <c r="J571" i="1"/>
  <c r="F571" i="1" s="1"/>
  <c r="J579" i="1"/>
  <c r="F579" i="1" s="1"/>
  <c r="N590" i="1"/>
  <c r="J590" i="1" s="1"/>
  <c r="F590" i="1" s="1"/>
  <c r="I588" i="1"/>
  <c r="M590" i="1" l="1"/>
  <c r="M569" i="1"/>
  <c r="M429" i="1"/>
  <c r="M194" i="1"/>
  <c r="N194" i="1"/>
  <c r="J194" i="1" s="1"/>
  <c r="F194" i="1" s="1"/>
  <c r="M529" i="1"/>
  <c r="M353" i="1"/>
  <c r="M539" i="1"/>
  <c r="F539" i="1"/>
  <c r="M418" i="1"/>
  <c r="F418" i="1"/>
  <c r="N418" i="1"/>
  <c r="J418" i="1" s="1"/>
  <c r="M251" i="1"/>
  <c r="M467" i="1"/>
  <c r="N467" i="1"/>
  <c r="J467" i="1" s="1"/>
  <c r="F467" i="1" s="1"/>
  <c r="M218" i="1"/>
  <c r="M220" i="1"/>
  <c r="M489" i="1"/>
  <c r="M396" i="1"/>
  <c r="M532" i="1"/>
  <c r="M553" i="1"/>
  <c r="M317" i="1"/>
  <c r="M228" i="1"/>
  <c r="M574" i="1"/>
  <c r="F574" i="1"/>
  <c r="M204" i="1"/>
  <c r="M322" i="1"/>
  <c r="N322" i="1"/>
  <c r="J322" i="1" s="1"/>
  <c r="F322" i="1" s="1"/>
  <c r="M462" i="1"/>
  <c r="M246" i="1"/>
  <c r="M572" i="1"/>
  <c r="M541" i="1"/>
  <c r="M286" i="1"/>
  <c r="N286" i="1"/>
  <c r="J286" i="1" s="1"/>
  <c r="F286" i="1" s="1"/>
  <c r="M230" i="1"/>
  <c r="N230" i="1"/>
  <c r="J230" i="1" s="1"/>
  <c r="F230" i="1" s="1"/>
  <c r="M203" i="1"/>
  <c r="M243" i="1"/>
  <c r="M454" i="1"/>
  <c r="M351" i="1"/>
  <c r="M413" i="1"/>
  <c r="M333" i="1"/>
  <c r="F333" i="1"/>
  <c r="M332" i="1"/>
  <c r="M210" i="1"/>
  <c r="M564" i="1"/>
  <c r="M456" i="1"/>
  <c r="M545" i="1"/>
  <c r="M565" i="1"/>
  <c r="M475" i="1"/>
  <c r="M323" i="1"/>
  <c r="M326" i="1"/>
  <c r="M552" i="1"/>
  <c r="M477" i="1"/>
  <c r="M431" i="1"/>
  <c r="M566" i="1"/>
  <c r="N566" i="1"/>
  <c r="J566" i="1" s="1"/>
  <c r="F566" i="1" s="1"/>
  <c r="M531" i="1"/>
  <c r="N531" i="1"/>
  <c r="J531" i="1" s="1"/>
  <c r="F531" i="1" s="1"/>
  <c r="M492" i="1"/>
  <c r="F544" i="1"/>
  <c r="F325" i="1"/>
  <c r="M325" i="1"/>
  <c r="F165" i="1"/>
  <c r="M165" i="1"/>
  <c r="M559" i="1"/>
  <c r="F559" i="1"/>
  <c r="M493" i="1"/>
  <c r="F493" i="1"/>
  <c r="M365" i="1"/>
  <c r="F365" i="1"/>
  <c r="M309" i="1"/>
  <c r="F309" i="1"/>
  <c r="F181" i="1"/>
  <c r="M181" i="1"/>
  <c r="M551" i="1"/>
  <c r="M515" i="1"/>
  <c r="M284" i="1"/>
  <c r="M450" i="1"/>
  <c r="M271" i="1"/>
  <c r="M305" i="1"/>
  <c r="M173" i="1"/>
  <c r="F173" i="1"/>
  <c r="M356" i="1"/>
  <c r="F250" i="1"/>
  <c r="M281" i="1"/>
  <c r="N326" i="1"/>
  <c r="J326" i="1" s="1"/>
  <c r="F326" i="1" s="1"/>
  <c r="M404" i="1"/>
  <c r="M516" i="1"/>
  <c r="M420" i="1"/>
  <c r="M540" i="1"/>
  <c r="M294" i="1"/>
  <c r="M183" i="1"/>
  <c r="M563" i="1"/>
  <c r="F334" i="1"/>
  <c r="M334" i="1"/>
  <c r="N334" i="1"/>
  <c r="J334" i="1" s="1"/>
  <c r="M244" i="1"/>
  <c r="M331" i="1"/>
  <c r="M264" i="1"/>
  <c r="M408" i="1"/>
  <c r="M377" i="1"/>
  <c r="M385" i="1"/>
  <c r="M585" i="1"/>
  <c r="F2" i="3"/>
  <c r="M229" i="1"/>
  <c r="M430" i="1"/>
  <c r="M159" i="1"/>
  <c r="N159" i="1"/>
  <c r="J159" i="1" s="1"/>
  <c r="M195" i="1"/>
  <c r="M503" i="1"/>
  <c r="F503" i="1"/>
  <c r="M369" i="1"/>
  <c r="M223" i="1"/>
  <c r="M381" i="1"/>
  <c r="M330" i="1"/>
  <c r="M255" i="1"/>
  <c r="N255" i="1"/>
  <c r="J255" i="1" s="1"/>
  <c r="F255" i="1" s="1"/>
  <c r="M460" i="1"/>
  <c r="M461" i="1"/>
  <c r="F461" i="1"/>
  <c r="M298" i="1"/>
  <c r="F298" i="1"/>
  <c r="N503" i="1"/>
  <c r="J503" i="1" s="1"/>
  <c r="M546" i="1"/>
  <c r="N546" i="1"/>
  <c r="J546" i="1" s="1"/>
  <c r="F546" i="1" s="1"/>
  <c r="M508" i="1"/>
  <c r="M273" i="1"/>
  <c r="M241" i="1"/>
  <c r="M304" i="1"/>
  <c r="M568" i="1"/>
  <c r="M528" i="1"/>
  <c r="N528" i="1"/>
  <c r="J528" i="1" s="1"/>
  <c r="F528" i="1" s="1"/>
  <c r="F381" i="1"/>
  <c r="M239" i="1"/>
  <c r="M175" i="1"/>
  <c r="F175" i="1"/>
  <c r="M352" i="1"/>
  <c r="M487" i="1"/>
  <c r="N487" i="1"/>
  <c r="J487" i="1" s="1"/>
  <c r="F487" i="1" s="1"/>
  <c r="M422" i="1"/>
  <c r="N422" i="1"/>
  <c r="J422" i="1" s="1"/>
  <c r="F422" i="1" s="1"/>
  <c r="N210" i="1"/>
  <c r="J210" i="1" s="1"/>
  <c r="F210" i="1" s="1"/>
  <c r="M384" i="1"/>
  <c r="M509" i="1"/>
  <c r="M463" i="1"/>
  <c r="M547" i="1"/>
  <c r="N547" i="1"/>
  <c r="J547" i="1" s="1"/>
  <c r="F547" i="1" s="1"/>
  <c r="M524" i="1"/>
  <c r="M488" i="1"/>
  <c r="M364" i="1"/>
  <c r="M517" i="1"/>
  <c r="F517" i="1"/>
  <c r="M453" i="1"/>
  <c r="F453" i="1"/>
  <c r="M421" i="1"/>
  <c r="F421" i="1"/>
  <c r="M389" i="1"/>
  <c r="F389" i="1"/>
  <c r="M357" i="1"/>
  <c r="F357" i="1"/>
  <c r="M556" i="1"/>
  <c r="M525" i="1"/>
  <c r="F525" i="1"/>
  <c r="M469" i="1"/>
  <c r="F469" i="1"/>
  <c r="M437" i="1"/>
  <c r="F437" i="1"/>
  <c r="M468" i="1"/>
  <c r="M415" i="1"/>
  <c r="F234" i="1"/>
  <c r="M343" i="1"/>
  <c r="N343" i="1"/>
  <c r="J343" i="1" s="1"/>
  <c r="F343" i="1" s="1"/>
  <c r="M262" i="1"/>
  <c r="N262" i="1"/>
  <c r="J262" i="1" s="1"/>
  <c r="F262" i="1" s="1"/>
  <c r="M237" i="1"/>
  <c r="F237" i="1"/>
  <c r="M212" i="1"/>
  <c r="M174" i="1"/>
  <c r="N174" i="1"/>
  <c r="J174" i="1" s="1"/>
  <c r="F174" i="1" s="1"/>
  <c r="F413" i="1"/>
  <c r="M302" i="1"/>
  <c r="M260" i="1"/>
  <c r="M584" i="1"/>
  <c r="M383" i="1"/>
  <c r="M350" i="1"/>
  <c r="N350" i="1"/>
  <c r="J350" i="1" s="1"/>
  <c r="F350" i="1" s="1"/>
  <c r="M575" i="1"/>
  <c r="M423" i="1"/>
  <c r="N352" i="1"/>
  <c r="J352" i="1" s="1"/>
  <c r="F352" i="1" s="1"/>
  <c r="F509" i="1"/>
  <c r="M482" i="1"/>
  <c r="F482" i="1"/>
  <c r="N294" i="1"/>
  <c r="J294" i="1" s="1"/>
  <c r="F294" i="1" s="1"/>
  <c r="M446" i="1"/>
  <c r="M391" i="1"/>
  <c r="M231" i="1"/>
  <c r="M171" i="1"/>
  <c r="N171" i="1"/>
  <c r="J171" i="1" s="1"/>
  <c r="F171" i="1" s="1"/>
  <c r="M166" i="1"/>
  <c r="M321" i="1"/>
  <c r="M417" i="1"/>
  <c r="M168" i="1"/>
  <c r="M438" i="1"/>
  <c r="M554" i="1"/>
  <c r="M366" i="1"/>
  <c r="N366" i="1"/>
  <c r="J366" i="1" s="1"/>
  <c r="F366" i="1" s="1"/>
  <c r="M238" i="1"/>
  <c r="M466" i="1"/>
  <c r="M530" i="1"/>
  <c r="M225" i="1"/>
  <c r="M567" i="1"/>
  <c r="F567" i="1"/>
  <c r="M319" i="1"/>
  <c r="F319" i="1"/>
  <c r="N319" i="1"/>
  <c r="J319" i="1" s="1"/>
  <c r="M522" i="1"/>
  <c r="N522" i="1"/>
  <c r="J522" i="1" s="1"/>
  <c r="F522" i="1" s="1"/>
  <c r="N454" i="1"/>
  <c r="J454" i="1" s="1"/>
  <c r="F454" i="1" s="1"/>
  <c r="M411" i="1"/>
  <c r="M536" i="1"/>
  <c r="M577" i="1"/>
  <c r="M211" i="1"/>
  <c r="M588" i="1"/>
  <c r="N588" i="1"/>
  <c r="J588" i="1" s="1"/>
  <c r="F588" i="1"/>
  <c r="M399" i="1"/>
  <c r="M293" i="1"/>
  <c r="F293" i="1"/>
  <c r="M414" i="1"/>
  <c r="M483" i="1"/>
  <c r="F2" i="2"/>
  <c r="M527" i="1"/>
  <c r="M587" i="1"/>
  <c r="M495" i="1"/>
  <c r="M558" i="1"/>
  <c r="F558" i="1"/>
  <c r="N558" i="1"/>
  <c r="J558" i="1" s="1"/>
  <c r="M544" i="1"/>
  <c r="M521" i="1"/>
  <c r="M583" i="1"/>
  <c r="N550" i="1"/>
  <c r="J550" i="1" s="1"/>
  <c r="M550" i="1"/>
  <c r="F550" i="1"/>
  <c r="M535" i="1"/>
  <c r="F535" i="1"/>
  <c r="M485" i="1"/>
  <c r="F485" i="1"/>
  <c r="M197" i="1"/>
  <c r="F197" i="1"/>
  <c r="N583" i="1"/>
  <c r="J583" i="1" s="1"/>
  <c r="F583" i="1" s="1"/>
  <c r="M579" i="1"/>
  <c r="M548" i="1"/>
  <c r="M397" i="1"/>
  <c r="F397" i="1"/>
  <c r="M269" i="1"/>
  <c r="F269" i="1"/>
  <c r="M533" i="1"/>
  <c r="F533" i="1"/>
  <c r="M501" i="1"/>
  <c r="F501" i="1"/>
  <c r="M405" i="1"/>
  <c r="F405" i="1"/>
  <c r="M341" i="1"/>
  <c r="F341" i="1"/>
  <c r="M213" i="1"/>
  <c r="F213" i="1"/>
  <c r="M582" i="1"/>
  <c r="N415" i="1"/>
  <c r="J415" i="1" s="1"/>
  <c r="F415" i="1" s="1"/>
  <c r="M370" i="1"/>
  <c r="M189" i="1"/>
  <c r="F189" i="1"/>
  <c r="M170" i="1"/>
  <c r="N170" i="1"/>
  <c r="J170" i="1" s="1"/>
  <c r="F170" i="1" s="1"/>
  <c r="M436" i="1"/>
  <c r="M426" i="1"/>
  <c r="F426" i="1"/>
  <c r="F330" i="1"/>
  <c r="M306" i="1"/>
  <c r="F306" i="1"/>
  <c r="M199" i="1"/>
  <c r="M452" i="1"/>
  <c r="M354" i="1"/>
  <c r="N354" i="1"/>
  <c r="J354" i="1" s="1"/>
  <c r="F354" i="1" s="1"/>
  <c r="N302" i="1"/>
  <c r="J302" i="1" s="1"/>
  <c r="F302" i="1" s="1"/>
  <c r="M282" i="1"/>
  <c r="M16" i="1"/>
  <c r="M219" i="1"/>
  <c r="M388" i="1"/>
  <c r="M491" i="1"/>
  <c r="M465" i="1"/>
  <c r="N383" i="1"/>
  <c r="J383" i="1" s="1"/>
  <c r="F383" i="1" s="1"/>
  <c r="M549" i="1"/>
  <c r="N423" i="1"/>
  <c r="J423" i="1" s="1"/>
  <c r="F423" i="1" s="1"/>
  <c r="M190" i="1"/>
  <c r="F190" i="1"/>
  <c r="M338" i="1"/>
  <c r="F338" i="1"/>
  <c r="M178" i="1"/>
  <c r="N178" i="1"/>
  <c r="J178" i="1" s="1"/>
  <c r="F178" i="1"/>
  <c r="M297" i="1"/>
  <c r="M169" i="1"/>
  <c r="M160" i="1"/>
  <c r="M374" i="1"/>
  <c r="M473" i="1"/>
  <c r="M193" i="1"/>
  <c r="M481" i="1"/>
  <c r="M557" i="1"/>
  <c r="M301" i="1"/>
  <c r="F301" i="1"/>
  <c r="M245" i="1"/>
  <c r="M395" i="1"/>
  <c r="M361" i="1"/>
  <c r="M235" i="1"/>
  <c r="N235" i="1"/>
  <c r="J235" i="1" s="1"/>
  <c r="F235" i="1" s="1"/>
  <c r="M276" i="1"/>
  <c r="F159" i="1"/>
  <c r="M253" i="1"/>
  <c r="F253" i="1"/>
  <c r="M498" i="1"/>
  <c r="N498" i="1"/>
  <c r="J498" i="1" s="1"/>
  <c r="N206" i="1"/>
  <c r="J206" i="1" s="1"/>
  <c r="F206" i="1" s="1"/>
  <c r="M206" i="1"/>
  <c r="M470" i="1"/>
  <c r="M518" i="1"/>
  <c r="N254" i="1"/>
  <c r="J254" i="1" s="1"/>
  <c r="F254" i="1" s="1"/>
  <c r="M254" i="1"/>
  <c r="M537" i="1"/>
  <c r="N430" i="1"/>
  <c r="J430" i="1" s="1"/>
  <c r="F430" i="1" s="1"/>
  <c r="M434" i="1"/>
  <c r="F434" i="1"/>
  <c r="M202" i="1"/>
  <c r="M316" i="1"/>
  <c r="M311" i="1"/>
  <c r="F311" i="1"/>
  <c r="M363" i="1"/>
  <c r="M375" i="1"/>
  <c r="F375" i="1"/>
  <c r="F238" i="1"/>
  <c r="M161" i="1"/>
  <c r="M406" i="1"/>
  <c r="M296" i="1"/>
  <c r="M261" i="1"/>
  <c r="F261" i="1"/>
  <c r="M277" i="1"/>
  <c r="F277" i="1"/>
  <c r="M523" i="1"/>
  <c r="M177" i="1"/>
  <c r="M188" i="1"/>
  <c r="M289" i="1"/>
  <c r="M447" i="1"/>
  <c r="N447" i="1"/>
  <c r="J447" i="1" s="1"/>
  <c r="F447" i="1" s="1"/>
  <c r="M355" i="1"/>
  <c r="M236" i="1"/>
  <c r="F462" i="1"/>
  <c r="N351" i="1"/>
  <c r="J351" i="1" s="1"/>
  <c r="F351" i="1" s="1"/>
  <c r="M442" i="1"/>
  <c r="M445" i="1"/>
  <c r="F445" i="1"/>
  <c r="M499" i="1"/>
  <c r="N499" i="1"/>
  <c r="J499" i="1" s="1"/>
  <c r="F499" i="1" s="1"/>
  <c r="N290" i="1"/>
  <c r="J290" i="1" s="1"/>
  <c r="F290" i="1" s="1"/>
  <c r="M290" i="1"/>
  <c r="M457" i="1"/>
  <c r="M315" i="1"/>
  <c r="M215" i="1"/>
  <c r="M285" i="1"/>
  <c r="F285" i="1"/>
  <c r="M451" i="1"/>
  <c r="M497" i="1"/>
  <c r="M458" i="1"/>
  <c r="F458" i="1"/>
  <c r="N458" i="1"/>
  <c r="J458" i="1" s="1"/>
  <c r="M372" i="1"/>
  <c r="M347" i="1"/>
  <c r="M209" i="1"/>
  <c r="M313" i="1"/>
  <c r="N570" i="1"/>
  <c r="J570" i="1" s="1"/>
  <c r="M570" i="1"/>
  <c r="M580" i="1"/>
  <c r="F570" i="1"/>
  <c r="M520" i="1"/>
  <c r="M428" i="1"/>
  <c r="M581" i="1"/>
  <c r="M510" i="1"/>
  <c r="F510" i="1"/>
  <c r="N229" i="1"/>
  <c r="J229" i="1" s="1"/>
  <c r="F229" i="1" s="1"/>
  <c r="M578" i="1"/>
  <c r="M542" i="1"/>
  <c r="F542" i="1"/>
  <c r="M576" i="1"/>
  <c r="N429" i="1"/>
  <c r="J429" i="1" s="1"/>
  <c r="F429" i="1" s="1"/>
  <c r="N301" i="1"/>
  <c r="J301" i="1" s="1"/>
  <c r="F576" i="1"/>
  <c r="M373" i="1"/>
  <c r="F373" i="1"/>
  <c r="N245" i="1"/>
  <c r="J245" i="1" s="1"/>
  <c r="F245" i="1" s="1"/>
  <c r="N535" i="1"/>
  <c r="J535" i="1" s="1"/>
  <c r="M511" i="1"/>
  <c r="N466" i="1"/>
  <c r="J466" i="1" s="1"/>
  <c r="F466" i="1" s="1"/>
  <c r="M412" i="1"/>
  <c r="M368" i="1"/>
  <c r="M299" i="1"/>
  <c r="M234" i="1"/>
  <c r="M432" i="1"/>
  <c r="M419" i="1"/>
  <c r="N238" i="1"/>
  <c r="J238" i="1" s="1"/>
  <c r="M382" i="1"/>
  <c r="N382" i="1"/>
  <c r="J382" i="1" s="1"/>
  <c r="F382" i="1" s="1"/>
  <c r="N530" i="1"/>
  <c r="J530" i="1" s="1"/>
  <c r="F530" i="1" s="1"/>
  <c r="M348" i="1"/>
  <c r="F202" i="1"/>
  <c r="M205" i="1"/>
  <c r="F205" i="1"/>
  <c r="N253" i="1"/>
  <c r="J253" i="1" s="1"/>
  <c r="N218" i="1"/>
  <c r="J218" i="1" s="1"/>
  <c r="F218" i="1" s="1"/>
  <c r="M425" i="1"/>
  <c r="M380" i="1"/>
  <c r="M291" i="1"/>
  <c r="M476" i="1"/>
  <c r="F498" i="1"/>
  <c r="M478" i="1"/>
  <c r="N478" i="1"/>
  <c r="J478" i="1" s="1"/>
  <c r="F478" i="1" s="1"/>
  <c r="M268" i="1"/>
  <c r="M221" i="1"/>
  <c r="F221" i="1"/>
  <c r="M464" i="1"/>
  <c r="F439" i="1"/>
  <c r="F370" i="1"/>
  <c r="M378" i="1"/>
  <c r="M573" i="1"/>
  <c r="M407" i="1"/>
  <c r="M278" i="1"/>
  <c r="M172" i="1"/>
  <c r="M267" i="1"/>
  <c r="F162" i="1"/>
  <c r="M162" i="1"/>
  <c r="M459" i="1"/>
  <c r="M300" i="1"/>
  <c r="M433" i="1"/>
  <c r="M543" i="1"/>
  <c r="M471" i="1"/>
  <c r="M303" i="1"/>
  <c r="M196" i="1"/>
  <c r="M401" i="1"/>
  <c r="M379" i="1"/>
  <c r="M327" i="1"/>
  <c r="F327" i="1"/>
  <c r="M308" i="1"/>
  <c r="M279" i="1"/>
  <c r="N279" i="1"/>
  <c r="J279" i="1" s="1"/>
  <c r="F279" i="1" s="1"/>
  <c r="M263" i="1"/>
  <c r="M227" i="1"/>
  <c r="M184" i="1"/>
  <c r="M555" i="1"/>
  <c r="M345" i="1"/>
  <c r="M538" i="1"/>
  <c r="M201" i="1"/>
  <c r="M216" i="1"/>
  <c r="M376" i="1"/>
  <c r="M448" i="1"/>
  <c r="M561" i="1"/>
  <c r="M275" i="1"/>
  <c r="M329" i="1"/>
  <c r="M272" i="1"/>
  <c r="M259" i="1"/>
  <c r="M512" i="1"/>
  <c r="M214" i="1"/>
  <c r="M256" i="1"/>
  <c r="M440" i="1"/>
  <c r="F2" i="4"/>
  <c r="M472" i="1"/>
  <c r="M198" i="1"/>
  <c r="M200" i="1"/>
  <c r="M248" i="1"/>
  <c r="M480" i="1"/>
  <c r="M504" i="1"/>
  <c r="M416" i="1"/>
  <c r="M486" i="1"/>
  <c r="M455" i="1"/>
  <c r="M443" i="1"/>
  <c r="N317" i="1"/>
  <c r="J317" i="1" s="1"/>
  <c r="F317" i="1" s="1"/>
  <c r="M252" i="1"/>
  <c r="M224" i="1"/>
  <c r="M167" i="1"/>
  <c r="M571" i="1"/>
  <c r="M390" i="1"/>
  <c r="M362" i="1"/>
  <c r="N282" i="1"/>
  <c r="J282" i="1" s="1"/>
  <c r="F282" i="1" s="1"/>
  <c r="N267" i="1"/>
  <c r="J267" i="1" s="1"/>
  <c r="F267" i="1" s="1"/>
  <c r="M247" i="1"/>
  <c r="N222" i="1"/>
  <c r="J222" i="1" s="1"/>
  <c r="F222" i="1" s="1"/>
  <c r="M222" i="1"/>
  <c r="M187" i="1"/>
  <c r="N278" i="1"/>
  <c r="J278" i="1" s="1"/>
  <c r="F187" i="1"/>
  <c r="M240" i="1"/>
  <c r="M258" i="1"/>
  <c r="M514" i="1"/>
  <c r="M324" i="1"/>
  <c r="M496" i="1"/>
  <c r="M490" i="1"/>
  <c r="M400" i="1"/>
  <c r="M394" i="1"/>
  <c r="M346" i="1"/>
  <c r="M402" i="1"/>
  <c r="M519" i="1"/>
  <c r="N349" i="1"/>
  <c r="J349" i="1" s="1"/>
  <c r="F349" i="1" s="1"/>
  <c r="M560" i="1"/>
  <c r="N314" i="1"/>
  <c r="J314" i="1" s="1"/>
  <c r="F314" i="1" s="1"/>
  <c r="M266" i="1"/>
  <c r="N186" i="1"/>
  <c r="J186" i="1" s="1"/>
  <c r="F186" i="1" s="1"/>
  <c r="M270" i="1"/>
  <c r="M310" i="1"/>
  <c r="M179" i="1"/>
  <c r="M410" i="1"/>
  <c r="M249" i="1"/>
  <c r="M513" i="1"/>
  <c r="M392" i="1"/>
  <c r="M337" i="1"/>
  <c r="M163" i="1"/>
  <c r="M371" i="1"/>
  <c r="F2" i="5"/>
  <c r="M441" i="1"/>
  <c r="M192" i="1"/>
  <c r="M280" i="1"/>
  <c r="M328" i="1"/>
  <c r="M562" i="1"/>
  <c r="M409" i="1"/>
  <c r="M295" i="1"/>
  <c r="F295" i="1"/>
  <c r="M265" i="1"/>
  <c r="M185" i="1"/>
  <c r="F278" i="1"/>
  <c r="M250" i="1"/>
  <c r="M180" i="1"/>
  <c r="M342" i="1"/>
  <c r="F342" i="1"/>
  <c r="M589" i="1"/>
  <c r="M507" i="1"/>
  <c r="M358" i="1"/>
  <c r="M287" i="1"/>
  <c r="M494" i="1"/>
  <c r="M398" i="1"/>
  <c r="M387" i="1"/>
  <c r="M500" i="1"/>
  <c r="M444" i="1"/>
  <c r="M283" i="1"/>
  <c r="M393" i="1"/>
  <c r="M349" i="1"/>
  <c r="N318" i="1"/>
  <c r="J318" i="1" s="1"/>
  <c r="F318" i="1" s="1"/>
  <c r="M318" i="1"/>
  <c r="M292" i="1"/>
  <c r="M526" i="1"/>
  <c r="M484" i="1"/>
  <c r="M359" i="1"/>
  <c r="F359" i="1"/>
  <c r="M226" i="1"/>
  <c r="N226" i="1"/>
  <c r="J226" i="1" s="1"/>
  <c r="F226" i="1" s="1"/>
  <c r="M164" i="1"/>
  <c r="N270" i="1"/>
  <c r="J270" i="1" s="1"/>
  <c r="F270" i="1" s="1"/>
  <c r="M307" i="1"/>
  <c r="M207" i="1"/>
  <c r="M217" i="1"/>
  <c r="M424" i="1"/>
  <c r="M312" i="1"/>
  <c r="M320" i="1"/>
  <c r="M449" i="1"/>
  <c r="M534" i="1"/>
  <c r="M339" i="1"/>
  <c r="M257" i="1"/>
  <c r="M586" i="1"/>
  <c r="M403" i="1"/>
  <c r="M344" i="1"/>
  <c r="M182" i="1"/>
  <c r="N242" i="1"/>
  <c r="J242" i="1" s="1"/>
  <c r="F242" i="1" s="1"/>
  <c r="M242" i="1"/>
  <c r="M157" i="1"/>
  <c r="F157" i="1"/>
  <c r="M233" i="1"/>
  <c r="F274" i="1"/>
  <c r="M274" i="1"/>
  <c r="M505" i="1"/>
  <c r="M335" i="1"/>
  <c r="M479" i="1"/>
  <c r="M367" i="1"/>
  <c r="F335" i="1"/>
  <c r="M427" i="1"/>
  <c r="F471" i="1"/>
  <c r="M158" i="1"/>
  <c r="M439" i="1"/>
  <c r="M386" i="1"/>
  <c r="M314" i="1"/>
  <c r="M186" i="1"/>
  <c r="M340" i="1"/>
  <c r="F258" i="1"/>
  <c r="M232" i="1"/>
  <c r="M506" i="1"/>
  <c r="M336" i="1"/>
  <c r="M502" i="1"/>
  <c r="M474" i="1"/>
  <c r="M208" i="1"/>
  <c r="M360" i="1"/>
  <c r="M288" i="1"/>
  <c r="M435" i="1"/>
  <c r="M176" i="1"/>
  <c r="M191" i="1"/>
  <c r="I59" i="4" l="1"/>
  <c r="A59" i="4" s="1"/>
  <c r="I203" i="3"/>
  <c r="E203" i="3" s="1"/>
  <c r="I142" i="2"/>
  <c r="J142" i="2" s="1"/>
  <c r="I136" i="2"/>
  <c r="F136" i="2" s="1"/>
  <c r="I74" i="2"/>
  <c r="A74" i="2" s="1"/>
  <c r="B59" i="4"/>
  <c r="E59" i="4"/>
  <c r="J59" i="4"/>
  <c r="E142" i="2"/>
  <c r="B142" i="2"/>
  <c r="B74" i="2"/>
  <c r="E74" i="2"/>
  <c r="I51" i="3"/>
  <c r="I186" i="2"/>
  <c r="I56" i="2"/>
  <c r="I187" i="3"/>
  <c r="I44" i="5"/>
  <c r="I122" i="5"/>
  <c r="I25" i="5"/>
  <c r="I95" i="4"/>
  <c r="I102" i="5"/>
  <c r="I30" i="3"/>
  <c r="I66" i="4"/>
  <c r="I31" i="2"/>
  <c r="I159" i="3"/>
  <c r="I9" i="5"/>
  <c r="I62" i="4"/>
  <c r="I161" i="5"/>
  <c r="I124" i="5"/>
  <c r="I159" i="4"/>
  <c r="I41" i="5"/>
  <c r="I145" i="2"/>
  <c r="I34" i="3"/>
  <c r="I163" i="4"/>
  <c r="I123" i="2"/>
  <c r="I89" i="3"/>
  <c r="I35" i="3"/>
  <c r="I90" i="4"/>
  <c r="I133" i="5"/>
  <c r="I117" i="5"/>
  <c r="I124" i="4"/>
  <c r="I56" i="3"/>
  <c r="I54" i="2"/>
  <c r="I86" i="2"/>
  <c r="I148" i="2"/>
  <c r="I184" i="3"/>
  <c r="I4" i="3"/>
  <c r="I99" i="4"/>
  <c r="I139" i="4"/>
  <c r="I89" i="5"/>
  <c r="I63" i="5"/>
  <c r="I31" i="4"/>
  <c r="I188" i="3"/>
  <c r="I150" i="2"/>
  <c r="I124" i="2"/>
  <c r="I5" i="2"/>
  <c r="I35" i="2"/>
  <c r="I139" i="2"/>
  <c r="I102" i="3"/>
  <c r="I169" i="3"/>
  <c r="I68" i="3"/>
  <c r="I39" i="4"/>
  <c r="I76" i="4"/>
  <c r="I92" i="4"/>
  <c r="I189" i="4"/>
  <c r="I12" i="5"/>
  <c r="I125" i="5"/>
  <c r="I183" i="5"/>
  <c r="I146" i="4"/>
  <c r="I37" i="5"/>
  <c r="I17" i="5"/>
  <c r="I92" i="5"/>
  <c r="I121" i="5"/>
  <c r="I33" i="4"/>
  <c r="I69" i="4"/>
  <c r="I151" i="4"/>
  <c r="I193" i="4"/>
  <c r="I94" i="5"/>
  <c r="I50" i="4"/>
  <c r="I148" i="4"/>
  <c r="I196" i="4"/>
  <c r="I28" i="5"/>
  <c r="I118" i="5"/>
  <c r="I177" i="5"/>
  <c r="I199" i="4"/>
  <c r="I43" i="5"/>
  <c r="I119" i="5"/>
  <c r="I142" i="5"/>
  <c r="I26" i="2"/>
  <c r="I32" i="2"/>
  <c r="I167" i="2"/>
  <c r="I11" i="3"/>
  <c r="I71" i="3"/>
  <c r="I185" i="3"/>
  <c r="I20" i="4"/>
  <c r="I86" i="4"/>
  <c r="I96" i="4"/>
  <c r="I74" i="5"/>
  <c r="I60" i="5"/>
  <c r="I85" i="5"/>
  <c r="I34" i="2"/>
  <c r="I40" i="2"/>
  <c r="I174" i="2"/>
  <c r="I22" i="3"/>
  <c r="I79" i="3"/>
  <c r="I67" i="3"/>
  <c r="I38" i="4"/>
  <c r="I84" i="4"/>
  <c r="I100" i="4"/>
  <c r="I10" i="5"/>
  <c r="I27" i="5"/>
  <c r="I146" i="5"/>
  <c r="I52" i="2"/>
  <c r="I27" i="2"/>
  <c r="I126" i="2"/>
  <c r="I88" i="3"/>
  <c r="I160" i="3"/>
  <c r="I60" i="3"/>
  <c r="I201" i="3"/>
  <c r="I56" i="4"/>
  <c r="I150" i="4"/>
  <c r="I181" i="4"/>
  <c r="I4" i="5"/>
  <c r="I116" i="5"/>
  <c r="I175" i="5"/>
  <c r="I36" i="4"/>
  <c r="I8" i="4"/>
  <c r="I160" i="2"/>
  <c r="I12" i="2"/>
  <c r="I164" i="2"/>
  <c r="I195" i="3"/>
  <c r="I111" i="3"/>
  <c r="I41" i="3"/>
  <c r="I66" i="2"/>
  <c r="I52" i="4"/>
  <c r="I158" i="3"/>
  <c r="I120" i="2"/>
  <c r="I76" i="2"/>
  <c r="I38" i="3"/>
  <c r="I90" i="3"/>
  <c r="I37" i="3"/>
  <c r="I156" i="3"/>
  <c r="I86" i="3"/>
  <c r="I74" i="3"/>
  <c r="I6" i="3"/>
  <c r="I14" i="4"/>
  <c r="I4" i="4"/>
  <c r="I152" i="2"/>
  <c r="I127" i="3"/>
  <c r="I31" i="3"/>
  <c r="I132" i="3"/>
  <c r="I196" i="3"/>
  <c r="I106" i="4"/>
  <c r="I53" i="4"/>
  <c r="I135" i="4"/>
  <c r="I177" i="4"/>
  <c r="I78" i="5"/>
  <c r="I26" i="4"/>
  <c r="I94" i="4"/>
  <c r="I192" i="4"/>
  <c r="I24" i="5"/>
  <c r="I152" i="5"/>
  <c r="I141" i="5"/>
  <c r="I121" i="4"/>
  <c r="I138" i="4"/>
  <c r="I35" i="5"/>
  <c r="I67" i="5"/>
  <c r="I61" i="5"/>
  <c r="I72" i="4"/>
  <c r="I101" i="4"/>
  <c r="I144" i="4"/>
  <c r="I178" i="4"/>
  <c r="I87" i="5"/>
  <c r="I180" i="5"/>
  <c r="I155" i="4"/>
  <c r="I56" i="5"/>
  <c r="I135" i="5"/>
  <c r="I165" i="5"/>
  <c r="I93" i="2"/>
  <c r="I61" i="3"/>
  <c r="I103" i="2"/>
  <c r="I114" i="2"/>
  <c r="I135" i="3"/>
  <c r="I123" i="3"/>
  <c r="I23" i="4"/>
  <c r="I149" i="4"/>
  <c r="I169" i="4"/>
  <c r="I65" i="5"/>
  <c r="I126" i="5"/>
  <c r="I162" i="5"/>
  <c r="I15" i="2"/>
  <c r="I78" i="3"/>
  <c r="I111" i="2"/>
  <c r="I122" i="2"/>
  <c r="I143" i="3"/>
  <c r="I131" i="3"/>
  <c r="I29" i="4"/>
  <c r="I116" i="4"/>
  <c r="I183" i="4"/>
  <c r="I90" i="5"/>
  <c r="I68" i="5"/>
  <c r="I93" i="5"/>
  <c r="I69" i="2"/>
  <c r="I97" i="2"/>
  <c r="I117" i="2"/>
  <c r="I40" i="3"/>
  <c r="I23" i="3"/>
  <c r="I124" i="3"/>
  <c r="I192" i="3"/>
  <c r="I97" i="4"/>
  <c r="I45" i="4"/>
  <c r="I127" i="4"/>
  <c r="I99" i="5"/>
  <c r="I70" i="5"/>
  <c r="I146" i="3"/>
  <c r="I129" i="3"/>
  <c r="I98" i="2"/>
  <c r="I144" i="2"/>
  <c r="I44" i="4"/>
  <c r="I181" i="3"/>
  <c r="I156" i="2"/>
  <c r="I191" i="3"/>
  <c r="I103" i="3"/>
  <c r="I21" i="3"/>
  <c r="I58" i="2"/>
  <c r="I8" i="3"/>
  <c r="I189" i="3"/>
  <c r="I170" i="2"/>
  <c r="I28" i="3"/>
  <c r="I27" i="3"/>
  <c r="I176" i="3"/>
  <c r="I154" i="2"/>
  <c r="I66" i="3"/>
  <c r="I197" i="2"/>
  <c r="I168" i="2"/>
  <c r="I121" i="2"/>
  <c r="I198" i="2"/>
  <c r="I95" i="3"/>
  <c r="I117" i="4"/>
  <c r="I59" i="5"/>
  <c r="I38" i="5"/>
  <c r="I126" i="3"/>
  <c r="I139" i="5"/>
  <c r="I173" i="5"/>
  <c r="I79" i="2"/>
  <c r="I149" i="2"/>
  <c r="I102" i="2"/>
  <c r="I13" i="3"/>
  <c r="I134" i="3"/>
  <c r="I185" i="2"/>
  <c r="I11" i="4"/>
  <c r="I74" i="4"/>
  <c r="I66" i="5"/>
  <c r="I81" i="5"/>
  <c r="I134" i="5"/>
  <c r="I170" i="5"/>
  <c r="I42" i="2"/>
  <c r="I48" i="2"/>
  <c r="I176" i="2"/>
  <c r="I33" i="3"/>
  <c r="I87" i="3"/>
  <c r="I75" i="3"/>
  <c r="I54" i="4"/>
  <c r="I91" i="4"/>
  <c r="I113" i="4"/>
  <c r="I18" i="5"/>
  <c r="I40" i="5"/>
  <c r="I150" i="5"/>
  <c r="I119" i="2"/>
  <c r="I101" i="2"/>
  <c r="I18" i="3"/>
  <c r="I73" i="3"/>
  <c r="I91" i="2"/>
  <c r="I81" i="2"/>
  <c r="I138" i="3"/>
  <c r="I121" i="3"/>
  <c r="I90" i="2"/>
  <c r="I42" i="4"/>
  <c r="I175" i="3"/>
  <c r="I143" i="2"/>
  <c r="I132" i="2"/>
  <c r="I165" i="3"/>
  <c r="I202" i="2"/>
  <c r="I63" i="4"/>
  <c r="I133" i="3"/>
  <c r="I54" i="3"/>
  <c r="I148" i="3"/>
  <c r="I70" i="3"/>
  <c r="I155" i="3"/>
  <c r="I146" i="2"/>
  <c r="I58" i="4"/>
  <c r="I104" i="4"/>
  <c r="I45" i="5"/>
  <c r="I163" i="5"/>
  <c r="I103" i="5"/>
  <c r="I36" i="5"/>
  <c r="I104" i="5"/>
  <c r="I178" i="2"/>
  <c r="I154" i="3"/>
  <c r="I147" i="3"/>
  <c r="I107" i="4"/>
  <c r="I107" i="5"/>
  <c r="I178" i="3"/>
  <c r="I177" i="2"/>
  <c r="I17" i="4"/>
  <c r="I42" i="3"/>
  <c r="I186" i="3"/>
  <c r="I137" i="4"/>
  <c r="I172" i="4"/>
  <c r="I88" i="5"/>
  <c r="I98" i="5"/>
  <c r="I181" i="5"/>
  <c r="I23" i="2"/>
  <c r="I92" i="2"/>
  <c r="I125" i="2"/>
  <c r="I130" i="2"/>
  <c r="I151" i="3"/>
  <c r="I139" i="3"/>
  <c r="I35" i="4"/>
  <c r="I134" i="4"/>
  <c r="I8" i="5"/>
  <c r="I108" i="5"/>
  <c r="I76" i="5"/>
  <c r="I105" i="5"/>
  <c r="I28" i="2"/>
  <c r="I107" i="3"/>
  <c r="I93" i="3"/>
  <c r="I80" i="2"/>
  <c r="I13" i="2"/>
  <c r="I147" i="2"/>
  <c r="I10" i="3"/>
  <c r="I57" i="3"/>
  <c r="I188" i="2"/>
  <c r="I199" i="2"/>
  <c r="I130" i="3"/>
  <c r="I113" i="3"/>
  <c r="I89" i="2"/>
  <c r="I44" i="2"/>
  <c r="I60" i="2"/>
  <c r="I151" i="2"/>
  <c r="I171" i="2"/>
  <c r="I36" i="3"/>
  <c r="I65" i="3"/>
  <c r="I165" i="2"/>
  <c r="I171" i="3"/>
  <c r="I5" i="4"/>
  <c r="I159" i="2"/>
  <c r="I20" i="3"/>
  <c r="I16" i="3"/>
  <c r="I140" i="3"/>
  <c r="I62" i="3"/>
  <c r="I77" i="2"/>
  <c r="I46" i="4"/>
  <c r="I20" i="2"/>
  <c r="I53" i="3"/>
  <c r="I26" i="5"/>
  <c r="I180" i="4"/>
  <c r="I167" i="4"/>
  <c r="I7" i="4"/>
  <c r="I138" i="2"/>
  <c r="I115" i="4"/>
  <c r="I149" i="5"/>
  <c r="I107" i="2"/>
  <c r="I166" i="2"/>
  <c r="I68" i="2"/>
  <c r="I101" i="5"/>
  <c r="I57" i="4"/>
  <c r="I125" i="4"/>
  <c r="I114" i="4"/>
  <c r="I94" i="2"/>
  <c r="I81" i="4"/>
  <c r="I6" i="2"/>
  <c r="I106" i="3"/>
  <c r="I153" i="4"/>
  <c r="I187" i="4"/>
  <c r="I120" i="5"/>
  <c r="I137" i="5"/>
  <c r="I109" i="2"/>
  <c r="I153" i="2"/>
  <c r="I110" i="2"/>
  <c r="I24" i="3"/>
  <c r="I142" i="3"/>
  <c r="I193" i="2"/>
  <c r="I15" i="4"/>
  <c r="I82" i="4"/>
  <c r="I188" i="4"/>
  <c r="I97" i="5"/>
  <c r="I143" i="5"/>
  <c r="I178" i="5"/>
  <c r="I92" i="3"/>
  <c r="I192" i="2"/>
  <c r="I59" i="2"/>
  <c r="I161" i="2"/>
  <c r="I104" i="2"/>
  <c r="I99" i="3"/>
  <c r="I77" i="3"/>
  <c r="I72" i="2"/>
  <c r="I18" i="2"/>
  <c r="I155" i="2"/>
  <c r="I57" i="2"/>
  <c r="I46" i="3"/>
  <c r="I175" i="2"/>
  <c r="I158" i="2"/>
  <c r="I115" i="2"/>
  <c r="I67" i="4"/>
  <c r="I141" i="3"/>
  <c r="I24" i="2"/>
  <c r="I12" i="4"/>
  <c r="I55" i="3"/>
  <c r="I73" i="2"/>
  <c r="I55" i="4"/>
  <c r="I125" i="3"/>
  <c r="I141" i="2"/>
  <c r="I12" i="3"/>
  <c r="I5" i="3"/>
  <c r="I128" i="2"/>
  <c r="I50" i="2"/>
  <c r="I49" i="4"/>
  <c r="I157" i="4"/>
  <c r="I128" i="5"/>
  <c r="I73" i="4"/>
  <c r="I174" i="5"/>
  <c r="I21" i="4"/>
  <c r="I14" i="5"/>
  <c r="I106" i="2"/>
  <c r="I100" i="2"/>
  <c r="I140" i="4"/>
  <c r="I84" i="5"/>
  <c r="I13" i="5"/>
  <c r="I6" i="5"/>
  <c r="I77" i="4"/>
  <c r="I198" i="4"/>
  <c r="I130" i="5"/>
  <c r="I169" i="2"/>
  <c r="I131" i="4"/>
  <c r="I182" i="5"/>
  <c r="I99" i="2"/>
  <c r="I116" i="2"/>
  <c r="I19" i="4"/>
  <c r="I147" i="5"/>
  <c r="I128" i="4"/>
  <c r="I164" i="5"/>
  <c r="I154" i="4"/>
  <c r="I144" i="5"/>
  <c r="I47" i="5"/>
  <c r="I69" i="5"/>
  <c r="I186" i="4"/>
  <c r="I151" i="5"/>
  <c r="I183" i="2"/>
  <c r="I48" i="3"/>
  <c r="I98" i="3"/>
  <c r="I179" i="4"/>
  <c r="I160" i="5"/>
  <c r="I19" i="3"/>
  <c r="I59" i="3"/>
  <c r="I24" i="4"/>
  <c r="I115" i="3"/>
  <c r="I105" i="2"/>
  <c r="I49" i="2"/>
  <c r="I140" i="2"/>
  <c r="I94" i="3"/>
  <c r="I194" i="2"/>
  <c r="I109" i="3"/>
  <c r="I58" i="3"/>
  <c r="I194" i="3"/>
  <c r="I41" i="4"/>
  <c r="I182" i="4"/>
  <c r="I42" i="5"/>
  <c r="I115" i="5"/>
  <c r="I176" i="5"/>
  <c r="I88" i="4"/>
  <c r="I105" i="4"/>
  <c r="I191" i="4"/>
  <c r="I20" i="5"/>
  <c r="I155" i="5"/>
  <c r="I184" i="5"/>
  <c r="I142" i="4"/>
  <c r="I184" i="4"/>
  <c r="I21" i="5"/>
  <c r="I111" i="5"/>
  <c r="I169" i="5"/>
  <c r="I173" i="4"/>
  <c r="I197" i="4"/>
  <c r="I39" i="5"/>
  <c r="I110" i="5"/>
  <c r="I138" i="5"/>
  <c r="I126" i="4"/>
  <c r="I103" i="4"/>
  <c r="I64" i="5"/>
  <c r="I46" i="5"/>
  <c r="I21" i="2"/>
  <c r="I62" i="2"/>
  <c r="I118" i="2"/>
  <c r="I81" i="3"/>
  <c r="I145" i="3"/>
  <c r="I187" i="2"/>
  <c r="I161" i="3"/>
  <c r="I75" i="4"/>
  <c r="I110" i="4"/>
  <c r="I200" i="4"/>
  <c r="I194" i="4"/>
  <c r="I100" i="5"/>
  <c r="I159" i="5"/>
  <c r="I70" i="2"/>
  <c r="I131" i="2"/>
  <c r="I97" i="3"/>
  <c r="I153" i="3"/>
  <c r="I195" i="2"/>
  <c r="I167" i="3"/>
  <c r="I79" i="4"/>
  <c r="I123" i="4"/>
  <c r="I7" i="5"/>
  <c r="I57" i="5"/>
  <c r="I166" i="5"/>
  <c r="I140" i="5"/>
  <c r="I41" i="2"/>
  <c r="I127" i="2"/>
  <c r="I190" i="2"/>
  <c r="I191" i="2"/>
  <c r="I101" i="3"/>
  <c r="I50" i="3"/>
  <c r="I190" i="3"/>
  <c r="I168" i="4"/>
  <c r="I176" i="4"/>
  <c r="I29" i="5"/>
  <c r="I106" i="5"/>
  <c r="I168" i="5"/>
  <c r="I63" i="2"/>
  <c r="I43" i="3"/>
  <c r="I6" i="4"/>
  <c r="I45" i="3"/>
  <c r="I46" i="2"/>
  <c r="I10" i="2"/>
  <c r="I29" i="2"/>
  <c r="I84" i="3"/>
  <c r="I180" i="2"/>
  <c r="I51" i="2"/>
  <c r="I8" i="2"/>
  <c r="I91" i="3"/>
  <c r="I64" i="3"/>
  <c r="I64" i="2"/>
  <c r="I33" i="2"/>
  <c r="I47" i="2"/>
  <c r="I179" i="3"/>
  <c r="I118" i="3"/>
  <c r="I16" i="2"/>
  <c r="I22" i="4"/>
  <c r="I128" i="3"/>
  <c r="I157" i="2"/>
  <c r="I163" i="3"/>
  <c r="I172" i="3"/>
  <c r="I64" i="4"/>
  <c r="I117" i="3"/>
  <c r="I32" i="3"/>
  <c r="I82" i="2"/>
  <c r="I184" i="2"/>
  <c r="I198" i="3"/>
  <c r="I51" i="4"/>
  <c r="I71" i="2"/>
  <c r="I72" i="5"/>
  <c r="I4" i="2"/>
  <c r="I129" i="2"/>
  <c r="I23" i="5"/>
  <c r="I112" i="5"/>
  <c r="I154" i="5"/>
  <c r="I34" i="5"/>
  <c r="I60" i="4"/>
  <c r="I158" i="4"/>
  <c r="I127" i="5"/>
  <c r="I9" i="4"/>
  <c r="I82" i="5"/>
  <c r="I182" i="2"/>
  <c r="I26" i="3"/>
  <c r="I173" i="2"/>
  <c r="I201" i="2"/>
  <c r="I190" i="4"/>
  <c r="I145" i="4"/>
  <c r="I71" i="5"/>
  <c r="I75" i="5"/>
  <c r="I171" i="5"/>
  <c r="I156" i="4"/>
  <c r="I83" i="5"/>
  <c r="I152" i="4"/>
  <c r="I95" i="5"/>
  <c r="I69" i="3"/>
  <c r="I149" i="3"/>
  <c r="I37" i="4"/>
  <c r="I48" i="5"/>
  <c r="I132" i="5"/>
  <c r="I85" i="3"/>
  <c r="I157" i="3"/>
  <c r="I89" i="4"/>
  <c r="I112" i="3"/>
  <c r="I100" i="3"/>
  <c r="I200" i="2"/>
  <c r="I67" i="2"/>
  <c r="I9" i="2"/>
  <c r="I22" i="2"/>
  <c r="I88" i="2"/>
  <c r="I196" i="2"/>
  <c r="I96" i="3"/>
  <c r="I174" i="3"/>
  <c r="I122" i="3"/>
  <c r="I40" i="4"/>
  <c r="I102" i="4"/>
  <c r="I171" i="4"/>
  <c r="I5" i="5"/>
  <c r="I136" i="5"/>
  <c r="I153" i="5"/>
  <c r="I25" i="4"/>
  <c r="I61" i="4"/>
  <c r="I143" i="4"/>
  <c r="I185" i="4"/>
  <c r="I86" i="5"/>
  <c r="I70" i="4"/>
  <c r="I164" i="4"/>
  <c r="I136" i="4"/>
  <c r="I170" i="4"/>
  <c r="I79" i="5"/>
  <c r="I172" i="5"/>
  <c r="I120" i="4"/>
  <c r="I51" i="5"/>
  <c r="I49" i="5"/>
  <c r="I131" i="5"/>
  <c r="I157" i="5"/>
  <c r="I85" i="4"/>
  <c r="I174" i="4"/>
  <c r="I11" i="5"/>
  <c r="I114" i="5"/>
  <c r="I45" i="2"/>
  <c r="I11" i="2"/>
  <c r="I104" i="3"/>
  <c r="I49" i="3"/>
  <c r="I144" i="3"/>
  <c r="I44" i="3"/>
  <c r="I34" i="4"/>
  <c r="I83" i="4"/>
  <c r="I118" i="4"/>
  <c r="I160" i="4"/>
  <c r="I80" i="5"/>
  <c r="I54" i="5"/>
  <c r="I25" i="2"/>
  <c r="I19" i="2"/>
  <c r="I113" i="2"/>
  <c r="I72" i="3"/>
  <c r="I152" i="3"/>
  <c r="I52" i="3"/>
  <c r="I197" i="3"/>
  <c r="I93" i="4"/>
  <c r="I130" i="4"/>
  <c r="I166" i="4"/>
  <c r="I202" i="4"/>
  <c r="I109" i="5"/>
  <c r="I167" i="5"/>
  <c r="I14" i="2"/>
  <c r="I87" i="2"/>
  <c r="I120" i="3"/>
  <c r="I80" i="3"/>
  <c r="I168" i="3"/>
  <c r="I114" i="3"/>
  <c r="I32" i="4"/>
  <c r="I98" i="4"/>
  <c r="I161" i="4"/>
  <c r="I195" i="4"/>
  <c r="I129" i="5"/>
  <c r="I145" i="5"/>
  <c r="I65" i="2"/>
  <c r="I202" i="3"/>
  <c r="I183" i="3"/>
  <c r="I137" i="2"/>
  <c r="I96" i="2"/>
  <c r="I129" i="4"/>
  <c r="I193" i="3"/>
  <c r="I25" i="3"/>
  <c r="I38" i="2"/>
  <c r="I179" i="2"/>
  <c r="I53" i="2"/>
  <c r="I76" i="3"/>
  <c r="I172" i="2"/>
  <c r="I43" i="2"/>
  <c r="I16" i="4"/>
  <c r="I63" i="3"/>
  <c r="I82" i="3"/>
  <c r="I17" i="3"/>
  <c r="I27" i="4"/>
  <c r="I47" i="3"/>
  <c r="I47" i="4"/>
  <c r="I166" i="3"/>
  <c r="I95" i="2"/>
  <c r="I83" i="3"/>
  <c r="I15" i="5"/>
  <c r="I122" i="4"/>
  <c r="I137" i="3"/>
  <c r="I43" i="4"/>
  <c r="I175" i="4"/>
  <c r="I201" i="4"/>
  <c r="I163" i="2"/>
  <c r="I113" i="5"/>
  <c r="I150" i="3"/>
  <c r="I30" i="4"/>
  <c r="I17" i="2"/>
  <c r="I181" i="2"/>
  <c r="I10" i="4"/>
  <c r="I33" i="5"/>
  <c r="I156" i="5"/>
  <c r="I108" i="4"/>
  <c r="I132" i="4"/>
  <c r="I31" i="5"/>
  <c r="I50" i="5"/>
  <c r="I53" i="5"/>
  <c r="I112" i="4"/>
  <c r="I109" i="4"/>
  <c r="I22" i="5"/>
  <c r="I32" i="5"/>
  <c r="I30" i="5"/>
  <c r="I162" i="3"/>
  <c r="I65" i="4"/>
  <c r="I162" i="4"/>
  <c r="I91" i="5"/>
  <c r="I158" i="5"/>
  <c r="I179" i="5"/>
  <c r="I165" i="4"/>
  <c r="I58" i="5"/>
  <c r="I52" i="5"/>
  <c r="I77" i="5"/>
  <c r="I37" i="2"/>
  <c r="I75" i="2"/>
  <c r="I189" i="2"/>
  <c r="I9" i="3"/>
  <c r="I7" i="3"/>
  <c r="I108" i="3"/>
  <c r="I48" i="4"/>
  <c r="I78" i="4"/>
  <c r="I141" i="4"/>
  <c r="I111" i="4"/>
  <c r="I19" i="5"/>
  <c r="I123" i="5"/>
  <c r="I61" i="2"/>
  <c r="I83" i="2"/>
  <c r="I112" i="2"/>
  <c r="I29" i="3"/>
  <c r="I15" i="3"/>
  <c r="I116" i="3"/>
  <c r="I68" i="4"/>
  <c r="I80" i="4"/>
  <c r="I147" i="4"/>
  <c r="I119" i="4"/>
  <c r="I96" i="5"/>
  <c r="I62" i="5"/>
  <c r="I7" i="2"/>
  <c r="I78" i="2"/>
  <c r="I135" i="2"/>
  <c r="I105" i="3"/>
  <c r="I164" i="3"/>
  <c r="I203" i="2"/>
  <c r="I173" i="3"/>
  <c r="I87" i="4"/>
  <c r="I133" i="4"/>
  <c r="I16" i="5"/>
  <c r="I73" i="5"/>
  <c r="I55" i="5"/>
  <c r="I148" i="5"/>
  <c r="I199" i="3"/>
  <c r="I119" i="3"/>
  <c r="I110" i="3"/>
  <c r="I36" i="2"/>
  <c r="I85" i="2"/>
  <c r="I39" i="2"/>
  <c r="I108" i="2"/>
  <c r="I170" i="3"/>
  <c r="I177" i="3"/>
  <c r="I133" i="2"/>
  <c r="I84" i="2"/>
  <c r="I55" i="2"/>
  <c r="I71" i="4"/>
  <c r="I180" i="3"/>
  <c r="I14" i="3"/>
  <c r="I30" i="2"/>
  <c r="I28" i="4"/>
  <c r="I136" i="3"/>
  <c r="I182" i="3"/>
  <c r="I162" i="2"/>
  <c r="I18" i="4"/>
  <c r="I13" i="4"/>
  <c r="I200" i="3"/>
  <c r="I39" i="3"/>
  <c r="I134" i="2"/>
  <c r="E136" i="2" l="1"/>
  <c r="B203" i="3"/>
  <c r="F59" i="4"/>
  <c r="D203" i="3"/>
  <c r="C74" i="2"/>
  <c r="C59" i="4"/>
  <c r="A203" i="3"/>
  <c r="D59" i="4"/>
  <c r="F74" i="2"/>
  <c r="A142" i="2"/>
  <c r="J136" i="2"/>
  <c r="C203" i="3"/>
  <c r="D74" i="2"/>
  <c r="C142" i="2"/>
  <c r="A136" i="2"/>
  <c r="J203" i="3"/>
  <c r="J74" i="2"/>
  <c r="D142" i="2"/>
  <c r="B136" i="2"/>
  <c r="F203" i="3"/>
  <c r="F142" i="2"/>
  <c r="C136" i="2"/>
  <c r="D136" i="2"/>
  <c r="B60" i="4"/>
  <c r="F60" i="4"/>
  <c r="A60" i="4"/>
  <c r="E60" i="4"/>
  <c r="D60" i="4"/>
  <c r="J60" i="4"/>
  <c r="C60" i="4"/>
  <c r="B88" i="4"/>
  <c r="A88" i="4"/>
  <c r="F88" i="4"/>
  <c r="E88" i="4"/>
  <c r="C88" i="4"/>
  <c r="J88" i="4"/>
  <c r="D88" i="4"/>
  <c r="D7" i="4"/>
  <c r="E7" i="4"/>
  <c r="J7" i="4"/>
  <c r="F7" i="4"/>
  <c r="B7" i="4"/>
  <c r="C7" i="4"/>
  <c r="A7" i="4"/>
  <c r="E112" i="2"/>
  <c r="J112" i="2"/>
  <c r="D112" i="2"/>
  <c r="C112" i="2"/>
  <c r="B112" i="2"/>
  <c r="F112" i="2"/>
  <c r="A112" i="2"/>
  <c r="B30" i="4"/>
  <c r="D30" i="4"/>
  <c r="E30" i="4"/>
  <c r="A30" i="4"/>
  <c r="J30" i="4"/>
  <c r="F30" i="4"/>
  <c r="C30" i="4"/>
  <c r="E202" i="3"/>
  <c r="F202" i="3"/>
  <c r="D202" i="3"/>
  <c r="C202" i="3"/>
  <c r="A202" i="3"/>
  <c r="J202" i="3"/>
  <c r="B202" i="3"/>
  <c r="B34" i="4"/>
  <c r="J34" i="4"/>
  <c r="F34" i="4"/>
  <c r="E34" i="4"/>
  <c r="D34" i="4"/>
  <c r="C34" i="4"/>
  <c r="A34" i="4"/>
  <c r="B40" i="4"/>
  <c r="F40" i="4"/>
  <c r="J40" i="4"/>
  <c r="E40" i="4"/>
  <c r="D40" i="4"/>
  <c r="C40" i="4"/>
  <c r="A40" i="4"/>
  <c r="J112" i="5"/>
  <c r="F112" i="5"/>
  <c r="D112" i="5"/>
  <c r="B112" i="5"/>
  <c r="E112" i="5"/>
  <c r="C112" i="5"/>
  <c r="A112" i="5"/>
  <c r="B46" i="2"/>
  <c r="F46" i="2"/>
  <c r="E46" i="2"/>
  <c r="J46" i="2"/>
  <c r="D46" i="2"/>
  <c r="A46" i="2"/>
  <c r="C46" i="2"/>
  <c r="B62" i="2"/>
  <c r="F62" i="2"/>
  <c r="E62" i="2"/>
  <c r="J62" i="2"/>
  <c r="D62" i="2"/>
  <c r="A62" i="2"/>
  <c r="C62" i="2"/>
  <c r="E140" i="2"/>
  <c r="C140" i="2"/>
  <c r="B140" i="2"/>
  <c r="A140" i="2"/>
  <c r="J140" i="2"/>
  <c r="F140" i="2"/>
  <c r="D140" i="2"/>
  <c r="C84" i="5"/>
  <c r="F84" i="5"/>
  <c r="E84" i="5"/>
  <c r="D84" i="5"/>
  <c r="J84" i="5"/>
  <c r="B84" i="5"/>
  <c r="A84" i="5"/>
  <c r="J143" i="5"/>
  <c r="F143" i="5"/>
  <c r="D143" i="5"/>
  <c r="B143" i="5"/>
  <c r="A143" i="5"/>
  <c r="E143" i="5"/>
  <c r="C143" i="5"/>
  <c r="E200" i="3"/>
  <c r="F200" i="3"/>
  <c r="A200" i="3"/>
  <c r="C200" i="3"/>
  <c r="J200" i="3"/>
  <c r="D200" i="3"/>
  <c r="B200" i="3"/>
  <c r="D14" i="3"/>
  <c r="B14" i="3"/>
  <c r="F14" i="3"/>
  <c r="A14" i="3"/>
  <c r="J14" i="3"/>
  <c r="E14" i="3"/>
  <c r="C14" i="3"/>
  <c r="E108" i="2"/>
  <c r="D108" i="2"/>
  <c r="C108" i="2"/>
  <c r="J108" i="2"/>
  <c r="F108" i="2"/>
  <c r="B108" i="2"/>
  <c r="A108" i="2"/>
  <c r="C55" i="5"/>
  <c r="J55" i="5"/>
  <c r="A55" i="5"/>
  <c r="F55" i="5"/>
  <c r="E55" i="5"/>
  <c r="B55" i="5"/>
  <c r="D55" i="5"/>
  <c r="D105" i="3"/>
  <c r="F105" i="3"/>
  <c r="E105" i="3"/>
  <c r="C105" i="3"/>
  <c r="B105" i="3"/>
  <c r="J105" i="3"/>
  <c r="A105" i="3"/>
  <c r="B80" i="4"/>
  <c r="A80" i="4"/>
  <c r="F80" i="4"/>
  <c r="E80" i="4"/>
  <c r="J80" i="4"/>
  <c r="D80" i="4"/>
  <c r="C80" i="4"/>
  <c r="J123" i="5"/>
  <c r="F123" i="5"/>
  <c r="D123" i="5"/>
  <c r="B123" i="5"/>
  <c r="E123" i="5"/>
  <c r="C123" i="5"/>
  <c r="A123" i="5"/>
  <c r="D9" i="3"/>
  <c r="F9" i="3"/>
  <c r="C9" i="3"/>
  <c r="J9" i="3"/>
  <c r="E9" i="3"/>
  <c r="B9" i="3"/>
  <c r="A9" i="3"/>
  <c r="J179" i="5"/>
  <c r="F179" i="5"/>
  <c r="D179" i="5"/>
  <c r="B179" i="5"/>
  <c r="A179" i="5"/>
  <c r="E179" i="5"/>
  <c r="C179" i="5"/>
  <c r="C22" i="5"/>
  <c r="A22" i="5"/>
  <c r="J22" i="5"/>
  <c r="D22" i="5"/>
  <c r="B22" i="5"/>
  <c r="F22" i="5"/>
  <c r="E22" i="5"/>
  <c r="J156" i="5"/>
  <c r="F156" i="5"/>
  <c r="D156" i="5"/>
  <c r="B156" i="5"/>
  <c r="A156" i="5"/>
  <c r="E156" i="5"/>
  <c r="C156" i="5"/>
  <c r="E163" i="2"/>
  <c r="J163" i="2"/>
  <c r="F163" i="2"/>
  <c r="D163" i="2"/>
  <c r="C163" i="2"/>
  <c r="B163" i="2"/>
  <c r="A163" i="2"/>
  <c r="E95" i="2"/>
  <c r="C95" i="2"/>
  <c r="B95" i="2"/>
  <c r="A95" i="2"/>
  <c r="F95" i="2"/>
  <c r="D95" i="2"/>
  <c r="J95" i="2"/>
  <c r="D16" i="4"/>
  <c r="E16" i="4"/>
  <c r="J16" i="4"/>
  <c r="F16" i="4"/>
  <c r="B16" i="4"/>
  <c r="A16" i="4"/>
  <c r="C16" i="4"/>
  <c r="E193" i="3"/>
  <c r="F193" i="3"/>
  <c r="C193" i="3"/>
  <c r="B193" i="3"/>
  <c r="A193" i="3"/>
  <c r="J193" i="3"/>
  <c r="D193" i="3"/>
  <c r="J129" i="5"/>
  <c r="F129" i="5"/>
  <c r="D129" i="5"/>
  <c r="B129" i="5"/>
  <c r="E129" i="5"/>
  <c r="C129" i="5"/>
  <c r="A129" i="5"/>
  <c r="D120" i="3"/>
  <c r="E120" i="3"/>
  <c r="C120" i="3"/>
  <c r="B120" i="3"/>
  <c r="A120" i="3"/>
  <c r="J120" i="3"/>
  <c r="F120" i="3"/>
  <c r="A93" i="4"/>
  <c r="E93" i="4"/>
  <c r="F93" i="4"/>
  <c r="D93" i="4"/>
  <c r="B93" i="4"/>
  <c r="J93" i="4"/>
  <c r="C93" i="4"/>
  <c r="C54" i="5"/>
  <c r="J54" i="5"/>
  <c r="B54" i="5"/>
  <c r="A54" i="5"/>
  <c r="F54" i="5"/>
  <c r="E54" i="5"/>
  <c r="D54" i="5"/>
  <c r="D49" i="3"/>
  <c r="F49" i="3"/>
  <c r="C49" i="3"/>
  <c r="J49" i="3"/>
  <c r="E49" i="3"/>
  <c r="B49" i="3"/>
  <c r="A49" i="3"/>
  <c r="J157" i="5"/>
  <c r="F157" i="5"/>
  <c r="D157" i="5"/>
  <c r="B157" i="5"/>
  <c r="A157" i="5"/>
  <c r="C157" i="5"/>
  <c r="E157" i="5"/>
  <c r="A136" i="4"/>
  <c r="J136" i="4"/>
  <c r="F136" i="4"/>
  <c r="E136" i="4"/>
  <c r="D136" i="4"/>
  <c r="C136" i="4"/>
  <c r="B136" i="4"/>
  <c r="J153" i="5"/>
  <c r="F153" i="5"/>
  <c r="D153" i="5"/>
  <c r="B153" i="5"/>
  <c r="A153" i="5"/>
  <c r="E153" i="5"/>
  <c r="C153" i="5"/>
  <c r="D96" i="3"/>
  <c r="E96" i="3"/>
  <c r="C96" i="3"/>
  <c r="B96" i="3"/>
  <c r="J96" i="3"/>
  <c r="F96" i="3"/>
  <c r="A96" i="3"/>
  <c r="D112" i="3"/>
  <c r="E112" i="3"/>
  <c r="C112" i="3"/>
  <c r="B112" i="3"/>
  <c r="A112" i="3"/>
  <c r="J112" i="3"/>
  <c r="F112" i="3"/>
  <c r="D69" i="3"/>
  <c r="A69" i="3"/>
  <c r="J69" i="3"/>
  <c r="E69" i="3"/>
  <c r="C69" i="3"/>
  <c r="B69" i="3"/>
  <c r="F69" i="3"/>
  <c r="A145" i="4"/>
  <c r="J145" i="4"/>
  <c r="B145" i="4"/>
  <c r="F145" i="4"/>
  <c r="E145" i="4"/>
  <c r="D145" i="4"/>
  <c r="C145" i="4"/>
  <c r="J127" i="5"/>
  <c r="F127" i="5"/>
  <c r="D127" i="5"/>
  <c r="B127" i="5"/>
  <c r="E127" i="5"/>
  <c r="C127" i="5"/>
  <c r="A127" i="5"/>
  <c r="B4" i="2"/>
  <c r="F4" i="2"/>
  <c r="A4" i="2"/>
  <c r="D4" i="2"/>
  <c r="J4" i="2"/>
  <c r="E4" i="2"/>
  <c r="C4" i="2"/>
  <c r="D117" i="3"/>
  <c r="A117" i="3"/>
  <c r="J117" i="3"/>
  <c r="E117" i="3"/>
  <c r="B117" i="3"/>
  <c r="F117" i="3"/>
  <c r="C117" i="3"/>
  <c r="D118" i="3"/>
  <c r="B118" i="3"/>
  <c r="A118" i="3"/>
  <c r="J118" i="3"/>
  <c r="F118" i="3"/>
  <c r="C118" i="3"/>
  <c r="E118" i="3"/>
  <c r="B51" i="2"/>
  <c r="F51" i="2"/>
  <c r="E51" i="2"/>
  <c r="J51" i="2"/>
  <c r="D51" i="2"/>
  <c r="C51" i="2"/>
  <c r="A51" i="2"/>
  <c r="D43" i="3"/>
  <c r="J43" i="3"/>
  <c r="F43" i="3"/>
  <c r="B43" i="3"/>
  <c r="C43" i="3"/>
  <c r="A43" i="3"/>
  <c r="E43" i="3"/>
  <c r="D50" i="3"/>
  <c r="E50" i="3"/>
  <c r="A50" i="3"/>
  <c r="F50" i="3"/>
  <c r="C50" i="3"/>
  <c r="B50" i="3"/>
  <c r="J50" i="3"/>
  <c r="C57" i="5"/>
  <c r="B57" i="5"/>
  <c r="A57" i="5"/>
  <c r="D57" i="5"/>
  <c r="J57" i="5"/>
  <c r="E57" i="5"/>
  <c r="F57" i="5"/>
  <c r="E131" i="2"/>
  <c r="J131" i="2"/>
  <c r="B131" i="2"/>
  <c r="A131" i="2"/>
  <c r="F131" i="2"/>
  <c r="D131" i="2"/>
  <c r="C131" i="2"/>
  <c r="E161" i="3"/>
  <c r="D161" i="3"/>
  <c r="F161" i="3"/>
  <c r="C161" i="3"/>
  <c r="B161" i="3"/>
  <c r="A161" i="3"/>
  <c r="J161" i="3"/>
  <c r="C64" i="5"/>
  <c r="A64" i="5"/>
  <c r="J64" i="5"/>
  <c r="B64" i="5"/>
  <c r="F64" i="5"/>
  <c r="D64" i="5"/>
  <c r="E64" i="5"/>
  <c r="J169" i="5"/>
  <c r="F169" i="5"/>
  <c r="D169" i="5"/>
  <c r="B169" i="5"/>
  <c r="A169" i="5"/>
  <c r="C169" i="5"/>
  <c r="E169" i="5"/>
  <c r="D191" i="4"/>
  <c r="E191" i="4"/>
  <c r="C191" i="4"/>
  <c r="B191" i="4"/>
  <c r="J191" i="4"/>
  <c r="F191" i="4"/>
  <c r="A191" i="4"/>
  <c r="E194" i="3"/>
  <c r="F194" i="3"/>
  <c r="D194" i="3"/>
  <c r="C194" i="3"/>
  <c r="A194" i="3"/>
  <c r="J194" i="3"/>
  <c r="B194" i="3"/>
  <c r="D115" i="3"/>
  <c r="J115" i="3"/>
  <c r="F115" i="3"/>
  <c r="E115" i="3"/>
  <c r="B115" i="3"/>
  <c r="C115" i="3"/>
  <c r="A115" i="3"/>
  <c r="E183" i="2"/>
  <c r="D183" i="2"/>
  <c r="C183" i="2"/>
  <c r="A183" i="2"/>
  <c r="J183" i="2"/>
  <c r="F183" i="2"/>
  <c r="B183" i="2"/>
  <c r="A128" i="4"/>
  <c r="J128" i="4"/>
  <c r="C128" i="4"/>
  <c r="B128" i="4"/>
  <c r="F128" i="4"/>
  <c r="E128" i="4"/>
  <c r="D128" i="4"/>
  <c r="J130" i="5"/>
  <c r="F130" i="5"/>
  <c r="D130" i="5"/>
  <c r="B130" i="5"/>
  <c r="E130" i="5"/>
  <c r="C130" i="5"/>
  <c r="A130" i="5"/>
  <c r="E106" i="2"/>
  <c r="B106" i="2"/>
  <c r="A106" i="2"/>
  <c r="F106" i="2"/>
  <c r="D106" i="2"/>
  <c r="J106" i="2"/>
  <c r="C106" i="2"/>
  <c r="B50" i="2"/>
  <c r="F50" i="2"/>
  <c r="E50" i="2"/>
  <c r="C50" i="2"/>
  <c r="A50" i="2"/>
  <c r="J50" i="2"/>
  <c r="D50" i="2"/>
  <c r="D55" i="3"/>
  <c r="C55" i="3"/>
  <c r="A55" i="3"/>
  <c r="J55" i="3"/>
  <c r="F55" i="3"/>
  <c r="E55" i="3"/>
  <c r="B55" i="3"/>
  <c r="D46" i="3"/>
  <c r="B46" i="3"/>
  <c r="F46" i="3"/>
  <c r="J46" i="3"/>
  <c r="E46" i="3"/>
  <c r="C46" i="3"/>
  <c r="A46" i="3"/>
  <c r="E161" i="2"/>
  <c r="F161" i="2"/>
  <c r="B161" i="2"/>
  <c r="A161" i="2"/>
  <c r="J161" i="2"/>
  <c r="D161" i="2"/>
  <c r="C161" i="2"/>
  <c r="B82" i="4"/>
  <c r="D82" i="4"/>
  <c r="J82" i="4"/>
  <c r="F82" i="4"/>
  <c r="E82" i="4"/>
  <c r="C82" i="4"/>
  <c r="A82" i="4"/>
  <c r="J137" i="5"/>
  <c r="F137" i="5"/>
  <c r="D137" i="5"/>
  <c r="B137" i="5"/>
  <c r="A137" i="5"/>
  <c r="E137" i="5"/>
  <c r="C137" i="5"/>
  <c r="A114" i="4"/>
  <c r="B114" i="4"/>
  <c r="J114" i="4"/>
  <c r="F114" i="4"/>
  <c r="E114" i="4"/>
  <c r="D114" i="4"/>
  <c r="C114" i="4"/>
  <c r="A115" i="4"/>
  <c r="C115" i="4"/>
  <c r="B115" i="4"/>
  <c r="J115" i="4"/>
  <c r="F115" i="4"/>
  <c r="D115" i="4"/>
  <c r="E115" i="4"/>
  <c r="B46" i="4"/>
  <c r="J46" i="4"/>
  <c r="D46" i="4"/>
  <c r="A46" i="4"/>
  <c r="C46" i="4"/>
  <c r="F46" i="4"/>
  <c r="E46" i="4"/>
  <c r="E171" i="3"/>
  <c r="J171" i="3"/>
  <c r="F171" i="3"/>
  <c r="D171" i="3"/>
  <c r="C171" i="3"/>
  <c r="B171" i="3"/>
  <c r="A171" i="3"/>
  <c r="B89" i="2"/>
  <c r="F89" i="2"/>
  <c r="E89" i="2"/>
  <c r="A89" i="2"/>
  <c r="J89" i="2"/>
  <c r="D89" i="2"/>
  <c r="C89" i="2"/>
  <c r="B13" i="2"/>
  <c r="F13" i="2"/>
  <c r="E13" i="2"/>
  <c r="D13" i="2"/>
  <c r="C13" i="2"/>
  <c r="A13" i="2"/>
  <c r="J13" i="2"/>
  <c r="C8" i="5"/>
  <c r="D8" i="5"/>
  <c r="B8" i="5"/>
  <c r="A8" i="5"/>
  <c r="E8" i="5"/>
  <c r="F8" i="5"/>
  <c r="J8" i="5"/>
  <c r="B23" i="2"/>
  <c r="F23" i="2"/>
  <c r="E23" i="2"/>
  <c r="A23" i="2"/>
  <c r="D23" i="2"/>
  <c r="J23" i="2"/>
  <c r="C23" i="2"/>
  <c r="D17" i="4"/>
  <c r="E17" i="4"/>
  <c r="B17" i="4"/>
  <c r="A17" i="4"/>
  <c r="J17" i="4"/>
  <c r="F17" i="4"/>
  <c r="C17" i="4"/>
  <c r="J104" i="5"/>
  <c r="F104" i="5"/>
  <c r="D104" i="5"/>
  <c r="B104" i="5"/>
  <c r="E104" i="5"/>
  <c r="C104" i="5"/>
  <c r="A104" i="5"/>
  <c r="D155" i="3"/>
  <c r="J155" i="3"/>
  <c r="F155" i="3"/>
  <c r="E155" i="3"/>
  <c r="C155" i="3"/>
  <c r="B155" i="3"/>
  <c r="A155" i="3"/>
  <c r="E132" i="2"/>
  <c r="D132" i="2"/>
  <c r="C132" i="2"/>
  <c r="B132" i="2"/>
  <c r="A132" i="2"/>
  <c r="J132" i="2"/>
  <c r="F132" i="2"/>
  <c r="E91" i="2"/>
  <c r="B91" i="2"/>
  <c r="J91" i="2"/>
  <c r="F91" i="2"/>
  <c r="A91" i="2"/>
  <c r="D91" i="2"/>
  <c r="C91" i="2"/>
  <c r="A113" i="4"/>
  <c r="F113" i="4"/>
  <c r="E113" i="4"/>
  <c r="D113" i="4"/>
  <c r="C113" i="4"/>
  <c r="B113" i="4"/>
  <c r="J113" i="4"/>
  <c r="B42" i="2"/>
  <c r="F42" i="2"/>
  <c r="E42" i="2"/>
  <c r="C42" i="2"/>
  <c r="A42" i="2"/>
  <c r="J42" i="2"/>
  <c r="D42" i="2"/>
  <c r="D134" i="3"/>
  <c r="B134" i="3"/>
  <c r="A134" i="3"/>
  <c r="J134" i="3"/>
  <c r="F134" i="3"/>
  <c r="E134" i="3"/>
  <c r="C134" i="3"/>
  <c r="C38" i="5"/>
  <c r="B38" i="5"/>
  <c r="A38" i="5"/>
  <c r="J38" i="5"/>
  <c r="F38" i="5"/>
  <c r="E38" i="5"/>
  <c r="D38" i="5"/>
  <c r="D66" i="3"/>
  <c r="E66" i="3"/>
  <c r="A66" i="3"/>
  <c r="J66" i="3"/>
  <c r="F66" i="3"/>
  <c r="C66" i="3"/>
  <c r="B66" i="3"/>
  <c r="B58" i="2"/>
  <c r="F58" i="2"/>
  <c r="E58" i="2"/>
  <c r="C58" i="2"/>
  <c r="A58" i="2"/>
  <c r="J58" i="2"/>
  <c r="D58" i="2"/>
  <c r="E98" i="2"/>
  <c r="A98" i="2"/>
  <c r="F98" i="2"/>
  <c r="D98" i="2"/>
  <c r="J98" i="2"/>
  <c r="C98" i="2"/>
  <c r="B98" i="2"/>
  <c r="E192" i="3"/>
  <c r="F192" i="3"/>
  <c r="A192" i="3"/>
  <c r="B192" i="3"/>
  <c r="J192" i="3"/>
  <c r="D192" i="3"/>
  <c r="C192" i="3"/>
  <c r="C68" i="5"/>
  <c r="F68" i="5"/>
  <c r="E68" i="5"/>
  <c r="D68" i="5"/>
  <c r="J68" i="5"/>
  <c r="B68" i="5"/>
  <c r="A68" i="5"/>
  <c r="E111" i="2"/>
  <c r="J111" i="2"/>
  <c r="C111" i="2"/>
  <c r="B111" i="2"/>
  <c r="A111" i="2"/>
  <c r="F111" i="2"/>
  <c r="D111" i="2"/>
  <c r="B23" i="4"/>
  <c r="E23" i="4"/>
  <c r="F23" i="4"/>
  <c r="J23" i="4"/>
  <c r="D23" i="4"/>
  <c r="C23" i="4"/>
  <c r="A23" i="4"/>
  <c r="J135" i="5"/>
  <c r="F135" i="5"/>
  <c r="D135" i="5"/>
  <c r="B135" i="5"/>
  <c r="A135" i="5"/>
  <c r="E135" i="5"/>
  <c r="C135" i="5"/>
  <c r="B72" i="4"/>
  <c r="A72" i="4"/>
  <c r="F72" i="4"/>
  <c r="E72" i="4"/>
  <c r="J72" i="4"/>
  <c r="C72" i="4"/>
  <c r="D72" i="4"/>
  <c r="C24" i="5"/>
  <c r="D24" i="5"/>
  <c r="B24" i="5"/>
  <c r="A24" i="5"/>
  <c r="F24" i="5"/>
  <c r="E24" i="5"/>
  <c r="J24" i="5"/>
  <c r="A106" i="4"/>
  <c r="B106" i="4"/>
  <c r="J106" i="4"/>
  <c r="F106" i="4"/>
  <c r="E106" i="4"/>
  <c r="C106" i="4"/>
  <c r="D106" i="4"/>
  <c r="D6" i="3"/>
  <c r="B6" i="3"/>
  <c r="F6" i="3"/>
  <c r="E6" i="3"/>
  <c r="C6" i="3"/>
  <c r="A6" i="3"/>
  <c r="J6" i="3"/>
  <c r="E120" i="2"/>
  <c r="D120" i="2"/>
  <c r="F120" i="2"/>
  <c r="C120" i="2"/>
  <c r="B120" i="2"/>
  <c r="A120" i="2"/>
  <c r="J120" i="2"/>
  <c r="B12" i="2"/>
  <c r="F12" i="2"/>
  <c r="E12" i="2"/>
  <c r="C12" i="2"/>
  <c r="D12" i="2"/>
  <c r="A12" i="2"/>
  <c r="J12" i="2"/>
  <c r="A150" i="4"/>
  <c r="F150" i="4"/>
  <c r="E150" i="4"/>
  <c r="J150" i="4"/>
  <c r="D150" i="4"/>
  <c r="C150" i="4"/>
  <c r="B150" i="4"/>
  <c r="B52" i="2"/>
  <c r="F52" i="2"/>
  <c r="E52" i="2"/>
  <c r="J52" i="2"/>
  <c r="D52" i="2"/>
  <c r="C52" i="2"/>
  <c r="A52" i="2"/>
  <c r="D79" i="3"/>
  <c r="C79" i="3"/>
  <c r="B79" i="3"/>
  <c r="A79" i="3"/>
  <c r="J79" i="3"/>
  <c r="F79" i="3"/>
  <c r="E79" i="3"/>
  <c r="A96" i="4"/>
  <c r="J96" i="4"/>
  <c r="F96" i="4"/>
  <c r="C96" i="4"/>
  <c r="B96" i="4"/>
  <c r="E96" i="4"/>
  <c r="D96" i="4"/>
  <c r="B26" i="2"/>
  <c r="F26" i="2"/>
  <c r="E26" i="2"/>
  <c r="C26" i="2"/>
  <c r="A26" i="2"/>
  <c r="J26" i="2"/>
  <c r="D26" i="2"/>
  <c r="D196" i="4"/>
  <c r="A196" i="4"/>
  <c r="J196" i="4"/>
  <c r="F196" i="4"/>
  <c r="E196" i="4"/>
  <c r="C196" i="4"/>
  <c r="B196" i="4"/>
  <c r="J121" i="5"/>
  <c r="F121" i="5"/>
  <c r="D121" i="5"/>
  <c r="B121" i="5"/>
  <c r="E121" i="5"/>
  <c r="C121" i="5"/>
  <c r="A121" i="5"/>
  <c r="D189" i="4"/>
  <c r="B189" i="4"/>
  <c r="A189" i="4"/>
  <c r="J189" i="4"/>
  <c r="F189" i="4"/>
  <c r="E189" i="4"/>
  <c r="C189" i="4"/>
  <c r="B35" i="2"/>
  <c r="F35" i="2"/>
  <c r="E35" i="2"/>
  <c r="J35" i="2"/>
  <c r="D35" i="2"/>
  <c r="C35" i="2"/>
  <c r="A35" i="2"/>
  <c r="A139" i="4"/>
  <c r="C139" i="4"/>
  <c r="B139" i="4"/>
  <c r="J139" i="4"/>
  <c r="F139" i="4"/>
  <c r="E139" i="4"/>
  <c r="D139" i="4"/>
  <c r="A124" i="4"/>
  <c r="D124" i="4"/>
  <c r="C124" i="4"/>
  <c r="B124" i="4"/>
  <c r="J124" i="4"/>
  <c r="F124" i="4"/>
  <c r="E124" i="4"/>
  <c r="D34" i="3"/>
  <c r="E34" i="3"/>
  <c r="A34" i="3"/>
  <c r="B34" i="3"/>
  <c r="J34" i="3"/>
  <c r="F34" i="3"/>
  <c r="C34" i="3"/>
  <c r="D159" i="3"/>
  <c r="C159" i="3"/>
  <c r="B159" i="3"/>
  <c r="A159" i="3"/>
  <c r="J159" i="3"/>
  <c r="F159" i="3"/>
  <c r="E159" i="3"/>
  <c r="C44" i="5"/>
  <c r="E44" i="5"/>
  <c r="F44" i="5"/>
  <c r="D44" i="5"/>
  <c r="A44" i="5"/>
  <c r="J44" i="5"/>
  <c r="B44" i="5"/>
  <c r="B88" i="2"/>
  <c r="F88" i="2"/>
  <c r="E88" i="2"/>
  <c r="J88" i="2"/>
  <c r="D88" i="2"/>
  <c r="C88" i="2"/>
  <c r="A88" i="2"/>
  <c r="J159" i="5"/>
  <c r="F159" i="5"/>
  <c r="D159" i="5"/>
  <c r="B159" i="5"/>
  <c r="A159" i="5"/>
  <c r="E159" i="5"/>
  <c r="C159" i="5"/>
  <c r="B73" i="4"/>
  <c r="C73" i="4"/>
  <c r="F73" i="4"/>
  <c r="E73" i="4"/>
  <c r="D73" i="4"/>
  <c r="A73" i="4"/>
  <c r="J73" i="4"/>
  <c r="B72" i="2"/>
  <c r="F72" i="2"/>
  <c r="E72" i="2"/>
  <c r="D72" i="2"/>
  <c r="C72" i="2"/>
  <c r="A72" i="2"/>
  <c r="J72" i="2"/>
  <c r="D136" i="3"/>
  <c r="E136" i="3"/>
  <c r="C136" i="3"/>
  <c r="B136" i="3"/>
  <c r="A136" i="3"/>
  <c r="J136" i="3"/>
  <c r="F136" i="3"/>
  <c r="E173" i="3"/>
  <c r="A173" i="3"/>
  <c r="F173" i="3"/>
  <c r="D173" i="3"/>
  <c r="C173" i="3"/>
  <c r="B173" i="3"/>
  <c r="J173" i="3"/>
  <c r="B48" i="4"/>
  <c r="A48" i="4"/>
  <c r="F48" i="4"/>
  <c r="J48" i="4"/>
  <c r="C48" i="4"/>
  <c r="E48" i="4"/>
  <c r="D48" i="4"/>
  <c r="A122" i="4"/>
  <c r="B122" i="4"/>
  <c r="J122" i="4"/>
  <c r="F122" i="4"/>
  <c r="E122" i="4"/>
  <c r="D122" i="4"/>
  <c r="C122" i="4"/>
  <c r="D114" i="3"/>
  <c r="F114" i="3"/>
  <c r="E114" i="3"/>
  <c r="C114" i="3"/>
  <c r="A114" i="3"/>
  <c r="J114" i="3"/>
  <c r="B114" i="3"/>
  <c r="J172" i="5"/>
  <c r="F172" i="5"/>
  <c r="D172" i="5"/>
  <c r="B172" i="5"/>
  <c r="A172" i="5"/>
  <c r="E172" i="5"/>
  <c r="C172" i="5"/>
  <c r="C48" i="5"/>
  <c r="A48" i="5"/>
  <c r="J48" i="5"/>
  <c r="E48" i="5"/>
  <c r="D48" i="5"/>
  <c r="B48" i="5"/>
  <c r="F48" i="5"/>
  <c r="D128" i="3"/>
  <c r="E128" i="3"/>
  <c r="C128" i="3"/>
  <c r="B128" i="3"/>
  <c r="A128" i="3"/>
  <c r="J128" i="3"/>
  <c r="F128" i="3"/>
  <c r="B41" i="2"/>
  <c r="F41" i="2"/>
  <c r="E41" i="2"/>
  <c r="J41" i="2"/>
  <c r="C41" i="2"/>
  <c r="A41" i="2"/>
  <c r="D41" i="2"/>
  <c r="J184" i="5"/>
  <c r="F184" i="5"/>
  <c r="E184" i="5"/>
  <c r="D184" i="5"/>
  <c r="C184" i="5"/>
  <c r="B184" i="5"/>
  <c r="A184" i="5"/>
  <c r="J144" i="5"/>
  <c r="F144" i="5"/>
  <c r="D144" i="5"/>
  <c r="B144" i="5"/>
  <c r="A144" i="5"/>
  <c r="E144" i="5"/>
  <c r="C144" i="5"/>
  <c r="D125" i="3"/>
  <c r="A125" i="3"/>
  <c r="J125" i="3"/>
  <c r="F125" i="3"/>
  <c r="E125" i="3"/>
  <c r="B125" i="3"/>
  <c r="C125" i="3"/>
  <c r="E110" i="2"/>
  <c r="F110" i="2"/>
  <c r="B110" i="2"/>
  <c r="A110" i="2"/>
  <c r="J110" i="2"/>
  <c r="D110" i="2"/>
  <c r="C110" i="2"/>
  <c r="D13" i="4"/>
  <c r="E13" i="4"/>
  <c r="B13" i="4"/>
  <c r="A13" i="4"/>
  <c r="J13" i="4"/>
  <c r="F13" i="4"/>
  <c r="C13" i="4"/>
  <c r="E180" i="3"/>
  <c r="J180" i="3"/>
  <c r="A180" i="3"/>
  <c r="F180" i="3"/>
  <c r="D180" i="3"/>
  <c r="C180" i="3"/>
  <c r="B180" i="3"/>
  <c r="B39" i="2"/>
  <c r="F39" i="2"/>
  <c r="E39" i="2"/>
  <c r="A39" i="2"/>
  <c r="D39" i="2"/>
  <c r="J39" i="2"/>
  <c r="C39" i="2"/>
  <c r="C73" i="5"/>
  <c r="B73" i="5"/>
  <c r="A73" i="5"/>
  <c r="D73" i="5"/>
  <c r="J73" i="5"/>
  <c r="E73" i="5"/>
  <c r="F73" i="5"/>
  <c r="E135" i="2"/>
  <c r="C135" i="2"/>
  <c r="A135" i="2"/>
  <c r="J135" i="2"/>
  <c r="F135" i="2"/>
  <c r="D135" i="2"/>
  <c r="B135" i="2"/>
  <c r="B68" i="4"/>
  <c r="F68" i="4"/>
  <c r="A68" i="4"/>
  <c r="C68" i="4"/>
  <c r="J68" i="4"/>
  <c r="E68" i="4"/>
  <c r="D68" i="4"/>
  <c r="C19" i="5"/>
  <c r="F19" i="5"/>
  <c r="E19" i="5"/>
  <c r="J19" i="5"/>
  <c r="D19" i="5"/>
  <c r="B19" i="5"/>
  <c r="A19" i="5"/>
  <c r="E189" i="2"/>
  <c r="B189" i="2"/>
  <c r="J189" i="2"/>
  <c r="F189" i="2"/>
  <c r="D189" i="2"/>
  <c r="C189" i="2"/>
  <c r="A189" i="2"/>
  <c r="J158" i="5"/>
  <c r="F158" i="5"/>
  <c r="D158" i="5"/>
  <c r="B158" i="5"/>
  <c r="A158" i="5"/>
  <c r="E158" i="5"/>
  <c r="C158" i="5"/>
  <c r="A109" i="4"/>
  <c r="E109" i="4"/>
  <c r="J109" i="4"/>
  <c r="F109" i="4"/>
  <c r="C109" i="4"/>
  <c r="B109" i="4"/>
  <c r="D109" i="4"/>
  <c r="C33" i="5"/>
  <c r="A33" i="5"/>
  <c r="J33" i="5"/>
  <c r="F33" i="5"/>
  <c r="E33" i="5"/>
  <c r="D33" i="5"/>
  <c r="B33" i="5"/>
  <c r="D201" i="4"/>
  <c r="F201" i="4"/>
  <c r="E201" i="4"/>
  <c r="A201" i="4"/>
  <c r="J201" i="4"/>
  <c r="C201" i="4"/>
  <c r="B201" i="4"/>
  <c r="E166" i="3"/>
  <c r="B166" i="3"/>
  <c r="A166" i="3"/>
  <c r="C166" i="3"/>
  <c r="J166" i="3"/>
  <c r="F166" i="3"/>
  <c r="D166" i="3"/>
  <c r="B43" i="2"/>
  <c r="F43" i="2"/>
  <c r="E43" i="2"/>
  <c r="J43" i="2"/>
  <c r="D43" i="2"/>
  <c r="C43" i="2"/>
  <c r="A43" i="2"/>
  <c r="A129" i="4"/>
  <c r="J129" i="4"/>
  <c r="F129" i="4"/>
  <c r="E129" i="4"/>
  <c r="D129" i="4"/>
  <c r="C129" i="4"/>
  <c r="B129" i="4"/>
  <c r="D195" i="4"/>
  <c r="J195" i="4"/>
  <c r="E195" i="4"/>
  <c r="C195" i="4"/>
  <c r="B195" i="4"/>
  <c r="A195" i="4"/>
  <c r="F195" i="4"/>
  <c r="B87" i="2"/>
  <c r="F87" i="2"/>
  <c r="E87" i="2"/>
  <c r="A87" i="2"/>
  <c r="J87" i="2"/>
  <c r="D87" i="2"/>
  <c r="C87" i="2"/>
  <c r="E197" i="3"/>
  <c r="F197" i="3"/>
  <c r="C197" i="3"/>
  <c r="B197" i="3"/>
  <c r="A197" i="3"/>
  <c r="D197" i="3"/>
  <c r="J197" i="3"/>
  <c r="C80" i="5"/>
  <c r="A80" i="5"/>
  <c r="J80" i="5"/>
  <c r="B80" i="5"/>
  <c r="F80" i="5"/>
  <c r="D80" i="5"/>
  <c r="E80" i="5"/>
  <c r="D104" i="3"/>
  <c r="E104" i="3"/>
  <c r="C104" i="3"/>
  <c r="B104" i="3"/>
  <c r="A104" i="3"/>
  <c r="J104" i="3"/>
  <c r="F104" i="3"/>
  <c r="J131" i="5"/>
  <c r="F131" i="5"/>
  <c r="D131" i="5"/>
  <c r="B131" i="5"/>
  <c r="C131" i="5"/>
  <c r="A131" i="5"/>
  <c r="E131" i="5"/>
  <c r="A164" i="4"/>
  <c r="D164" i="4"/>
  <c r="C164" i="4"/>
  <c r="B164" i="4"/>
  <c r="J164" i="4"/>
  <c r="F164" i="4"/>
  <c r="E164" i="4"/>
  <c r="J136" i="5"/>
  <c r="F136" i="5"/>
  <c r="D136" i="5"/>
  <c r="B136" i="5"/>
  <c r="A136" i="5"/>
  <c r="E136" i="5"/>
  <c r="C136" i="5"/>
  <c r="E196" i="2"/>
  <c r="A196" i="2"/>
  <c r="J196" i="2"/>
  <c r="C196" i="2"/>
  <c r="B196" i="2"/>
  <c r="F196" i="2"/>
  <c r="D196" i="2"/>
  <c r="B89" i="4"/>
  <c r="C89" i="4"/>
  <c r="F89" i="4"/>
  <c r="D89" i="4"/>
  <c r="A89" i="4"/>
  <c r="J89" i="4"/>
  <c r="E89" i="4"/>
  <c r="C95" i="5"/>
  <c r="J95" i="5"/>
  <c r="A95" i="5"/>
  <c r="B95" i="5"/>
  <c r="F95" i="5"/>
  <c r="E95" i="5"/>
  <c r="D95" i="5"/>
  <c r="D190" i="4"/>
  <c r="C190" i="4"/>
  <c r="B190" i="4"/>
  <c r="A190" i="4"/>
  <c r="J190" i="4"/>
  <c r="F190" i="4"/>
  <c r="E190" i="4"/>
  <c r="A158" i="4"/>
  <c r="F158" i="4"/>
  <c r="E158" i="4"/>
  <c r="D158" i="4"/>
  <c r="C158" i="4"/>
  <c r="B158" i="4"/>
  <c r="J158" i="4"/>
  <c r="C72" i="5"/>
  <c r="A72" i="5"/>
  <c r="J72" i="5"/>
  <c r="B72" i="5"/>
  <c r="D72" i="5"/>
  <c r="F72" i="5"/>
  <c r="E72" i="5"/>
  <c r="B64" i="4"/>
  <c r="A64" i="4"/>
  <c r="F64" i="4"/>
  <c r="E64" i="4"/>
  <c r="D64" i="4"/>
  <c r="C64" i="4"/>
  <c r="J64" i="4"/>
  <c r="E179" i="3"/>
  <c r="J179" i="3"/>
  <c r="F179" i="3"/>
  <c r="D179" i="3"/>
  <c r="C179" i="3"/>
  <c r="B179" i="3"/>
  <c r="A179" i="3"/>
  <c r="E180" i="2"/>
  <c r="A180" i="2"/>
  <c r="F180" i="2"/>
  <c r="D180" i="2"/>
  <c r="C180" i="2"/>
  <c r="B180" i="2"/>
  <c r="J180" i="2"/>
  <c r="B63" i="2"/>
  <c r="F63" i="2"/>
  <c r="E63" i="2"/>
  <c r="A63" i="2"/>
  <c r="D63" i="2"/>
  <c r="J63" i="2"/>
  <c r="C63" i="2"/>
  <c r="D101" i="3"/>
  <c r="A101" i="3"/>
  <c r="J101" i="3"/>
  <c r="E101" i="3"/>
  <c r="C101" i="3"/>
  <c r="B101" i="3"/>
  <c r="F101" i="3"/>
  <c r="C7" i="5"/>
  <c r="B7" i="5"/>
  <c r="A7" i="5"/>
  <c r="D7" i="5"/>
  <c r="J7" i="5"/>
  <c r="F7" i="5"/>
  <c r="E7" i="5"/>
  <c r="B70" i="2"/>
  <c r="F70" i="2"/>
  <c r="E70" i="2"/>
  <c r="J70" i="2"/>
  <c r="D70" i="2"/>
  <c r="C70" i="2"/>
  <c r="A70" i="2"/>
  <c r="E187" i="2"/>
  <c r="B187" i="2"/>
  <c r="A187" i="2"/>
  <c r="J187" i="2"/>
  <c r="F187" i="2"/>
  <c r="D187" i="2"/>
  <c r="C187" i="2"/>
  <c r="A103" i="4"/>
  <c r="D103" i="4"/>
  <c r="C103" i="4"/>
  <c r="B103" i="4"/>
  <c r="J103" i="4"/>
  <c r="E103" i="4"/>
  <c r="F103" i="4"/>
  <c r="J111" i="5"/>
  <c r="F111" i="5"/>
  <c r="D111" i="5"/>
  <c r="B111" i="5"/>
  <c r="E111" i="5"/>
  <c r="C111" i="5"/>
  <c r="A111" i="5"/>
  <c r="A105" i="4"/>
  <c r="J105" i="4"/>
  <c r="F105" i="4"/>
  <c r="D105" i="4"/>
  <c r="C105" i="4"/>
  <c r="E105" i="4"/>
  <c r="B105" i="4"/>
  <c r="D58" i="3"/>
  <c r="E58" i="3"/>
  <c r="A58" i="3"/>
  <c r="J58" i="3"/>
  <c r="F58" i="3"/>
  <c r="C58" i="3"/>
  <c r="B58" i="3"/>
  <c r="B24" i="4"/>
  <c r="F24" i="4"/>
  <c r="A24" i="4"/>
  <c r="J24" i="4"/>
  <c r="D24" i="4"/>
  <c r="C24" i="4"/>
  <c r="E24" i="4"/>
  <c r="J151" i="5"/>
  <c r="F151" i="5"/>
  <c r="D151" i="5"/>
  <c r="B151" i="5"/>
  <c r="A151" i="5"/>
  <c r="E151" i="5"/>
  <c r="C151" i="5"/>
  <c r="J147" i="5"/>
  <c r="F147" i="5"/>
  <c r="D147" i="5"/>
  <c r="B147" i="5"/>
  <c r="A147" i="5"/>
  <c r="C147" i="5"/>
  <c r="E147" i="5"/>
  <c r="D198" i="4"/>
  <c r="C198" i="4"/>
  <c r="B198" i="4"/>
  <c r="A198" i="4"/>
  <c r="J198" i="4"/>
  <c r="F198" i="4"/>
  <c r="E198" i="4"/>
  <c r="C14" i="5"/>
  <c r="A14" i="5"/>
  <c r="J14" i="5"/>
  <c r="D14" i="5"/>
  <c r="B14" i="5"/>
  <c r="E14" i="5"/>
  <c r="F14" i="5"/>
  <c r="E128" i="2"/>
  <c r="D128" i="2"/>
  <c r="F128" i="2"/>
  <c r="C128" i="2"/>
  <c r="B128" i="2"/>
  <c r="A128" i="2"/>
  <c r="J128" i="2"/>
  <c r="D12" i="4"/>
  <c r="E12" i="4"/>
  <c r="J12" i="4"/>
  <c r="F12" i="4"/>
  <c r="B12" i="4"/>
  <c r="A12" i="4"/>
  <c r="C12" i="4"/>
  <c r="B57" i="2"/>
  <c r="F57" i="2"/>
  <c r="E57" i="2"/>
  <c r="J57" i="2"/>
  <c r="C57" i="2"/>
  <c r="A57" i="2"/>
  <c r="D57" i="2"/>
  <c r="B59" i="2"/>
  <c r="F59" i="2"/>
  <c r="E59" i="2"/>
  <c r="J59" i="2"/>
  <c r="D59" i="2"/>
  <c r="C59" i="2"/>
  <c r="A59" i="2"/>
  <c r="D15" i="4"/>
  <c r="E15" i="4"/>
  <c r="J15" i="4"/>
  <c r="F15" i="4"/>
  <c r="C15" i="4"/>
  <c r="B15" i="4"/>
  <c r="A15" i="4"/>
  <c r="J120" i="5"/>
  <c r="F120" i="5"/>
  <c r="D120" i="5"/>
  <c r="B120" i="5"/>
  <c r="E120" i="5"/>
  <c r="C120" i="5"/>
  <c r="A120" i="5"/>
  <c r="A125" i="4"/>
  <c r="E125" i="4"/>
  <c r="F125" i="4"/>
  <c r="D125" i="4"/>
  <c r="C125" i="4"/>
  <c r="B125" i="4"/>
  <c r="J125" i="4"/>
  <c r="E138" i="2"/>
  <c r="J138" i="2"/>
  <c r="F138" i="2"/>
  <c r="D138" i="2"/>
  <c r="C138" i="2"/>
  <c r="B138" i="2"/>
  <c r="A138" i="2"/>
  <c r="B77" i="2"/>
  <c r="F77" i="2"/>
  <c r="E77" i="2"/>
  <c r="D77" i="2"/>
  <c r="C77" i="2"/>
  <c r="A77" i="2"/>
  <c r="J77" i="2"/>
  <c r="E165" i="2"/>
  <c r="A165" i="2"/>
  <c r="J165" i="2"/>
  <c r="B165" i="2"/>
  <c r="F165" i="2"/>
  <c r="D165" i="2"/>
  <c r="C165" i="2"/>
  <c r="D113" i="3"/>
  <c r="F113" i="3"/>
  <c r="E113" i="3"/>
  <c r="C113" i="3"/>
  <c r="B113" i="3"/>
  <c r="J113" i="3"/>
  <c r="A113" i="3"/>
  <c r="B80" i="2"/>
  <c r="F80" i="2"/>
  <c r="E80" i="2"/>
  <c r="D80" i="2"/>
  <c r="C80" i="2"/>
  <c r="A80" i="2"/>
  <c r="J80" i="2"/>
  <c r="A134" i="4"/>
  <c r="F134" i="4"/>
  <c r="E134" i="4"/>
  <c r="C134" i="4"/>
  <c r="B134" i="4"/>
  <c r="J134" i="4"/>
  <c r="D134" i="4"/>
  <c r="J181" i="5"/>
  <c r="F181" i="5"/>
  <c r="D181" i="5"/>
  <c r="B181" i="5"/>
  <c r="A181" i="5"/>
  <c r="C181" i="5"/>
  <c r="E181" i="5"/>
  <c r="E177" i="2"/>
  <c r="F177" i="2"/>
  <c r="C177" i="2"/>
  <c r="A177" i="2"/>
  <c r="J177" i="2"/>
  <c r="D177" i="2"/>
  <c r="B177" i="2"/>
  <c r="C36" i="5"/>
  <c r="E36" i="5"/>
  <c r="J36" i="5"/>
  <c r="F36" i="5"/>
  <c r="B36" i="5"/>
  <c r="A36" i="5"/>
  <c r="D36" i="5"/>
  <c r="D70" i="3"/>
  <c r="B70" i="3"/>
  <c r="A70" i="3"/>
  <c r="F70" i="3"/>
  <c r="J70" i="3"/>
  <c r="E70" i="3"/>
  <c r="C70" i="3"/>
  <c r="E143" i="2"/>
  <c r="C143" i="2"/>
  <c r="J143" i="2"/>
  <c r="F143" i="2"/>
  <c r="D143" i="2"/>
  <c r="B143" i="2"/>
  <c r="A143" i="2"/>
  <c r="D73" i="3"/>
  <c r="F73" i="3"/>
  <c r="E73" i="3"/>
  <c r="C73" i="3"/>
  <c r="J73" i="3"/>
  <c r="B73" i="3"/>
  <c r="A73" i="3"/>
  <c r="A91" i="4"/>
  <c r="C91" i="4"/>
  <c r="F91" i="4"/>
  <c r="E91" i="4"/>
  <c r="D91" i="4"/>
  <c r="B91" i="4"/>
  <c r="J91" i="4"/>
  <c r="J170" i="5"/>
  <c r="F170" i="5"/>
  <c r="D170" i="5"/>
  <c r="B170" i="5"/>
  <c r="A170" i="5"/>
  <c r="E170" i="5"/>
  <c r="C170" i="5"/>
  <c r="D13" i="3"/>
  <c r="A13" i="3"/>
  <c r="J13" i="3"/>
  <c r="E13" i="3"/>
  <c r="F13" i="3"/>
  <c r="C13" i="3"/>
  <c r="B13" i="3"/>
  <c r="C59" i="5"/>
  <c r="E59" i="5"/>
  <c r="D59" i="5"/>
  <c r="B59" i="5"/>
  <c r="F59" i="5"/>
  <c r="A59" i="5"/>
  <c r="J59" i="5"/>
  <c r="E154" i="2"/>
  <c r="F154" i="2"/>
  <c r="D154" i="2"/>
  <c r="C154" i="2"/>
  <c r="B154" i="2"/>
  <c r="A154" i="2"/>
  <c r="J154" i="2"/>
  <c r="D21" i="3"/>
  <c r="A21" i="3"/>
  <c r="J21" i="3"/>
  <c r="E21" i="3"/>
  <c r="C21" i="3"/>
  <c r="B21" i="3"/>
  <c r="F21" i="3"/>
  <c r="D129" i="3"/>
  <c r="F129" i="3"/>
  <c r="E129" i="3"/>
  <c r="C129" i="3"/>
  <c r="B129" i="3"/>
  <c r="A129" i="3"/>
  <c r="J129" i="3"/>
  <c r="D124" i="3"/>
  <c r="J124" i="3"/>
  <c r="F124" i="3"/>
  <c r="E124" i="3"/>
  <c r="C124" i="3"/>
  <c r="A124" i="3"/>
  <c r="B124" i="3"/>
  <c r="C90" i="5"/>
  <c r="D90" i="5"/>
  <c r="B90" i="5"/>
  <c r="A90" i="5"/>
  <c r="E90" i="5"/>
  <c r="F90" i="5"/>
  <c r="J90" i="5"/>
  <c r="D78" i="3"/>
  <c r="B78" i="3"/>
  <c r="A78" i="3"/>
  <c r="F78" i="3"/>
  <c r="E78" i="3"/>
  <c r="C78" i="3"/>
  <c r="J78" i="3"/>
  <c r="D123" i="3"/>
  <c r="J123" i="3"/>
  <c r="F123" i="3"/>
  <c r="E123" i="3"/>
  <c r="C123" i="3"/>
  <c r="B123" i="3"/>
  <c r="A123" i="3"/>
  <c r="C56" i="5"/>
  <c r="A56" i="5"/>
  <c r="J56" i="5"/>
  <c r="B56" i="5"/>
  <c r="D56" i="5"/>
  <c r="F56" i="5"/>
  <c r="E56" i="5"/>
  <c r="C61" i="5"/>
  <c r="F61" i="5"/>
  <c r="E61" i="5"/>
  <c r="J61" i="5"/>
  <c r="D61" i="5"/>
  <c r="B61" i="5"/>
  <c r="A61" i="5"/>
  <c r="D192" i="4"/>
  <c r="F192" i="4"/>
  <c r="E192" i="4"/>
  <c r="C192" i="4"/>
  <c r="J192" i="4"/>
  <c r="B192" i="4"/>
  <c r="A192" i="4"/>
  <c r="E196" i="3"/>
  <c r="F196" i="3"/>
  <c r="A196" i="3"/>
  <c r="J196" i="3"/>
  <c r="D196" i="3"/>
  <c r="C196" i="3"/>
  <c r="B196" i="3"/>
  <c r="D74" i="3"/>
  <c r="F74" i="3"/>
  <c r="E74" i="3"/>
  <c r="A74" i="3"/>
  <c r="J74" i="3"/>
  <c r="C74" i="3"/>
  <c r="B74" i="3"/>
  <c r="D158" i="3"/>
  <c r="B158" i="3"/>
  <c r="A158" i="3"/>
  <c r="J158" i="3"/>
  <c r="F158" i="3"/>
  <c r="E158" i="3"/>
  <c r="C158" i="3"/>
  <c r="E160" i="2"/>
  <c r="D160" i="2"/>
  <c r="J160" i="2"/>
  <c r="F160" i="2"/>
  <c r="C160" i="2"/>
  <c r="B160" i="2"/>
  <c r="A160" i="2"/>
  <c r="B56" i="4"/>
  <c r="A56" i="4"/>
  <c r="F56" i="4"/>
  <c r="E56" i="4"/>
  <c r="J56" i="4"/>
  <c r="D56" i="4"/>
  <c r="C56" i="4"/>
  <c r="J146" i="5"/>
  <c r="F146" i="5"/>
  <c r="D146" i="5"/>
  <c r="B146" i="5"/>
  <c r="A146" i="5"/>
  <c r="C146" i="5"/>
  <c r="E146" i="5"/>
  <c r="D22" i="3"/>
  <c r="B22" i="3"/>
  <c r="F22" i="3"/>
  <c r="J22" i="3"/>
  <c r="E22" i="3"/>
  <c r="C22" i="3"/>
  <c r="A22" i="3"/>
  <c r="B86" i="4"/>
  <c r="J86" i="4"/>
  <c r="D86" i="4"/>
  <c r="C86" i="4"/>
  <c r="F86" i="4"/>
  <c r="E86" i="4"/>
  <c r="A86" i="4"/>
  <c r="J142" i="5"/>
  <c r="F142" i="5"/>
  <c r="D142" i="5"/>
  <c r="B142" i="5"/>
  <c r="A142" i="5"/>
  <c r="E142" i="5"/>
  <c r="C142" i="5"/>
  <c r="A148" i="4"/>
  <c r="D148" i="4"/>
  <c r="C148" i="4"/>
  <c r="J148" i="4"/>
  <c r="F148" i="4"/>
  <c r="E148" i="4"/>
  <c r="B148" i="4"/>
  <c r="C92" i="5"/>
  <c r="F92" i="5"/>
  <c r="E92" i="5"/>
  <c r="D92" i="5"/>
  <c r="J92" i="5"/>
  <c r="B92" i="5"/>
  <c r="A92" i="5"/>
  <c r="A92" i="4"/>
  <c r="D92" i="4"/>
  <c r="J92" i="4"/>
  <c r="C92" i="4"/>
  <c r="B92" i="4"/>
  <c r="F92" i="4"/>
  <c r="E92" i="4"/>
  <c r="B5" i="2"/>
  <c r="F5" i="2"/>
  <c r="E5" i="2"/>
  <c r="D5" i="2"/>
  <c r="C5" i="2"/>
  <c r="A5" i="2"/>
  <c r="J5" i="2"/>
  <c r="A99" i="4"/>
  <c r="C99" i="4"/>
  <c r="E99" i="4"/>
  <c r="D99" i="4"/>
  <c r="J99" i="4"/>
  <c r="F99" i="4"/>
  <c r="B99" i="4"/>
  <c r="J117" i="5"/>
  <c r="F117" i="5"/>
  <c r="D117" i="5"/>
  <c r="B117" i="5"/>
  <c r="C117" i="5"/>
  <c r="A117" i="5"/>
  <c r="E117" i="5"/>
  <c r="E145" i="2"/>
  <c r="F145" i="2"/>
  <c r="D145" i="2"/>
  <c r="C145" i="2"/>
  <c r="B145" i="2"/>
  <c r="A145" i="2"/>
  <c r="J145" i="2"/>
  <c r="B31" i="2"/>
  <c r="F31" i="2"/>
  <c r="E31" i="2"/>
  <c r="A31" i="2"/>
  <c r="D31" i="2"/>
  <c r="J31" i="2"/>
  <c r="C31" i="2"/>
  <c r="E187" i="3"/>
  <c r="F187" i="3"/>
  <c r="J187" i="3"/>
  <c r="D187" i="3"/>
  <c r="C187" i="3"/>
  <c r="B187" i="3"/>
  <c r="A187" i="3"/>
  <c r="B47" i="4"/>
  <c r="E47" i="4"/>
  <c r="D47" i="4"/>
  <c r="F47" i="4"/>
  <c r="J47" i="4"/>
  <c r="C47" i="4"/>
  <c r="A47" i="4"/>
  <c r="B71" i="2"/>
  <c r="F71" i="2"/>
  <c r="E71" i="2"/>
  <c r="A71" i="2"/>
  <c r="J71" i="2"/>
  <c r="D71" i="2"/>
  <c r="C71" i="2"/>
  <c r="D19" i="4"/>
  <c r="E19" i="4"/>
  <c r="J19" i="4"/>
  <c r="F19" i="4"/>
  <c r="C19" i="4"/>
  <c r="B19" i="4"/>
  <c r="A19" i="4"/>
  <c r="B57" i="4"/>
  <c r="C57" i="4"/>
  <c r="F57" i="4"/>
  <c r="A57" i="4"/>
  <c r="E57" i="4"/>
  <c r="D57" i="4"/>
  <c r="J57" i="4"/>
  <c r="D18" i="3"/>
  <c r="E18" i="3"/>
  <c r="A18" i="3"/>
  <c r="J18" i="3"/>
  <c r="F18" i="3"/>
  <c r="C18" i="3"/>
  <c r="B18" i="3"/>
  <c r="B54" i="4"/>
  <c r="J54" i="4"/>
  <c r="D54" i="4"/>
  <c r="C54" i="4"/>
  <c r="F54" i="4"/>
  <c r="E54" i="4"/>
  <c r="A54" i="4"/>
  <c r="J134" i="5"/>
  <c r="F134" i="5"/>
  <c r="D134" i="5"/>
  <c r="B134" i="5"/>
  <c r="A134" i="5"/>
  <c r="E134" i="5"/>
  <c r="C134" i="5"/>
  <c r="E102" i="2"/>
  <c r="F102" i="2"/>
  <c r="B102" i="2"/>
  <c r="A102" i="2"/>
  <c r="D102" i="2"/>
  <c r="C102" i="2"/>
  <c r="J102" i="2"/>
  <c r="A117" i="4"/>
  <c r="E117" i="4"/>
  <c r="F117" i="4"/>
  <c r="D117" i="4"/>
  <c r="C117" i="4"/>
  <c r="B117" i="4"/>
  <c r="J117" i="4"/>
  <c r="E176" i="3"/>
  <c r="D176" i="3"/>
  <c r="C176" i="3"/>
  <c r="J176" i="3"/>
  <c r="F176" i="3"/>
  <c r="B176" i="3"/>
  <c r="A176" i="3"/>
  <c r="D103" i="3"/>
  <c r="C103" i="3"/>
  <c r="B103" i="3"/>
  <c r="A103" i="3"/>
  <c r="J103" i="3"/>
  <c r="F103" i="3"/>
  <c r="E103" i="3"/>
  <c r="D146" i="3"/>
  <c r="F146" i="3"/>
  <c r="E146" i="3"/>
  <c r="C146" i="3"/>
  <c r="B146" i="3"/>
  <c r="A146" i="3"/>
  <c r="J146" i="3"/>
  <c r="D23" i="3"/>
  <c r="C23" i="3"/>
  <c r="A23" i="3"/>
  <c r="B23" i="3"/>
  <c r="J23" i="3"/>
  <c r="F23" i="3"/>
  <c r="E23" i="3"/>
  <c r="D183" i="4"/>
  <c r="E183" i="4"/>
  <c r="C183" i="4"/>
  <c r="F183" i="4"/>
  <c r="B183" i="4"/>
  <c r="A183" i="4"/>
  <c r="J183" i="4"/>
  <c r="B15" i="2"/>
  <c r="F15" i="2"/>
  <c r="E15" i="2"/>
  <c r="A15" i="2"/>
  <c r="D15" i="2"/>
  <c r="J15" i="2"/>
  <c r="C15" i="2"/>
  <c r="D135" i="3"/>
  <c r="C135" i="3"/>
  <c r="B135" i="3"/>
  <c r="A135" i="3"/>
  <c r="J135" i="3"/>
  <c r="F135" i="3"/>
  <c r="E135" i="3"/>
  <c r="A155" i="4"/>
  <c r="C155" i="4"/>
  <c r="B155" i="4"/>
  <c r="J155" i="4"/>
  <c r="F155" i="4"/>
  <c r="E155" i="4"/>
  <c r="D155" i="4"/>
  <c r="C67" i="5"/>
  <c r="E67" i="5"/>
  <c r="D67" i="5"/>
  <c r="B67" i="5"/>
  <c r="F67" i="5"/>
  <c r="A67" i="5"/>
  <c r="J67" i="5"/>
  <c r="A94" i="4"/>
  <c r="F94" i="4"/>
  <c r="C94" i="4"/>
  <c r="B94" i="4"/>
  <c r="J94" i="4"/>
  <c r="D94" i="4"/>
  <c r="E94" i="4"/>
  <c r="D132" i="3"/>
  <c r="J132" i="3"/>
  <c r="F132" i="3"/>
  <c r="E132" i="3"/>
  <c r="C132" i="3"/>
  <c r="B132" i="3"/>
  <c r="A132" i="3"/>
  <c r="D86" i="3"/>
  <c r="B86" i="3"/>
  <c r="A86" i="3"/>
  <c r="F86" i="3"/>
  <c r="J86" i="3"/>
  <c r="E86" i="3"/>
  <c r="C86" i="3"/>
  <c r="B52" i="4"/>
  <c r="F52" i="4"/>
  <c r="A52" i="4"/>
  <c r="D52" i="4"/>
  <c r="C52" i="4"/>
  <c r="J52" i="4"/>
  <c r="E52" i="4"/>
  <c r="D8" i="4"/>
  <c r="E8" i="4"/>
  <c r="J8" i="4"/>
  <c r="F8" i="4"/>
  <c r="B8" i="4"/>
  <c r="A8" i="4"/>
  <c r="C8" i="4"/>
  <c r="E201" i="3"/>
  <c r="F201" i="3"/>
  <c r="C201" i="3"/>
  <c r="B201" i="3"/>
  <c r="A201" i="3"/>
  <c r="J201" i="3"/>
  <c r="D201" i="3"/>
  <c r="C27" i="5"/>
  <c r="F27" i="5"/>
  <c r="E27" i="5"/>
  <c r="A27" i="5"/>
  <c r="J27" i="5"/>
  <c r="D27" i="5"/>
  <c r="B27" i="5"/>
  <c r="E174" i="2"/>
  <c r="C174" i="2"/>
  <c r="B174" i="2"/>
  <c r="J174" i="2"/>
  <c r="F174" i="2"/>
  <c r="D174" i="2"/>
  <c r="A174" i="2"/>
  <c r="D20" i="4"/>
  <c r="E20" i="4"/>
  <c r="J20" i="4"/>
  <c r="F20" i="4"/>
  <c r="B20" i="4"/>
  <c r="A20" i="4"/>
  <c r="C20" i="4"/>
  <c r="J119" i="5"/>
  <c r="F119" i="5"/>
  <c r="D119" i="5"/>
  <c r="B119" i="5"/>
  <c r="E119" i="5"/>
  <c r="C119" i="5"/>
  <c r="A119" i="5"/>
  <c r="B50" i="4"/>
  <c r="D50" i="4"/>
  <c r="J50" i="4"/>
  <c r="E50" i="4"/>
  <c r="F50" i="4"/>
  <c r="A50" i="4"/>
  <c r="C50" i="4"/>
  <c r="C17" i="5"/>
  <c r="E17" i="5"/>
  <c r="D17" i="5"/>
  <c r="B17" i="5"/>
  <c r="F17" i="5"/>
  <c r="A17" i="5"/>
  <c r="J17" i="5"/>
  <c r="B76" i="4"/>
  <c r="F76" i="4"/>
  <c r="A76" i="4"/>
  <c r="J76" i="4"/>
  <c r="E76" i="4"/>
  <c r="D76" i="4"/>
  <c r="C76" i="4"/>
  <c r="E124" i="2"/>
  <c r="F124" i="2"/>
  <c r="D124" i="2"/>
  <c r="C124" i="2"/>
  <c r="B124" i="2"/>
  <c r="A124" i="2"/>
  <c r="J124" i="2"/>
  <c r="D4" i="3"/>
  <c r="C4" i="3"/>
  <c r="J4" i="3"/>
  <c r="F4" i="3"/>
  <c r="E4" i="3"/>
  <c r="B4" i="3"/>
  <c r="A4" i="3"/>
  <c r="J133" i="5"/>
  <c r="F133" i="5"/>
  <c r="D133" i="5"/>
  <c r="B133" i="5"/>
  <c r="A133" i="5"/>
  <c r="E133" i="5"/>
  <c r="C133" i="5"/>
  <c r="C41" i="5"/>
  <c r="A41" i="5"/>
  <c r="J41" i="5"/>
  <c r="E41" i="5"/>
  <c r="D41" i="5"/>
  <c r="B41" i="5"/>
  <c r="F41" i="5"/>
  <c r="B66" i="4"/>
  <c r="D66" i="4"/>
  <c r="J66" i="4"/>
  <c r="C66" i="4"/>
  <c r="A66" i="4"/>
  <c r="F66" i="4"/>
  <c r="E66" i="4"/>
  <c r="B56" i="2"/>
  <c r="F56" i="2"/>
  <c r="E56" i="2"/>
  <c r="D56" i="2"/>
  <c r="C56" i="2"/>
  <c r="A56" i="2"/>
  <c r="J56" i="2"/>
  <c r="B85" i="2"/>
  <c r="F85" i="2"/>
  <c r="E85" i="2"/>
  <c r="D85" i="2"/>
  <c r="C85" i="2"/>
  <c r="A85" i="2"/>
  <c r="J85" i="2"/>
  <c r="A111" i="4"/>
  <c r="C111" i="4"/>
  <c r="B111" i="4"/>
  <c r="J111" i="4"/>
  <c r="F111" i="4"/>
  <c r="D111" i="4"/>
  <c r="E111" i="4"/>
  <c r="D175" i="4"/>
  <c r="C175" i="4"/>
  <c r="J175" i="4"/>
  <c r="F175" i="4"/>
  <c r="E175" i="4"/>
  <c r="B175" i="4"/>
  <c r="A175" i="4"/>
  <c r="B14" i="2"/>
  <c r="F14" i="2"/>
  <c r="E14" i="2"/>
  <c r="J14" i="2"/>
  <c r="D14" i="2"/>
  <c r="C14" i="2"/>
  <c r="A14" i="2"/>
  <c r="C49" i="5"/>
  <c r="B49" i="5"/>
  <c r="A49" i="5"/>
  <c r="D49" i="5"/>
  <c r="J49" i="5"/>
  <c r="F49" i="5"/>
  <c r="E49" i="5"/>
  <c r="E201" i="2"/>
  <c r="D201" i="2"/>
  <c r="A201" i="2"/>
  <c r="C201" i="2"/>
  <c r="B201" i="2"/>
  <c r="J201" i="2"/>
  <c r="F201" i="2"/>
  <c r="J168" i="5"/>
  <c r="F168" i="5"/>
  <c r="D168" i="5"/>
  <c r="B168" i="5"/>
  <c r="A168" i="5"/>
  <c r="E168" i="5"/>
  <c r="C168" i="5"/>
  <c r="A126" i="4"/>
  <c r="F126" i="4"/>
  <c r="J126" i="4"/>
  <c r="E126" i="4"/>
  <c r="D126" i="4"/>
  <c r="C126" i="4"/>
  <c r="B126" i="4"/>
  <c r="D186" i="4"/>
  <c r="J186" i="4"/>
  <c r="E186" i="4"/>
  <c r="C186" i="4"/>
  <c r="B186" i="4"/>
  <c r="A186" i="4"/>
  <c r="F186" i="4"/>
  <c r="B24" i="2"/>
  <c r="F24" i="2"/>
  <c r="E24" i="2"/>
  <c r="D24" i="2"/>
  <c r="C24" i="2"/>
  <c r="J24" i="2"/>
  <c r="A24" i="2"/>
  <c r="D187" i="4"/>
  <c r="J187" i="4"/>
  <c r="F187" i="4"/>
  <c r="E187" i="4"/>
  <c r="C187" i="4"/>
  <c r="A187" i="4"/>
  <c r="B187" i="4"/>
  <c r="D93" i="3"/>
  <c r="A93" i="3"/>
  <c r="J93" i="3"/>
  <c r="E93" i="3"/>
  <c r="F93" i="3"/>
  <c r="C93" i="3"/>
  <c r="B93" i="3"/>
  <c r="J103" i="5"/>
  <c r="F103" i="5"/>
  <c r="D103" i="5"/>
  <c r="B103" i="5"/>
  <c r="E103" i="5"/>
  <c r="C103" i="5"/>
  <c r="A103" i="5"/>
  <c r="B55" i="2"/>
  <c r="F55" i="2"/>
  <c r="E55" i="2"/>
  <c r="A55" i="2"/>
  <c r="D55" i="2"/>
  <c r="C55" i="2"/>
  <c r="J55" i="2"/>
  <c r="D15" i="3"/>
  <c r="C15" i="3"/>
  <c r="A15" i="3"/>
  <c r="J15" i="3"/>
  <c r="F15" i="3"/>
  <c r="E15" i="3"/>
  <c r="B15" i="3"/>
  <c r="C53" i="5"/>
  <c r="F53" i="5"/>
  <c r="J53" i="5"/>
  <c r="E53" i="5"/>
  <c r="B53" i="5"/>
  <c r="A53" i="5"/>
  <c r="D53" i="5"/>
  <c r="D76" i="3"/>
  <c r="J76" i="3"/>
  <c r="C76" i="3"/>
  <c r="B76" i="3"/>
  <c r="A76" i="3"/>
  <c r="F76" i="3"/>
  <c r="E76" i="3"/>
  <c r="D152" i="3"/>
  <c r="E152" i="3"/>
  <c r="C152" i="3"/>
  <c r="B152" i="3"/>
  <c r="A152" i="3"/>
  <c r="J152" i="3"/>
  <c r="F152" i="3"/>
  <c r="C86" i="5"/>
  <c r="J86" i="5"/>
  <c r="F86" i="5"/>
  <c r="A86" i="5"/>
  <c r="E86" i="5"/>
  <c r="D86" i="5"/>
  <c r="B86" i="5"/>
  <c r="C83" i="5"/>
  <c r="E83" i="5"/>
  <c r="D83" i="5"/>
  <c r="B83" i="5"/>
  <c r="F83" i="5"/>
  <c r="A83" i="5"/>
  <c r="J83" i="5"/>
  <c r="E163" i="3"/>
  <c r="J163" i="3"/>
  <c r="B163" i="3"/>
  <c r="A163" i="3"/>
  <c r="F163" i="3"/>
  <c r="D163" i="3"/>
  <c r="C163" i="3"/>
  <c r="E190" i="2"/>
  <c r="C190" i="2"/>
  <c r="A190" i="2"/>
  <c r="B190" i="2"/>
  <c r="J190" i="2"/>
  <c r="F190" i="2"/>
  <c r="D190" i="2"/>
  <c r="J100" i="5"/>
  <c r="F100" i="5"/>
  <c r="D100" i="5"/>
  <c r="B100" i="5"/>
  <c r="E100" i="5"/>
  <c r="A100" i="5"/>
  <c r="C100" i="5"/>
  <c r="D81" i="3"/>
  <c r="F81" i="3"/>
  <c r="E81" i="3"/>
  <c r="C81" i="3"/>
  <c r="J81" i="3"/>
  <c r="B81" i="3"/>
  <c r="A81" i="3"/>
  <c r="J138" i="5"/>
  <c r="F138" i="5"/>
  <c r="D138" i="5"/>
  <c r="B138" i="5"/>
  <c r="A138" i="5"/>
  <c r="C138" i="5"/>
  <c r="E138" i="5"/>
  <c r="D184" i="4"/>
  <c r="F184" i="4"/>
  <c r="E184" i="4"/>
  <c r="J184" i="4"/>
  <c r="C184" i="4"/>
  <c r="B184" i="4"/>
  <c r="A184" i="4"/>
  <c r="J176" i="5"/>
  <c r="F176" i="5"/>
  <c r="D176" i="5"/>
  <c r="B176" i="5"/>
  <c r="A176" i="5"/>
  <c r="E176" i="5"/>
  <c r="C176" i="5"/>
  <c r="E194" i="2"/>
  <c r="J194" i="2"/>
  <c r="F194" i="2"/>
  <c r="D194" i="2"/>
  <c r="B194" i="2"/>
  <c r="A194" i="2"/>
  <c r="C194" i="2"/>
  <c r="D19" i="3"/>
  <c r="J19" i="3"/>
  <c r="F19" i="3"/>
  <c r="B19" i="3"/>
  <c r="E19" i="3"/>
  <c r="C19" i="3"/>
  <c r="A19" i="3"/>
  <c r="C69" i="5"/>
  <c r="F69" i="5"/>
  <c r="E69" i="5"/>
  <c r="J69" i="5"/>
  <c r="D69" i="5"/>
  <c r="B69" i="5"/>
  <c r="A69" i="5"/>
  <c r="E116" i="2"/>
  <c r="F116" i="2"/>
  <c r="D116" i="2"/>
  <c r="C116" i="2"/>
  <c r="B116" i="2"/>
  <c r="A116" i="2"/>
  <c r="J116" i="2"/>
  <c r="C6" i="5"/>
  <c r="A6" i="5"/>
  <c r="J6" i="5"/>
  <c r="B6" i="5"/>
  <c r="D6" i="5"/>
  <c r="F6" i="5"/>
  <c r="E6" i="5"/>
  <c r="J174" i="5"/>
  <c r="F174" i="5"/>
  <c r="D174" i="5"/>
  <c r="B174" i="5"/>
  <c r="A174" i="5"/>
  <c r="E174" i="5"/>
  <c r="C174" i="5"/>
  <c r="D12" i="3"/>
  <c r="C12" i="3"/>
  <c r="B12" i="3"/>
  <c r="A12" i="3"/>
  <c r="J12" i="3"/>
  <c r="F12" i="3"/>
  <c r="E12" i="3"/>
  <c r="D141" i="3"/>
  <c r="A141" i="3"/>
  <c r="J141" i="3"/>
  <c r="F141" i="3"/>
  <c r="E141" i="3"/>
  <c r="C141" i="3"/>
  <c r="B141" i="3"/>
  <c r="B18" i="2"/>
  <c r="F18" i="2"/>
  <c r="E18" i="2"/>
  <c r="C18" i="2"/>
  <c r="A18" i="2"/>
  <c r="J18" i="2"/>
  <c r="D18" i="2"/>
  <c r="D92" i="3"/>
  <c r="J92" i="3"/>
  <c r="C92" i="3"/>
  <c r="B92" i="3"/>
  <c r="A92" i="3"/>
  <c r="F92" i="3"/>
  <c r="E92" i="3"/>
  <c r="D142" i="3"/>
  <c r="B142" i="3"/>
  <c r="A142" i="3"/>
  <c r="J142" i="3"/>
  <c r="F142" i="3"/>
  <c r="E142" i="3"/>
  <c r="C142" i="3"/>
  <c r="A153" i="4"/>
  <c r="J153" i="4"/>
  <c r="F153" i="4"/>
  <c r="E153" i="4"/>
  <c r="D153" i="4"/>
  <c r="C153" i="4"/>
  <c r="B153" i="4"/>
  <c r="J101" i="5"/>
  <c r="F101" i="5"/>
  <c r="D101" i="5"/>
  <c r="B101" i="5"/>
  <c r="C101" i="5"/>
  <c r="A101" i="5"/>
  <c r="E101" i="5"/>
  <c r="D167" i="4"/>
  <c r="C167" i="4"/>
  <c r="J167" i="4"/>
  <c r="F167" i="4"/>
  <c r="A167" i="4"/>
  <c r="B167" i="4"/>
  <c r="E167" i="4"/>
  <c r="D140" i="3"/>
  <c r="J140" i="3"/>
  <c r="F140" i="3"/>
  <c r="E140" i="3"/>
  <c r="C140" i="3"/>
  <c r="B140" i="3"/>
  <c r="A140" i="3"/>
  <c r="D36" i="3"/>
  <c r="C36" i="3"/>
  <c r="A36" i="3"/>
  <c r="J36" i="3"/>
  <c r="F36" i="3"/>
  <c r="E36" i="3"/>
  <c r="B36" i="3"/>
  <c r="E199" i="2"/>
  <c r="D199" i="2"/>
  <c r="B199" i="2"/>
  <c r="J199" i="2"/>
  <c r="F199" i="2"/>
  <c r="C199" i="2"/>
  <c r="A199" i="2"/>
  <c r="D107" i="3"/>
  <c r="J107" i="3"/>
  <c r="F107" i="3"/>
  <c r="E107" i="3"/>
  <c r="B107" i="3"/>
  <c r="C107" i="3"/>
  <c r="A107" i="3"/>
  <c r="D139" i="3"/>
  <c r="J139" i="3"/>
  <c r="F139" i="3"/>
  <c r="E139" i="3"/>
  <c r="C139" i="3"/>
  <c r="B139" i="3"/>
  <c r="A139" i="3"/>
  <c r="C88" i="5"/>
  <c r="A88" i="5"/>
  <c r="J88" i="5"/>
  <c r="B88" i="5"/>
  <c r="D88" i="5"/>
  <c r="F88" i="5"/>
  <c r="E88" i="5"/>
  <c r="J107" i="5"/>
  <c r="F107" i="5"/>
  <c r="D107" i="5"/>
  <c r="B107" i="5"/>
  <c r="E107" i="5"/>
  <c r="A107" i="5"/>
  <c r="C107" i="5"/>
  <c r="J163" i="5"/>
  <c r="F163" i="5"/>
  <c r="D163" i="5"/>
  <c r="B163" i="5"/>
  <c r="A163" i="5"/>
  <c r="C163" i="5"/>
  <c r="E163" i="5"/>
  <c r="D54" i="3"/>
  <c r="B54" i="3"/>
  <c r="F54" i="3"/>
  <c r="C54" i="3"/>
  <c r="A54" i="3"/>
  <c r="J54" i="3"/>
  <c r="E54" i="3"/>
  <c r="B42" i="4"/>
  <c r="J42" i="4"/>
  <c r="A42" i="4"/>
  <c r="E42" i="4"/>
  <c r="D42" i="4"/>
  <c r="C42" i="4"/>
  <c r="F42" i="4"/>
  <c r="E101" i="2"/>
  <c r="D101" i="2"/>
  <c r="A101" i="2"/>
  <c r="J101" i="2"/>
  <c r="F101" i="2"/>
  <c r="C101" i="2"/>
  <c r="B101" i="2"/>
  <c r="D75" i="3"/>
  <c r="J75" i="3"/>
  <c r="F75" i="3"/>
  <c r="B75" i="3"/>
  <c r="E75" i="3"/>
  <c r="C75" i="3"/>
  <c r="A75" i="3"/>
  <c r="C81" i="5"/>
  <c r="B81" i="5"/>
  <c r="A81" i="5"/>
  <c r="D81" i="5"/>
  <c r="E81" i="5"/>
  <c r="J81" i="5"/>
  <c r="F81" i="5"/>
  <c r="E149" i="2"/>
  <c r="A149" i="2"/>
  <c r="D149" i="2"/>
  <c r="C149" i="2"/>
  <c r="B149" i="2"/>
  <c r="J149" i="2"/>
  <c r="F149" i="2"/>
  <c r="D95" i="3"/>
  <c r="C95" i="3"/>
  <c r="B95" i="3"/>
  <c r="A95" i="3"/>
  <c r="J95" i="3"/>
  <c r="F95" i="3"/>
  <c r="E95" i="3"/>
  <c r="D27" i="3"/>
  <c r="J27" i="3"/>
  <c r="F27" i="3"/>
  <c r="B27" i="3"/>
  <c r="E27" i="3"/>
  <c r="C27" i="3"/>
  <c r="A27" i="3"/>
  <c r="E191" i="3"/>
  <c r="F191" i="3"/>
  <c r="J191" i="3"/>
  <c r="D191" i="3"/>
  <c r="C191" i="3"/>
  <c r="B191" i="3"/>
  <c r="A191" i="3"/>
  <c r="C70" i="5"/>
  <c r="J70" i="5"/>
  <c r="F70" i="5"/>
  <c r="A70" i="5"/>
  <c r="E70" i="5"/>
  <c r="D70" i="5"/>
  <c r="B70" i="5"/>
  <c r="D40" i="3"/>
  <c r="E40" i="3"/>
  <c r="B40" i="3"/>
  <c r="J40" i="3"/>
  <c r="F40" i="3"/>
  <c r="C40" i="3"/>
  <c r="A40" i="3"/>
  <c r="A116" i="4"/>
  <c r="D116" i="4"/>
  <c r="E116" i="4"/>
  <c r="C116" i="4"/>
  <c r="B116" i="4"/>
  <c r="J116" i="4"/>
  <c r="F116" i="4"/>
  <c r="J162" i="5"/>
  <c r="F162" i="5"/>
  <c r="D162" i="5"/>
  <c r="B162" i="5"/>
  <c r="A162" i="5"/>
  <c r="E162" i="5"/>
  <c r="C162" i="5"/>
  <c r="E114" i="2"/>
  <c r="B114" i="2"/>
  <c r="A114" i="2"/>
  <c r="J114" i="2"/>
  <c r="F114" i="2"/>
  <c r="D114" i="2"/>
  <c r="C114" i="2"/>
  <c r="J180" i="5"/>
  <c r="F180" i="5"/>
  <c r="D180" i="5"/>
  <c r="B180" i="5"/>
  <c r="A180" i="5"/>
  <c r="E180" i="5"/>
  <c r="C180" i="5"/>
  <c r="C35" i="5"/>
  <c r="D35" i="5"/>
  <c r="F35" i="5"/>
  <c r="E35" i="5"/>
  <c r="B35" i="5"/>
  <c r="J35" i="5"/>
  <c r="A35" i="5"/>
  <c r="B26" i="4"/>
  <c r="J26" i="4"/>
  <c r="F26" i="4"/>
  <c r="E26" i="4"/>
  <c r="D26" i="4"/>
  <c r="A26" i="4"/>
  <c r="C26" i="4"/>
  <c r="D31" i="3"/>
  <c r="C31" i="3"/>
  <c r="A31" i="3"/>
  <c r="J31" i="3"/>
  <c r="F31" i="3"/>
  <c r="E31" i="3"/>
  <c r="B31" i="3"/>
  <c r="D156" i="3"/>
  <c r="J156" i="3"/>
  <c r="F156" i="3"/>
  <c r="E156" i="3"/>
  <c r="C156" i="3"/>
  <c r="B156" i="3"/>
  <c r="A156" i="3"/>
  <c r="B66" i="2"/>
  <c r="F66" i="2"/>
  <c r="E66" i="2"/>
  <c r="C66" i="2"/>
  <c r="A66" i="2"/>
  <c r="J66" i="2"/>
  <c r="D66" i="2"/>
  <c r="B36" i="4"/>
  <c r="A36" i="4"/>
  <c r="C36" i="4"/>
  <c r="D36" i="4"/>
  <c r="J36" i="4"/>
  <c r="F36" i="4"/>
  <c r="E36" i="4"/>
  <c r="D60" i="3"/>
  <c r="C60" i="3"/>
  <c r="J60" i="3"/>
  <c r="F60" i="3"/>
  <c r="E60" i="3"/>
  <c r="B60" i="3"/>
  <c r="A60" i="3"/>
  <c r="C10" i="5"/>
  <c r="F10" i="5"/>
  <c r="E10" i="5"/>
  <c r="D10" i="5"/>
  <c r="J10" i="5"/>
  <c r="B10" i="5"/>
  <c r="A10" i="5"/>
  <c r="B40" i="2"/>
  <c r="F40" i="2"/>
  <c r="E40" i="2"/>
  <c r="D40" i="2"/>
  <c r="C40" i="2"/>
  <c r="J40" i="2"/>
  <c r="A40" i="2"/>
  <c r="E185" i="3"/>
  <c r="F185" i="3"/>
  <c r="D185" i="3"/>
  <c r="J185" i="3"/>
  <c r="C185" i="3"/>
  <c r="B185" i="3"/>
  <c r="A185" i="3"/>
  <c r="C43" i="5"/>
  <c r="D43" i="5"/>
  <c r="E43" i="5"/>
  <c r="B43" i="5"/>
  <c r="A43" i="5"/>
  <c r="J43" i="5"/>
  <c r="F43" i="5"/>
  <c r="C94" i="5"/>
  <c r="J94" i="5"/>
  <c r="F94" i="5"/>
  <c r="E94" i="5"/>
  <c r="D94" i="5"/>
  <c r="B94" i="5"/>
  <c r="A94" i="5"/>
  <c r="C37" i="5"/>
  <c r="F37" i="5"/>
  <c r="J37" i="5"/>
  <c r="E37" i="5"/>
  <c r="D37" i="5"/>
  <c r="B37" i="5"/>
  <c r="A37" i="5"/>
  <c r="B39" i="4"/>
  <c r="E39" i="4"/>
  <c r="F39" i="4"/>
  <c r="C39" i="4"/>
  <c r="A39" i="4"/>
  <c r="J39" i="4"/>
  <c r="D39" i="4"/>
  <c r="E150" i="2"/>
  <c r="B150" i="2"/>
  <c r="F150" i="2"/>
  <c r="D150" i="2"/>
  <c r="C150" i="2"/>
  <c r="A150" i="2"/>
  <c r="J150" i="2"/>
  <c r="E184" i="3"/>
  <c r="D184" i="3"/>
  <c r="C184" i="3"/>
  <c r="F184" i="3"/>
  <c r="B184" i="3"/>
  <c r="A184" i="3"/>
  <c r="J184" i="3"/>
  <c r="B90" i="4"/>
  <c r="D90" i="4"/>
  <c r="J90" i="4"/>
  <c r="E90" i="4"/>
  <c r="F90" i="4"/>
  <c r="C90" i="4"/>
  <c r="A90" i="4"/>
  <c r="A159" i="4"/>
  <c r="F159" i="4"/>
  <c r="E159" i="4"/>
  <c r="D159" i="4"/>
  <c r="C159" i="4"/>
  <c r="J159" i="4"/>
  <c r="B159" i="4"/>
  <c r="D30" i="3"/>
  <c r="B30" i="3"/>
  <c r="F30" i="3"/>
  <c r="E30" i="3"/>
  <c r="C30" i="3"/>
  <c r="A30" i="3"/>
  <c r="J30" i="3"/>
  <c r="E186" i="2"/>
  <c r="J186" i="2"/>
  <c r="F186" i="2"/>
  <c r="D186" i="2"/>
  <c r="C186" i="2"/>
  <c r="B186" i="2"/>
  <c r="A186" i="2"/>
  <c r="D18" i="4"/>
  <c r="E18" i="4"/>
  <c r="F18" i="4"/>
  <c r="C18" i="4"/>
  <c r="B18" i="4"/>
  <c r="A18" i="4"/>
  <c r="J18" i="4"/>
  <c r="B78" i="2"/>
  <c r="F78" i="2"/>
  <c r="E78" i="2"/>
  <c r="J78" i="2"/>
  <c r="D78" i="2"/>
  <c r="C78" i="2"/>
  <c r="A78" i="2"/>
  <c r="A112" i="4"/>
  <c r="J112" i="4"/>
  <c r="E112" i="4"/>
  <c r="D112" i="4"/>
  <c r="C112" i="4"/>
  <c r="B112" i="4"/>
  <c r="F112" i="4"/>
  <c r="E96" i="2"/>
  <c r="J96" i="2"/>
  <c r="D96" i="2"/>
  <c r="C96" i="2"/>
  <c r="B96" i="2"/>
  <c r="F96" i="2"/>
  <c r="A96" i="2"/>
  <c r="B11" i="2"/>
  <c r="F11" i="2"/>
  <c r="E11" i="2"/>
  <c r="J11" i="2"/>
  <c r="D11" i="2"/>
  <c r="C11" i="2"/>
  <c r="A11" i="2"/>
  <c r="A152" i="4"/>
  <c r="J152" i="4"/>
  <c r="E152" i="4"/>
  <c r="D152" i="4"/>
  <c r="C152" i="4"/>
  <c r="B152" i="4"/>
  <c r="F152" i="4"/>
  <c r="D84" i="3"/>
  <c r="J84" i="3"/>
  <c r="C84" i="3"/>
  <c r="F84" i="3"/>
  <c r="E84" i="3"/>
  <c r="B84" i="3"/>
  <c r="A84" i="3"/>
  <c r="D145" i="3"/>
  <c r="F145" i="3"/>
  <c r="E145" i="3"/>
  <c r="C145" i="3"/>
  <c r="B145" i="3"/>
  <c r="A145" i="3"/>
  <c r="J145" i="3"/>
  <c r="D59" i="3"/>
  <c r="J59" i="3"/>
  <c r="F59" i="3"/>
  <c r="B59" i="3"/>
  <c r="E59" i="3"/>
  <c r="C59" i="3"/>
  <c r="A59" i="3"/>
  <c r="D5" i="3"/>
  <c r="A5" i="3"/>
  <c r="J5" i="3"/>
  <c r="E5" i="3"/>
  <c r="F5" i="3"/>
  <c r="C5" i="3"/>
  <c r="B5" i="3"/>
  <c r="E193" i="2"/>
  <c r="D193" i="2"/>
  <c r="B193" i="2"/>
  <c r="A193" i="2"/>
  <c r="J193" i="2"/>
  <c r="F193" i="2"/>
  <c r="C193" i="2"/>
  <c r="D130" i="3"/>
  <c r="F130" i="3"/>
  <c r="E130" i="3"/>
  <c r="C130" i="3"/>
  <c r="B130" i="3"/>
  <c r="A130" i="3"/>
  <c r="J130" i="3"/>
  <c r="E178" i="3"/>
  <c r="F178" i="3"/>
  <c r="C178" i="3"/>
  <c r="B178" i="3"/>
  <c r="A178" i="3"/>
  <c r="J178" i="3"/>
  <c r="D178" i="3"/>
  <c r="E162" i="2"/>
  <c r="D162" i="2"/>
  <c r="C162" i="2"/>
  <c r="B162" i="2"/>
  <c r="A162" i="2"/>
  <c r="J162" i="2"/>
  <c r="F162" i="2"/>
  <c r="B7" i="2"/>
  <c r="F7" i="2"/>
  <c r="E7" i="2"/>
  <c r="A7" i="2"/>
  <c r="D7" i="2"/>
  <c r="J7" i="2"/>
  <c r="C7" i="2"/>
  <c r="A162" i="4"/>
  <c r="B162" i="4"/>
  <c r="J162" i="4"/>
  <c r="F162" i="4"/>
  <c r="E162" i="4"/>
  <c r="D162" i="4"/>
  <c r="C162" i="4"/>
  <c r="D47" i="3"/>
  <c r="C47" i="3"/>
  <c r="A47" i="3"/>
  <c r="J47" i="3"/>
  <c r="F47" i="3"/>
  <c r="E47" i="3"/>
  <c r="B47" i="3"/>
  <c r="J167" i="5"/>
  <c r="F167" i="5"/>
  <c r="D167" i="5"/>
  <c r="B167" i="5"/>
  <c r="A167" i="5"/>
  <c r="E167" i="5"/>
  <c r="C167" i="5"/>
  <c r="B45" i="2"/>
  <c r="F45" i="2"/>
  <c r="E45" i="2"/>
  <c r="D45" i="2"/>
  <c r="C45" i="2"/>
  <c r="A45" i="2"/>
  <c r="J45" i="2"/>
  <c r="B22" i="2"/>
  <c r="F22" i="2"/>
  <c r="E22" i="2"/>
  <c r="J22" i="2"/>
  <c r="A22" i="2"/>
  <c r="D22" i="2"/>
  <c r="C22" i="2"/>
  <c r="C34" i="5"/>
  <c r="B34" i="5"/>
  <c r="D34" i="5"/>
  <c r="A34" i="5"/>
  <c r="J34" i="5"/>
  <c r="F34" i="5"/>
  <c r="E34" i="5"/>
  <c r="B29" i="2"/>
  <c r="F29" i="2"/>
  <c r="E29" i="2"/>
  <c r="D29" i="2"/>
  <c r="C29" i="2"/>
  <c r="A29" i="2"/>
  <c r="J29" i="2"/>
  <c r="E182" i="3"/>
  <c r="B182" i="3"/>
  <c r="A182" i="3"/>
  <c r="J182" i="3"/>
  <c r="F182" i="3"/>
  <c r="D182" i="3"/>
  <c r="C182" i="3"/>
  <c r="B87" i="4"/>
  <c r="E87" i="4"/>
  <c r="D87" i="4"/>
  <c r="A87" i="4"/>
  <c r="J87" i="4"/>
  <c r="F87" i="4"/>
  <c r="C87" i="4"/>
  <c r="B78" i="4"/>
  <c r="J78" i="4"/>
  <c r="D78" i="4"/>
  <c r="C78" i="4"/>
  <c r="F78" i="4"/>
  <c r="E78" i="4"/>
  <c r="A78" i="4"/>
  <c r="C50" i="5"/>
  <c r="D50" i="5"/>
  <c r="B50" i="5"/>
  <c r="F50" i="5"/>
  <c r="E50" i="5"/>
  <c r="J50" i="5"/>
  <c r="A50" i="5"/>
  <c r="B27" i="4"/>
  <c r="A27" i="4"/>
  <c r="C27" i="4"/>
  <c r="J27" i="4"/>
  <c r="E27" i="4"/>
  <c r="D27" i="4"/>
  <c r="F27" i="4"/>
  <c r="B32" i="4"/>
  <c r="F32" i="4"/>
  <c r="J32" i="4"/>
  <c r="E32" i="4"/>
  <c r="D32" i="4"/>
  <c r="A32" i="4"/>
  <c r="C32" i="4"/>
  <c r="B83" i="4"/>
  <c r="E83" i="4"/>
  <c r="J83" i="4"/>
  <c r="F83" i="4"/>
  <c r="D83" i="4"/>
  <c r="C83" i="4"/>
  <c r="A83" i="4"/>
  <c r="D185" i="4"/>
  <c r="F185" i="4"/>
  <c r="A185" i="4"/>
  <c r="J185" i="4"/>
  <c r="C185" i="4"/>
  <c r="B185" i="4"/>
  <c r="E185" i="4"/>
  <c r="J132" i="5"/>
  <c r="F132" i="5"/>
  <c r="D132" i="5"/>
  <c r="B132" i="5"/>
  <c r="E132" i="5"/>
  <c r="C132" i="5"/>
  <c r="A132" i="5"/>
  <c r="J154" i="5"/>
  <c r="F154" i="5"/>
  <c r="D154" i="5"/>
  <c r="B154" i="5"/>
  <c r="A154" i="5"/>
  <c r="E154" i="5"/>
  <c r="C154" i="5"/>
  <c r="B64" i="2"/>
  <c r="F64" i="2"/>
  <c r="E64" i="2"/>
  <c r="D64" i="2"/>
  <c r="C64" i="2"/>
  <c r="A64" i="2"/>
  <c r="J64" i="2"/>
  <c r="E127" i="2"/>
  <c r="C127" i="2"/>
  <c r="B127" i="2"/>
  <c r="A127" i="2"/>
  <c r="J127" i="2"/>
  <c r="F127" i="2"/>
  <c r="D127" i="2"/>
  <c r="E118" i="2"/>
  <c r="B118" i="2"/>
  <c r="A118" i="2"/>
  <c r="J118" i="2"/>
  <c r="F118" i="2"/>
  <c r="D118" i="2"/>
  <c r="C118" i="2"/>
  <c r="J115" i="5"/>
  <c r="F115" i="5"/>
  <c r="D115" i="5"/>
  <c r="B115" i="5"/>
  <c r="A115" i="5"/>
  <c r="C115" i="5"/>
  <c r="E115" i="5"/>
  <c r="D106" i="3"/>
  <c r="F106" i="3"/>
  <c r="E106" i="3"/>
  <c r="C106" i="3"/>
  <c r="A106" i="3"/>
  <c r="J106" i="3"/>
  <c r="B106" i="3"/>
  <c r="B68" i="2"/>
  <c r="F68" i="2"/>
  <c r="E68" i="2"/>
  <c r="J68" i="2"/>
  <c r="D68" i="2"/>
  <c r="C68" i="2"/>
  <c r="A68" i="2"/>
  <c r="D180" i="4"/>
  <c r="A180" i="4"/>
  <c r="E180" i="4"/>
  <c r="C180" i="4"/>
  <c r="B180" i="4"/>
  <c r="F180" i="4"/>
  <c r="J180" i="4"/>
  <c r="D16" i="3"/>
  <c r="E16" i="3"/>
  <c r="B16" i="3"/>
  <c r="J16" i="3"/>
  <c r="F16" i="3"/>
  <c r="C16" i="3"/>
  <c r="A16" i="3"/>
  <c r="E171" i="2"/>
  <c r="J171" i="2"/>
  <c r="F171" i="2"/>
  <c r="D171" i="2"/>
  <c r="C171" i="2"/>
  <c r="B171" i="2"/>
  <c r="A171" i="2"/>
  <c r="E188" i="2"/>
  <c r="A188" i="2"/>
  <c r="J188" i="2"/>
  <c r="F188" i="2"/>
  <c r="D188" i="2"/>
  <c r="B188" i="2"/>
  <c r="C188" i="2"/>
  <c r="B28" i="2"/>
  <c r="F28" i="2"/>
  <c r="E28" i="2"/>
  <c r="D28" i="2"/>
  <c r="C28" i="2"/>
  <c r="J28" i="2"/>
  <c r="A28" i="2"/>
  <c r="D151" i="3"/>
  <c r="C151" i="3"/>
  <c r="B151" i="3"/>
  <c r="A151" i="3"/>
  <c r="J151" i="3"/>
  <c r="F151" i="3"/>
  <c r="E151" i="3"/>
  <c r="D172" i="4"/>
  <c r="B172" i="4"/>
  <c r="A172" i="4"/>
  <c r="J172" i="4"/>
  <c r="C172" i="4"/>
  <c r="E172" i="4"/>
  <c r="F172" i="4"/>
  <c r="A107" i="4"/>
  <c r="C107" i="4"/>
  <c r="D107" i="4"/>
  <c r="B107" i="4"/>
  <c r="J107" i="4"/>
  <c r="E107" i="4"/>
  <c r="F107" i="4"/>
  <c r="C45" i="5"/>
  <c r="F45" i="5"/>
  <c r="J45" i="5"/>
  <c r="D45" i="5"/>
  <c r="B45" i="5"/>
  <c r="A45" i="5"/>
  <c r="E45" i="5"/>
  <c r="D133" i="3"/>
  <c r="A133" i="3"/>
  <c r="J133" i="3"/>
  <c r="F133" i="3"/>
  <c r="E133" i="3"/>
  <c r="C133" i="3"/>
  <c r="B133" i="3"/>
  <c r="B90" i="2"/>
  <c r="F90" i="2"/>
  <c r="E90" i="2"/>
  <c r="J90" i="2"/>
  <c r="D90" i="2"/>
  <c r="C90" i="2"/>
  <c r="A90" i="2"/>
  <c r="E119" i="2"/>
  <c r="C119" i="2"/>
  <c r="D119" i="2"/>
  <c r="B119" i="2"/>
  <c r="A119" i="2"/>
  <c r="J119" i="2"/>
  <c r="F119" i="2"/>
  <c r="D87" i="3"/>
  <c r="C87" i="3"/>
  <c r="B87" i="3"/>
  <c r="A87" i="3"/>
  <c r="F87" i="3"/>
  <c r="E87" i="3"/>
  <c r="J87" i="3"/>
  <c r="C66" i="5"/>
  <c r="D66" i="5"/>
  <c r="B66" i="5"/>
  <c r="A66" i="5"/>
  <c r="E66" i="5"/>
  <c r="J66" i="5"/>
  <c r="F66" i="5"/>
  <c r="B79" i="2"/>
  <c r="F79" i="2"/>
  <c r="E79" i="2"/>
  <c r="A79" i="2"/>
  <c r="J79" i="2"/>
  <c r="D79" i="2"/>
  <c r="C79" i="2"/>
  <c r="E198" i="2"/>
  <c r="C198" i="2"/>
  <c r="A198" i="2"/>
  <c r="J198" i="2"/>
  <c r="F198" i="2"/>
  <c r="D198" i="2"/>
  <c r="B198" i="2"/>
  <c r="D28" i="3"/>
  <c r="C28" i="3"/>
  <c r="F28" i="3"/>
  <c r="E28" i="3"/>
  <c r="B28" i="3"/>
  <c r="A28" i="3"/>
  <c r="J28" i="3"/>
  <c r="E156" i="2"/>
  <c r="A156" i="2"/>
  <c r="J156" i="2"/>
  <c r="F156" i="2"/>
  <c r="D156" i="2"/>
  <c r="C156" i="2"/>
  <c r="B156" i="2"/>
  <c r="C99" i="5"/>
  <c r="E99" i="5"/>
  <c r="D99" i="5"/>
  <c r="B99" i="5"/>
  <c r="J99" i="5"/>
  <c r="F99" i="5"/>
  <c r="A99" i="5"/>
  <c r="E117" i="2"/>
  <c r="A117" i="2"/>
  <c r="J117" i="2"/>
  <c r="F117" i="2"/>
  <c r="D117" i="2"/>
  <c r="C117" i="2"/>
  <c r="B117" i="2"/>
  <c r="B29" i="4"/>
  <c r="C29" i="4"/>
  <c r="D29" i="4"/>
  <c r="J29" i="4"/>
  <c r="F29" i="4"/>
  <c r="E29" i="4"/>
  <c r="A29" i="4"/>
  <c r="J126" i="5"/>
  <c r="F126" i="5"/>
  <c r="D126" i="5"/>
  <c r="B126" i="5"/>
  <c r="E126" i="5"/>
  <c r="C126" i="5"/>
  <c r="A126" i="5"/>
  <c r="E103" i="2"/>
  <c r="J103" i="2"/>
  <c r="C103" i="2"/>
  <c r="B103" i="2"/>
  <c r="A103" i="2"/>
  <c r="F103" i="2"/>
  <c r="D103" i="2"/>
  <c r="C87" i="5"/>
  <c r="J87" i="5"/>
  <c r="A87" i="5"/>
  <c r="F87" i="5"/>
  <c r="E87" i="5"/>
  <c r="D87" i="5"/>
  <c r="B87" i="5"/>
  <c r="A138" i="4"/>
  <c r="B138" i="4"/>
  <c r="F138" i="4"/>
  <c r="E138" i="4"/>
  <c r="D138" i="4"/>
  <c r="C138" i="4"/>
  <c r="J138" i="4"/>
  <c r="C78" i="5"/>
  <c r="J78" i="5"/>
  <c r="F78" i="5"/>
  <c r="E78" i="5"/>
  <c r="D78" i="5"/>
  <c r="A78" i="5"/>
  <c r="B78" i="5"/>
  <c r="D127" i="3"/>
  <c r="C127" i="3"/>
  <c r="B127" i="3"/>
  <c r="A127" i="3"/>
  <c r="J127" i="3"/>
  <c r="E127" i="3"/>
  <c r="F127" i="3"/>
  <c r="D37" i="3"/>
  <c r="A37" i="3"/>
  <c r="J37" i="3"/>
  <c r="E37" i="3"/>
  <c r="F37" i="3"/>
  <c r="C37" i="3"/>
  <c r="B37" i="3"/>
  <c r="D41" i="3"/>
  <c r="F41" i="3"/>
  <c r="C41" i="3"/>
  <c r="E41" i="3"/>
  <c r="B41" i="3"/>
  <c r="A41" i="3"/>
  <c r="J41" i="3"/>
  <c r="J175" i="5"/>
  <c r="F175" i="5"/>
  <c r="D175" i="5"/>
  <c r="B175" i="5"/>
  <c r="A175" i="5"/>
  <c r="E175" i="5"/>
  <c r="C175" i="5"/>
  <c r="D160" i="3"/>
  <c r="E160" i="3"/>
  <c r="C160" i="3"/>
  <c r="B160" i="3"/>
  <c r="A160" i="3"/>
  <c r="J160" i="3"/>
  <c r="F160" i="3"/>
  <c r="A100" i="4"/>
  <c r="D100" i="4"/>
  <c r="F100" i="4"/>
  <c r="B100" i="4"/>
  <c r="J100" i="4"/>
  <c r="E100" i="4"/>
  <c r="C100" i="4"/>
  <c r="B34" i="2"/>
  <c r="F34" i="2"/>
  <c r="E34" i="2"/>
  <c r="C34" i="2"/>
  <c r="A34" i="2"/>
  <c r="J34" i="2"/>
  <c r="D34" i="2"/>
  <c r="D71" i="3"/>
  <c r="C71" i="3"/>
  <c r="B71" i="3"/>
  <c r="A71" i="3"/>
  <c r="F71" i="3"/>
  <c r="E71" i="3"/>
  <c r="J71" i="3"/>
  <c r="D199" i="4"/>
  <c r="E199" i="4"/>
  <c r="C199" i="4"/>
  <c r="B199" i="4"/>
  <c r="A199" i="4"/>
  <c r="J199" i="4"/>
  <c r="F199" i="4"/>
  <c r="D193" i="4"/>
  <c r="F193" i="4"/>
  <c r="E193" i="4"/>
  <c r="J193" i="4"/>
  <c r="C193" i="4"/>
  <c r="B193" i="4"/>
  <c r="A193" i="4"/>
  <c r="A146" i="4"/>
  <c r="B146" i="4"/>
  <c r="E146" i="4"/>
  <c r="D146" i="4"/>
  <c r="C146" i="4"/>
  <c r="J146" i="4"/>
  <c r="F146" i="4"/>
  <c r="D68" i="3"/>
  <c r="J68" i="3"/>
  <c r="C68" i="3"/>
  <c r="F68" i="3"/>
  <c r="E68" i="3"/>
  <c r="B68" i="3"/>
  <c r="A68" i="3"/>
  <c r="E188" i="3"/>
  <c r="F188" i="3"/>
  <c r="A188" i="3"/>
  <c r="J188" i="3"/>
  <c r="D188" i="3"/>
  <c r="C188" i="3"/>
  <c r="B188" i="3"/>
  <c r="E148" i="2"/>
  <c r="B148" i="2"/>
  <c r="A148" i="2"/>
  <c r="J148" i="2"/>
  <c r="F148" i="2"/>
  <c r="D148" i="2"/>
  <c r="C148" i="2"/>
  <c r="D35" i="3"/>
  <c r="J35" i="3"/>
  <c r="F35" i="3"/>
  <c r="B35" i="3"/>
  <c r="E35" i="3"/>
  <c r="C35" i="3"/>
  <c r="A35" i="3"/>
  <c r="J124" i="5"/>
  <c r="F124" i="5"/>
  <c r="D124" i="5"/>
  <c r="B124" i="5"/>
  <c r="E124" i="5"/>
  <c r="A124" i="5"/>
  <c r="C124" i="5"/>
  <c r="J102" i="5"/>
  <c r="F102" i="5"/>
  <c r="D102" i="5"/>
  <c r="B102" i="5"/>
  <c r="E102" i="5"/>
  <c r="A102" i="5"/>
  <c r="C102" i="5"/>
  <c r="D51" i="3"/>
  <c r="J51" i="3"/>
  <c r="F51" i="3"/>
  <c r="B51" i="3"/>
  <c r="E51" i="3"/>
  <c r="C51" i="3"/>
  <c r="A51" i="3"/>
  <c r="C16" i="5"/>
  <c r="D16" i="5"/>
  <c r="B16" i="5"/>
  <c r="A16" i="5"/>
  <c r="F16" i="5"/>
  <c r="E16" i="5"/>
  <c r="J16" i="5"/>
  <c r="C91" i="5"/>
  <c r="E91" i="5"/>
  <c r="D91" i="5"/>
  <c r="B91" i="5"/>
  <c r="F91" i="5"/>
  <c r="J91" i="5"/>
  <c r="A91" i="5"/>
  <c r="E172" i="2"/>
  <c r="A172" i="2"/>
  <c r="J172" i="2"/>
  <c r="F172" i="2"/>
  <c r="D172" i="2"/>
  <c r="C172" i="2"/>
  <c r="B172" i="2"/>
  <c r="D52" i="3"/>
  <c r="C52" i="3"/>
  <c r="E52" i="3"/>
  <c r="B52" i="3"/>
  <c r="A52" i="3"/>
  <c r="J52" i="3"/>
  <c r="F52" i="3"/>
  <c r="C5" i="5"/>
  <c r="J5" i="5"/>
  <c r="A5" i="5"/>
  <c r="F5" i="5"/>
  <c r="E5" i="5"/>
  <c r="D5" i="5"/>
  <c r="B5" i="5"/>
  <c r="E172" i="3"/>
  <c r="J172" i="3"/>
  <c r="C172" i="3"/>
  <c r="B172" i="3"/>
  <c r="A172" i="3"/>
  <c r="F172" i="3"/>
  <c r="D172" i="3"/>
  <c r="E191" i="2"/>
  <c r="D191" i="2"/>
  <c r="B191" i="2"/>
  <c r="F191" i="2"/>
  <c r="A191" i="2"/>
  <c r="J191" i="2"/>
  <c r="C191" i="2"/>
  <c r="C21" i="5"/>
  <c r="J21" i="5"/>
  <c r="B21" i="5"/>
  <c r="A21" i="5"/>
  <c r="F21" i="5"/>
  <c r="E21" i="5"/>
  <c r="D21" i="5"/>
  <c r="B77" i="4"/>
  <c r="C77" i="4"/>
  <c r="A77" i="4"/>
  <c r="D77" i="4"/>
  <c r="F77" i="4"/>
  <c r="E77" i="4"/>
  <c r="J77" i="4"/>
  <c r="E155" i="2"/>
  <c r="J155" i="2"/>
  <c r="F155" i="2"/>
  <c r="D155" i="2"/>
  <c r="C155" i="2"/>
  <c r="B155" i="2"/>
  <c r="A155" i="2"/>
  <c r="D62" i="3"/>
  <c r="B62" i="3"/>
  <c r="F62" i="3"/>
  <c r="J62" i="3"/>
  <c r="E62" i="3"/>
  <c r="C62" i="3"/>
  <c r="A62" i="3"/>
  <c r="B35" i="4"/>
  <c r="A35" i="4"/>
  <c r="J35" i="4"/>
  <c r="F35" i="4"/>
  <c r="E35" i="4"/>
  <c r="C35" i="4"/>
  <c r="D35" i="4"/>
  <c r="D148" i="3"/>
  <c r="J148" i="3"/>
  <c r="F148" i="3"/>
  <c r="E148" i="3"/>
  <c r="C148" i="3"/>
  <c r="B148" i="3"/>
  <c r="A148" i="3"/>
  <c r="B36" i="2"/>
  <c r="F36" i="2"/>
  <c r="E36" i="2"/>
  <c r="D36" i="2"/>
  <c r="C36" i="2"/>
  <c r="J36" i="2"/>
  <c r="A36" i="2"/>
  <c r="A141" i="4"/>
  <c r="E141" i="4"/>
  <c r="D141" i="4"/>
  <c r="J141" i="4"/>
  <c r="F141" i="4"/>
  <c r="C141" i="4"/>
  <c r="B141" i="4"/>
  <c r="E181" i="2"/>
  <c r="B181" i="2"/>
  <c r="A181" i="2"/>
  <c r="J181" i="2"/>
  <c r="F181" i="2"/>
  <c r="D181" i="2"/>
  <c r="C181" i="2"/>
  <c r="E137" i="2"/>
  <c r="F137" i="2"/>
  <c r="D137" i="2"/>
  <c r="C137" i="2"/>
  <c r="B137" i="2"/>
  <c r="A137" i="2"/>
  <c r="J137" i="2"/>
  <c r="A118" i="4"/>
  <c r="F118" i="4"/>
  <c r="J118" i="4"/>
  <c r="E118" i="4"/>
  <c r="D118" i="4"/>
  <c r="C118" i="4"/>
  <c r="B118" i="4"/>
  <c r="D171" i="4"/>
  <c r="J171" i="4"/>
  <c r="F171" i="4"/>
  <c r="E171" i="4"/>
  <c r="A171" i="4"/>
  <c r="C171" i="4"/>
  <c r="B171" i="4"/>
  <c r="E173" i="2"/>
  <c r="B173" i="2"/>
  <c r="A173" i="2"/>
  <c r="J173" i="2"/>
  <c r="D173" i="2"/>
  <c r="C173" i="2"/>
  <c r="F173" i="2"/>
  <c r="B33" i="2"/>
  <c r="F33" i="2"/>
  <c r="E33" i="2"/>
  <c r="J33" i="2"/>
  <c r="C33" i="2"/>
  <c r="A33" i="2"/>
  <c r="D33" i="2"/>
  <c r="B79" i="4"/>
  <c r="E79" i="4"/>
  <c r="D79" i="4"/>
  <c r="A79" i="4"/>
  <c r="J79" i="4"/>
  <c r="F79" i="4"/>
  <c r="C79" i="4"/>
  <c r="D110" i="3"/>
  <c r="B110" i="3"/>
  <c r="A110" i="3"/>
  <c r="J110" i="3"/>
  <c r="F110" i="3"/>
  <c r="E110" i="3"/>
  <c r="C110" i="3"/>
  <c r="D29" i="3"/>
  <c r="A29" i="3"/>
  <c r="J29" i="3"/>
  <c r="E29" i="3"/>
  <c r="F29" i="3"/>
  <c r="C29" i="3"/>
  <c r="B29" i="3"/>
  <c r="B65" i="4"/>
  <c r="C65" i="4"/>
  <c r="F65" i="4"/>
  <c r="J65" i="4"/>
  <c r="E65" i="4"/>
  <c r="D65" i="4"/>
  <c r="A65" i="4"/>
  <c r="D137" i="3"/>
  <c r="F137" i="3"/>
  <c r="E137" i="3"/>
  <c r="C137" i="3"/>
  <c r="B137" i="3"/>
  <c r="A137" i="3"/>
  <c r="J137" i="3"/>
  <c r="E183" i="3"/>
  <c r="C183" i="3"/>
  <c r="B183" i="3"/>
  <c r="J183" i="3"/>
  <c r="F183" i="3"/>
  <c r="D183" i="3"/>
  <c r="A183" i="3"/>
  <c r="D72" i="3"/>
  <c r="E72" i="3"/>
  <c r="C72" i="3"/>
  <c r="B72" i="3"/>
  <c r="J72" i="3"/>
  <c r="F72" i="3"/>
  <c r="A72" i="3"/>
  <c r="A120" i="4"/>
  <c r="J120" i="4"/>
  <c r="D120" i="4"/>
  <c r="C120" i="4"/>
  <c r="B120" i="4"/>
  <c r="F120" i="4"/>
  <c r="E120" i="4"/>
  <c r="B9" i="2"/>
  <c r="F9" i="2"/>
  <c r="E9" i="2"/>
  <c r="J9" i="2"/>
  <c r="A9" i="2"/>
  <c r="D9" i="2"/>
  <c r="C9" i="2"/>
  <c r="D26" i="3"/>
  <c r="E26" i="3"/>
  <c r="A26" i="3"/>
  <c r="J26" i="3"/>
  <c r="F26" i="3"/>
  <c r="C26" i="3"/>
  <c r="B26" i="3"/>
  <c r="E157" i="2"/>
  <c r="A157" i="2"/>
  <c r="C157" i="2"/>
  <c r="B157" i="2"/>
  <c r="J157" i="2"/>
  <c r="F157" i="2"/>
  <c r="D157" i="2"/>
  <c r="C29" i="5"/>
  <c r="F29" i="5"/>
  <c r="A29" i="5"/>
  <c r="E29" i="5"/>
  <c r="D29" i="5"/>
  <c r="B29" i="5"/>
  <c r="J29" i="5"/>
  <c r="D194" i="4"/>
  <c r="J194" i="4"/>
  <c r="F194" i="4"/>
  <c r="E194" i="4"/>
  <c r="C194" i="4"/>
  <c r="B194" i="4"/>
  <c r="A194" i="4"/>
  <c r="A142" i="4"/>
  <c r="F142" i="4"/>
  <c r="E142" i="4"/>
  <c r="J142" i="4"/>
  <c r="D142" i="4"/>
  <c r="C142" i="4"/>
  <c r="B142" i="4"/>
  <c r="J160" i="5"/>
  <c r="F160" i="5"/>
  <c r="D160" i="5"/>
  <c r="B160" i="5"/>
  <c r="A160" i="5"/>
  <c r="E160" i="5"/>
  <c r="C160" i="5"/>
  <c r="C47" i="5"/>
  <c r="J47" i="5"/>
  <c r="F47" i="5"/>
  <c r="E47" i="5"/>
  <c r="D47" i="5"/>
  <c r="A47" i="5"/>
  <c r="B47" i="5"/>
  <c r="B67" i="4"/>
  <c r="E67" i="4"/>
  <c r="J67" i="4"/>
  <c r="F67" i="4"/>
  <c r="D67" i="4"/>
  <c r="C67" i="4"/>
  <c r="A67" i="4"/>
  <c r="D24" i="3"/>
  <c r="E24" i="3"/>
  <c r="B24" i="3"/>
  <c r="J24" i="3"/>
  <c r="F24" i="3"/>
  <c r="C24" i="3"/>
  <c r="A24" i="3"/>
  <c r="D119" i="3"/>
  <c r="C119" i="3"/>
  <c r="B119" i="3"/>
  <c r="A119" i="3"/>
  <c r="J119" i="3"/>
  <c r="E119" i="3"/>
  <c r="F119" i="3"/>
  <c r="E162" i="3"/>
  <c r="F162" i="3"/>
  <c r="J162" i="3"/>
  <c r="D162" i="3"/>
  <c r="C162" i="3"/>
  <c r="B162" i="3"/>
  <c r="A162" i="3"/>
  <c r="E113" i="2"/>
  <c r="A113" i="2"/>
  <c r="J113" i="2"/>
  <c r="F113" i="2"/>
  <c r="D113" i="2"/>
  <c r="C113" i="2"/>
  <c r="B113" i="2"/>
  <c r="E182" i="2"/>
  <c r="C182" i="2"/>
  <c r="B182" i="2"/>
  <c r="J182" i="2"/>
  <c r="F182" i="2"/>
  <c r="D182" i="2"/>
  <c r="A182" i="2"/>
  <c r="D200" i="4"/>
  <c r="F200" i="4"/>
  <c r="E200" i="4"/>
  <c r="C200" i="4"/>
  <c r="J200" i="4"/>
  <c r="B200" i="4"/>
  <c r="A200" i="4"/>
  <c r="D77" i="3"/>
  <c r="A77" i="3"/>
  <c r="J77" i="3"/>
  <c r="E77" i="3"/>
  <c r="F77" i="3"/>
  <c r="C77" i="3"/>
  <c r="B77" i="3"/>
  <c r="C26" i="5"/>
  <c r="F26" i="5"/>
  <c r="E26" i="5"/>
  <c r="D26" i="5"/>
  <c r="J26" i="5"/>
  <c r="B26" i="5"/>
  <c r="A26" i="5"/>
  <c r="D20" i="3"/>
  <c r="C20" i="3"/>
  <c r="J20" i="3"/>
  <c r="F20" i="3"/>
  <c r="E20" i="3"/>
  <c r="B20" i="3"/>
  <c r="A20" i="3"/>
  <c r="E151" i="2"/>
  <c r="C151" i="2"/>
  <c r="J151" i="2"/>
  <c r="F151" i="2"/>
  <c r="D151" i="2"/>
  <c r="B151" i="2"/>
  <c r="A151" i="2"/>
  <c r="D57" i="3"/>
  <c r="F57" i="3"/>
  <c r="C57" i="3"/>
  <c r="J57" i="3"/>
  <c r="E57" i="3"/>
  <c r="B57" i="3"/>
  <c r="A57" i="3"/>
  <c r="J105" i="5"/>
  <c r="F105" i="5"/>
  <c r="D105" i="5"/>
  <c r="B105" i="5"/>
  <c r="E105" i="5"/>
  <c r="C105" i="5"/>
  <c r="A105" i="5"/>
  <c r="E130" i="2"/>
  <c r="J130" i="2"/>
  <c r="F130" i="2"/>
  <c r="D130" i="2"/>
  <c r="C130" i="2"/>
  <c r="B130" i="2"/>
  <c r="A130" i="2"/>
  <c r="A137" i="4"/>
  <c r="J137" i="4"/>
  <c r="D137" i="4"/>
  <c r="C137" i="4"/>
  <c r="B137" i="4"/>
  <c r="F137" i="4"/>
  <c r="E137" i="4"/>
  <c r="D147" i="3"/>
  <c r="J147" i="3"/>
  <c r="F147" i="3"/>
  <c r="E147" i="3"/>
  <c r="C147" i="3"/>
  <c r="B147" i="3"/>
  <c r="A147" i="3"/>
  <c r="A104" i="4"/>
  <c r="J104" i="4"/>
  <c r="F104" i="4"/>
  <c r="E104" i="4"/>
  <c r="D104" i="4"/>
  <c r="B104" i="4"/>
  <c r="C104" i="4"/>
  <c r="B63" i="4"/>
  <c r="E63" i="4"/>
  <c r="D63" i="4"/>
  <c r="J63" i="4"/>
  <c r="F63" i="4"/>
  <c r="A63" i="4"/>
  <c r="C63" i="4"/>
  <c r="D121" i="3"/>
  <c r="F121" i="3"/>
  <c r="E121" i="3"/>
  <c r="C121" i="3"/>
  <c r="B121" i="3"/>
  <c r="A121" i="3"/>
  <c r="J121" i="3"/>
  <c r="J150" i="5"/>
  <c r="F150" i="5"/>
  <c r="D150" i="5"/>
  <c r="B150" i="5"/>
  <c r="A150" i="5"/>
  <c r="E150" i="5"/>
  <c r="C150" i="5"/>
  <c r="D33" i="3"/>
  <c r="F33" i="3"/>
  <c r="C33" i="3"/>
  <c r="J33" i="3"/>
  <c r="E33" i="3"/>
  <c r="B33" i="3"/>
  <c r="A33" i="3"/>
  <c r="B74" i="4"/>
  <c r="D74" i="4"/>
  <c r="J74" i="4"/>
  <c r="F74" i="4"/>
  <c r="E74" i="4"/>
  <c r="A74" i="4"/>
  <c r="C74" i="4"/>
  <c r="J173" i="5"/>
  <c r="F173" i="5"/>
  <c r="D173" i="5"/>
  <c r="B173" i="5"/>
  <c r="A173" i="5"/>
  <c r="C173" i="5"/>
  <c r="E173" i="5"/>
  <c r="E121" i="2"/>
  <c r="F121" i="2"/>
  <c r="J121" i="2"/>
  <c r="D121" i="2"/>
  <c r="C121" i="2"/>
  <c r="B121" i="2"/>
  <c r="A121" i="2"/>
  <c r="E170" i="2"/>
  <c r="J170" i="2"/>
  <c r="D170" i="2"/>
  <c r="F170" i="2"/>
  <c r="C170" i="2"/>
  <c r="B170" i="2"/>
  <c r="A170" i="2"/>
  <c r="E181" i="3"/>
  <c r="A181" i="3"/>
  <c r="D181" i="3"/>
  <c r="C181" i="3"/>
  <c r="B181" i="3"/>
  <c r="J181" i="3"/>
  <c r="F181" i="3"/>
  <c r="A127" i="4"/>
  <c r="J127" i="4"/>
  <c r="F127" i="4"/>
  <c r="E127" i="4"/>
  <c r="D127" i="4"/>
  <c r="C127" i="4"/>
  <c r="B127" i="4"/>
  <c r="E97" i="2"/>
  <c r="F97" i="2"/>
  <c r="D97" i="2"/>
  <c r="C97" i="2"/>
  <c r="J97" i="2"/>
  <c r="B97" i="2"/>
  <c r="A97" i="2"/>
  <c r="D131" i="3"/>
  <c r="J131" i="3"/>
  <c r="F131" i="3"/>
  <c r="E131" i="3"/>
  <c r="C131" i="3"/>
  <c r="B131" i="3"/>
  <c r="A131" i="3"/>
  <c r="C65" i="5"/>
  <c r="B65" i="5"/>
  <c r="A65" i="5"/>
  <c r="D65" i="5"/>
  <c r="E65" i="5"/>
  <c r="J65" i="5"/>
  <c r="F65" i="5"/>
  <c r="D61" i="3"/>
  <c r="A61" i="3"/>
  <c r="J61" i="3"/>
  <c r="E61" i="3"/>
  <c r="F61" i="3"/>
  <c r="C61" i="3"/>
  <c r="B61" i="3"/>
  <c r="D178" i="4"/>
  <c r="J178" i="4"/>
  <c r="F178" i="4"/>
  <c r="E178" i="4"/>
  <c r="C178" i="4"/>
  <c r="B178" i="4"/>
  <c r="A178" i="4"/>
  <c r="A121" i="4"/>
  <c r="F121" i="4"/>
  <c r="E121" i="4"/>
  <c r="D121" i="4"/>
  <c r="C121" i="4"/>
  <c r="B121" i="4"/>
  <c r="J121" i="4"/>
  <c r="D177" i="4"/>
  <c r="F177" i="4"/>
  <c r="C177" i="4"/>
  <c r="B177" i="4"/>
  <c r="A177" i="4"/>
  <c r="E177" i="4"/>
  <c r="J177" i="4"/>
  <c r="E152" i="2"/>
  <c r="D152" i="2"/>
  <c r="A152" i="2"/>
  <c r="J152" i="2"/>
  <c r="F152" i="2"/>
  <c r="C152" i="2"/>
  <c r="B152" i="2"/>
  <c r="D90" i="3"/>
  <c r="F90" i="3"/>
  <c r="E90" i="3"/>
  <c r="A90" i="3"/>
  <c r="J90" i="3"/>
  <c r="C90" i="3"/>
  <c r="B90" i="3"/>
  <c r="D111" i="3"/>
  <c r="C111" i="3"/>
  <c r="B111" i="3"/>
  <c r="A111" i="3"/>
  <c r="J111" i="3"/>
  <c r="F111" i="3"/>
  <c r="E111" i="3"/>
  <c r="J116" i="5"/>
  <c r="F116" i="5"/>
  <c r="D116" i="5"/>
  <c r="B116" i="5"/>
  <c r="E116" i="5"/>
  <c r="C116" i="5"/>
  <c r="A116" i="5"/>
  <c r="D88" i="3"/>
  <c r="E88" i="3"/>
  <c r="C88" i="3"/>
  <c r="B88" i="3"/>
  <c r="J88" i="3"/>
  <c r="F88" i="3"/>
  <c r="A88" i="3"/>
  <c r="B84" i="4"/>
  <c r="F84" i="4"/>
  <c r="A84" i="4"/>
  <c r="E84" i="4"/>
  <c r="D84" i="4"/>
  <c r="C84" i="4"/>
  <c r="J84" i="4"/>
  <c r="C85" i="5"/>
  <c r="F85" i="5"/>
  <c r="E85" i="5"/>
  <c r="J85" i="5"/>
  <c r="D85" i="5"/>
  <c r="B85" i="5"/>
  <c r="A85" i="5"/>
  <c r="D11" i="3"/>
  <c r="J11" i="3"/>
  <c r="F11" i="3"/>
  <c r="B11" i="3"/>
  <c r="E11" i="3"/>
  <c r="C11" i="3"/>
  <c r="A11" i="3"/>
  <c r="J177" i="5"/>
  <c r="F177" i="5"/>
  <c r="D177" i="5"/>
  <c r="B177" i="5"/>
  <c r="A177" i="5"/>
  <c r="E177" i="5"/>
  <c r="C177" i="5"/>
  <c r="A151" i="4"/>
  <c r="F151" i="4"/>
  <c r="B151" i="4"/>
  <c r="J151" i="4"/>
  <c r="E151" i="4"/>
  <c r="D151" i="4"/>
  <c r="C151" i="4"/>
  <c r="J183" i="5"/>
  <c r="F183" i="5"/>
  <c r="D183" i="5"/>
  <c r="B183" i="5"/>
  <c r="A183" i="5"/>
  <c r="E183" i="5"/>
  <c r="C183" i="5"/>
  <c r="E169" i="3"/>
  <c r="F169" i="3"/>
  <c r="D169" i="3"/>
  <c r="B169" i="3"/>
  <c r="A169" i="3"/>
  <c r="J169" i="3"/>
  <c r="C169" i="3"/>
  <c r="B31" i="4"/>
  <c r="E31" i="4"/>
  <c r="F31" i="4"/>
  <c r="D31" i="4"/>
  <c r="C31" i="4"/>
  <c r="A31" i="4"/>
  <c r="J31" i="4"/>
  <c r="B86" i="2"/>
  <c r="F86" i="2"/>
  <c r="E86" i="2"/>
  <c r="J86" i="2"/>
  <c r="D86" i="2"/>
  <c r="C86" i="2"/>
  <c r="A86" i="2"/>
  <c r="D89" i="3"/>
  <c r="F89" i="3"/>
  <c r="E89" i="3"/>
  <c r="C89" i="3"/>
  <c r="J89" i="3"/>
  <c r="B89" i="3"/>
  <c r="A89" i="3"/>
  <c r="J161" i="5"/>
  <c r="F161" i="5"/>
  <c r="D161" i="5"/>
  <c r="B161" i="5"/>
  <c r="A161" i="5"/>
  <c r="E161" i="5"/>
  <c r="C161" i="5"/>
  <c r="A95" i="4"/>
  <c r="E95" i="4"/>
  <c r="D95" i="4"/>
  <c r="F95" i="4"/>
  <c r="B95" i="4"/>
  <c r="J95" i="4"/>
  <c r="C95" i="4"/>
  <c r="B71" i="4"/>
  <c r="E71" i="4"/>
  <c r="D71" i="4"/>
  <c r="F71" i="4"/>
  <c r="C71" i="4"/>
  <c r="A71" i="4"/>
  <c r="J71" i="4"/>
  <c r="D116" i="3"/>
  <c r="J116" i="3"/>
  <c r="F116" i="3"/>
  <c r="C116" i="3"/>
  <c r="A116" i="3"/>
  <c r="E116" i="3"/>
  <c r="B116" i="3"/>
  <c r="D10" i="4"/>
  <c r="E10" i="4"/>
  <c r="F10" i="4"/>
  <c r="C10" i="4"/>
  <c r="B10" i="4"/>
  <c r="J10" i="4"/>
  <c r="A10" i="4"/>
  <c r="A161" i="4"/>
  <c r="J161" i="4"/>
  <c r="F161" i="4"/>
  <c r="E161" i="4"/>
  <c r="D161" i="4"/>
  <c r="C161" i="4"/>
  <c r="B161" i="4"/>
  <c r="A160" i="4"/>
  <c r="J160" i="4"/>
  <c r="F160" i="4"/>
  <c r="E160" i="4"/>
  <c r="D160" i="4"/>
  <c r="B160" i="4"/>
  <c r="C160" i="4"/>
  <c r="D157" i="3"/>
  <c r="A157" i="3"/>
  <c r="J157" i="3"/>
  <c r="F157" i="3"/>
  <c r="E157" i="3"/>
  <c r="C157" i="3"/>
  <c r="B157" i="3"/>
  <c r="B47" i="2"/>
  <c r="F47" i="2"/>
  <c r="E47" i="2"/>
  <c r="A47" i="2"/>
  <c r="D47" i="2"/>
  <c r="J47" i="2"/>
  <c r="C47" i="2"/>
  <c r="A123" i="4"/>
  <c r="C123" i="4"/>
  <c r="J123" i="4"/>
  <c r="F123" i="4"/>
  <c r="E123" i="4"/>
  <c r="D123" i="4"/>
  <c r="B123" i="4"/>
  <c r="D109" i="3"/>
  <c r="A109" i="3"/>
  <c r="J109" i="3"/>
  <c r="E109" i="3"/>
  <c r="F109" i="3"/>
  <c r="C109" i="3"/>
  <c r="B109" i="3"/>
  <c r="D21" i="4"/>
  <c r="E21" i="4"/>
  <c r="B21" i="4"/>
  <c r="A21" i="4"/>
  <c r="J21" i="4"/>
  <c r="F21" i="4"/>
  <c r="C21" i="4"/>
  <c r="E192" i="2"/>
  <c r="F192" i="2"/>
  <c r="C192" i="2"/>
  <c r="D192" i="2"/>
  <c r="J192" i="2"/>
  <c r="B192" i="2"/>
  <c r="A192" i="2"/>
  <c r="D65" i="3"/>
  <c r="F65" i="3"/>
  <c r="C65" i="3"/>
  <c r="B65" i="3"/>
  <c r="A65" i="3"/>
  <c r="J65" i="3"/>
  <c r="E65" i="3"/>
  <c r="C98" i="5"/>
  <c r="D98" i="5"/>
  <c r="B98" i="5"/>
  <c r="A98" i="5"/>
  <c r="E98" i="5"/>
  <c r="J98" i="5"/>
  <c r="F98" i="5"/>
  <c r="E175" i="3"/>
  <c r="C175" i="3"/>
  <c r="B175" i="3"/>
  <c r="D175" i="3"/>
  <c r="A175" i="3"/>
  <c r="J175" i="3"/>
  <c r="F175" i="3"/>
  <c r="A133" i="4"/>
  <c r="E133" i="4"/>
  <c r="D133" i="4"/>
  <c r="J133" i="4"/>
  <c r="F133" i="4"/>
  <c r="C133" i="4"/>
  <c r="B133" i="4"/>
  <c r="B37" i="2"/>
  <c r="F37" i="2"/>
  <c r="E37" i="2"/>
  <c r="D37" i="2"/>
  <c r="C37" i="2"/>
  <c r="A37" i="2"/>
  <c r="J37" i="2"/>
  <c r="B43" i="4"/>
  <c r="C43" i="4"/>
  <c r="D43" i="4"/>
  <c r="J43" i="4"/>
  <c r="F43" i="4"/>
  <c r="E43" i="4"/>
  <c r="A43" i="4"/>
  <c r="A98" i="4"/>
  <c r="B98" i="4"/>
  <c r="C98" i="4"/>
  <c r="F98" i="4"/>
  <c r="D98" i="4"/>
  <c r="E98" i="4"/>
  <c r="J98" i="4"/>
  <c r="C51" i="5"/>
  <c r="E51" i="5"/>
  <c r="D51" i="5"/>
  <c r="J51" i="5"/>
  <c r="F51" i="5"/>
  <c r="B51" i="5"/>
  <c r="A51" i="5"/>
  <c r="D85" i="3"/>
  <c r="A85" i="3"/>
  <c r="J85" i="3"/>
  <c r="E85" i="3"/>
  <c r="C85" i="3"/>
  <c r="B85" i="3"/>
  <c r="F85" i="3"/>
  <c r="B51" i="4"/>
  <c r="E51" i="4"/>
  <c r="J51" i="4"/>
  <c r="F51" i="4"/>
  <c r="D51" i="4"/>
  <c r="C51" i="4"/>
  <c r="A51" i="4"/>
  <c r="J106" i="5"/>
  <c r="F106" i="5"/>
  <c r="D106" i="5"/>
  <c r="B106" i="5"/>
  <c r="E106" i="5"/>
  <c r="A106" i="5"/>
  <c r="C106" i="5"/>
  <c r="B84" i="2"/>
  <c r="F84" i="2"/>
  <c r="E84" i="2"/>
  <c r="J84" i="2"/>
  <c r="D84" i="2"/>
  <c r="C84" i="2"/>
  <c r="A84" i="2"/>
  <c r="C62" i="5"/>
  <c r="J62" i="5"/>
  <c r="F62" i="5"/>
  <c r="E62" i="5"/>
  <c r="D62" i="5"/>
  <c r="A62" i="5"/>
  <c r="B62" i="5"/>
  <c r="C77" i="5"/>
  <c r="F77" i="5"/>
  <c r="E77" i="5"/>
  <c r="J77" i="5"/>
  <c r="D77" i="5"/>
  <c r="B77" i="5"/>
  <c r="A77" i="5"/>
  <c r="B17" i="2"/>
  <c r="F17" i="2"/>
  <c r="E17" i="2"/>
  <c r="J17" i="2"/>
  <c r="C17" i="2"/>
  <c r="A17" i="2"/>
  <c r="D17" i="2"/>
  <c r="B53" i="2"/>
  <c r="F53" i="2"/>
  <c r="E53" i="2"/>
  <c r="D53" i="2"/>
  <c r="C53" i="2"/>
  <c r="A53" i="2"/>
  <c r="J53" i="2"/>
  <c r="J109" i="5"/>
  <c r="F109" i="5"/>
  <c r="D109" i="5"/>
  <c r="B109" i="5"/>
  <c r="C109" i="5"/>
  <c r="A109" i="5"/>
  <c r="E109" i="5"/>
  <c r="J114" i="5"/>
  <c r="F114" i="5"/>
  <c r="D114" i="5"/>
  <c r="B114" i="5"/>
  <c r="E114" i="5"/>
  <c r="C114" i="5"/>
  <c r="A114" i="5"/>
  <c r="A102" i="4"/>
  <c r="F102" i="4"/>
  <c r="B102" i="4"/>
  <c r="E102" i="4"/>
  <c r="C102" i="4"/>
  <c r="D102" i="4"/>
  <c r="J102" i="4"/>
  <c r="A156" i="4"/>
  <c r="D156" i="4"/>
  <c r="C156" i="4"/>
  <c r="B156" i="4"/>
  <c r="J156" i="4"/>
  <c r="F156" i="4"/>
  <c r="E156" i="4"/>
  <c r="E198" i="3"/>
  <c r="F198" i="3"/>
  <c r="D198" i="3"/>
  <c r="C198" i="3"/>
  <c r="A198" i="3"/>
  <c r="J198" i="3"/>
  <c r="B198" i="3"/>
  <c r="B10" i="2"/>
  <c r="F10" i="2"/>
  <c r="E10" i="2"/>
  <c r="C10" i="2"/>
  <c r="A10" i="2"/>
  <c r="J10" i="2"/>
  <c r="D10" i="2"/>
  <c r="E167" i="3"/>
  <c r="C167" i="3"/>
  <c r="B167" i="3"/>
  <c r="F167" i="3"/>
  <c r="D167" i="3"/>
  <c r="A167" i="3"/>
  <c r="J167" i="3"/>
  <c r="J110" i="5"/>
  <c r="F110" i="5"/>
  <c r="D110" i="5"/>
  <c r="B110" i="5"/>
  <c r="E110" i="5"/>
  <c r="C110" i="5"/>
  <c r="A110" i="5"/>
  <c r="C13" i="5"/>
  <c r="J13" i="5"/>
  <c r="B13" i="5"/>
  <c r="A13" i="5"/>
  <c r="F13" i="5"/>
  <c r="E13" i="5"/>
  <c r="D13" i="5"/>
  <c r="C52" i="5"/>
  <c r="F52" i="5"/>
  <c r="E52" i="5"/>
  <c r="B52" i="5"/>
  <c r="A52" i="5"/>
  <c r="J52" i="5"/>
  <c r="D52" i="5"/>
  <c r="D17" i="3"/>
  <c r="F17" i="3"/>
  <c r="C17" i="3"/>
  <c r="E17" i="3"/>
  <c r="B17" i="3"/>
  <c r="A17" i="3"/>
  <c r="J17" i="3"/>
  <c r="D202" i="4"/>
  <c r="J202" i="4"/>
  <c r="F202" i="4"/>
  <c r="E202" i="4"/>
  <c r="C202" i="4"/>
  <c r="B202" i="4"/>
  <c r="A202" i="4"/>
  <c r="A143" i="4"/>
  <c r="F143" i="4"/>
  <c r="D143" i="4"/>
  <c r="C143" i="4"/>
  <c r="B143" i="4"/>
  <c r="J143" i="4"/>
  <c r="E143" i="4"/>
  <c r="J171" i="5"/>
  <c r="F171" i="5"/>
  <c r="D171" i="5"/>
  <c r="B171" i="5"/>
  <c r="A171" i="5"/>
  <c r="E171" i="5"/>
  <c r="C171" i="5"/>
  <c r="D64" i="3"/>
  <c r="E64" i="3"/>
  <c r="B64" i="3"/>
  <c r="J64" i="3"/>
  <c r="F64" i="3"/>
  <c r="C64" i="3"/>
  <c r="A64" i="3"/>
  <c r="E195" i="2"/>
  <c r="F195" i="2"/>
  <c r="D195" i="2"/>
  <c r="J195" i="2"/>
  <c r="C195" i="2"/>
  <c r="B195" i="2"/>
  <c r="A195" i="2"/>
  <c r="C42" i="5"/>
  <c r="B42" i="5"/>
  <c r="A42" i="5"/>
  <c r="F42" i="5"/>
  <c r="E42" i="5"/>
  <c r="D42" i="5"/>
  <c r="J42" i="5"/>
  <c r="J182" i="5"/>
  <c r="F182" i="5"/>
  <c r="D182" i="5"/>
  <c r="B182" i="5"/>
  <c r="A182" i="5"/>
  <c r="E182" i="5"/>
  <c r="C182" i="5"/>
  <c r="E115" i="2"/>
  <c r="J115" i="2"/>
  <c r="D115" i="2"/>
  <c r="C115" i="2"/>
  <c r="B115" i="2"/>
  <c r="A115" i="2"/>
  <c r="F115" i="2"/>
  <c r="E166" i="2"/>
  <c r="B166" i="2"/>
  <c r="F166" i="2"/>
  <c r="D166" i="2"/>
  <c r="C166" i="2"/>
  <c r="A166" i="2"/>
  <c r="J166" i="2"/>
  <c r="E134" i="2"/>
  <c r="B134" i="2"/>
  <c r="J134" i="2"/>
  <c r="F134" i="2"/>
  <c r="D134" i="2"/>
  <c r="C134" i="2"/>
  <c r="A134" i="2"/>
  <c r="B28" i="4"/>
  <c r="A28" i="4"/>
  <c r="C28" i="4"/>
  <c r="F28" i="4"/>
  <c r="E28" i="4"/>
  <c r="D28" i="4"/>
  <c r="J28" i="4"/>
  <c r="E177" i="3"/>
  <c r="F177" i="3"/>
  <c r="D177" i="3"/>
  <c r="J177" i="3"/>
  <c r="C177" i="3"/>
  <c r="B177" i="3"/>
  <c r="A177" i="3"/>
  <c r="E199" i="3"/>
  <c r="F199" i="3"/>
  <c r="J199" i="3"/>
  <c r="C199" i="3"/>
  <c r="A199" i="3"/>
  <c r="D199" i="3"/>
  <c r="B199" i="3"/>
  <c r="E203" i="2"/>
  <c r="C203" i="2"/>
  <c r="B203" i="2"/>
  <c r="A203" i="2"/>
  <c r="J203" i="2"/>
  <c r="F203" i="2"/>
  <c r="D203" i="2"/>
  <c r="A119" i="4"/>
  <c r="B119" i="4"/>
  <c r="J119" i="4"/>
  <c r="F119" i="4"/>
  <c r="E119" i="4"/>
  <c r="D119" i="4"/>
  <c r="C119" i="4"/>
  <c r="B83" i="2"/>
  <c r="F83" i="2"/>
  <c r="E83" i="2"/>
  <c r="J83" i="2"/>
  <c r="D83" i="2"/>
  <c r="C83" i="2"/>
  <c r="A83" i="2"/>
  <c r="D108" i="3"/>
  <c r="J108" i="3"/>
  <c r="F108" i="3"/>
  <c r="C108" i="3"/>
  <c r="E108" i="3"/>
  <c r="B108" i="3"/>
  <c r="A108" i="3"/>
  <c r="C58" i="5"/>
  <c r="D58" i="5"/>
  <c r="B58" i="5"/>
  <c r="A58" i="5"/>
  <c r="E58" i="5"/>
  <c r="F58" i="5"/>
  <c r="J58" i="5"/>
  <c r="C30" i="5"/>
  <c r="D30" i="5"/>
  <c r="B30" i="5"/>
  <c r="A30" i="5"/>
  <c r="J30" i="5"/>
  <c r="F30" i="5"/>
  <c r="E30" i="5"/>
  <c r="A132" i="4"/>
  <c r="D132" i="4"/>
  <c r="C132" i="4"/>
  <c r="F132" i="4"/>
  <c r="E132" i="4"/>
  <c r="B132" i="4"/>
  <c r="J132" i="4"/>
  <c r="D150" i="3"/>
  <c r="B150" i="3"/>
  <c r="A150" i="3"/>
  <c r="J150" i="3"/>
  <c r="F150" i="3"/>
  <c r="E150" i="3"/>
  <c r="C150" i="3"/>
  <c r="C15" i="5"/>
  <c r="B15" i="5"/>
  <c r="A15" i="5"/>
  <c r="E15" i="5"/>
  <c r="D15" i="5"/>
  <c r="J15" i="5"/>
  <c r="F15" i="5"/>
  <c r="D82" i="3"/>
  <c r="F82" i="3"/>
  <c r="E82" i="3"/>
  <c r="A82" i="3"/>
  <c r="J82" i="3"/>
  <c r="C82" i="3"/>
  <c r="B82" i="3"/>
  <c r="B38" i="2"/>
  <c r="F38" i="2"/>
  <c r="E38" i="2"/>
  <c r="J38" i="2"/>
  <c r="A38" i="2"/>
  <c r="D38" i="2"/>
  <c r="C38" i="2"/>
  <c r="B65" i="2"/>
  <c r="F65" i="2"/>
  <c r="E65" i="2"/>
  <c r="J65" i="2"/>
  <c r="C65" i="2"/>
  <c r="A65" i="2"/>
  <c r="D65" i="2"/>
  <c r="E168" i="3"/>
  <c r="D168" i="3"/>
  <c r="C168" i="3"/>
  <c r="J168" i="3"/>
  <c r="F168" i="3"/>
  <c r="B168" i="3"/>
  <c r="A168" i="3"/>
  <c r="D166" i="4"/>
  <c r="B166" i="4"/>
  <c r="J166" i="4"/>
  <c r="F166" i="4"/>
  <c r="E166" i="4"/>
  <c r="C166" i="4"/>
  <c r="A166" i="4"/>
  <c r="B19" i="2"/>
  <c r="F19" i="2"/>
  <c r="E19" i="2"/>
  <c r="J19" i="2"/>
  <c r="D19" i="2"/>
  <c r="C19" i="2"/>
  <c r="A19" i="2"/>
  <c r="D44" i="3"/>
  <c r="C44" i="3"/>
  <c r="J44" i="3"/>
  <c r="F44" i="3"/>
  <c r="E44" i="3"/>
  <c r="B44" i="3"/>
  <c r="A44" i="3"/>
  <c r="D174" i="4"/>
  <c r="B174" i="4"/>
  <c r="F174" i="4"/>
  <c r="E174" i="4"/>
  <c r="C174" i="4"/>
  <c r="A174" i="4"/>
  <c r="J174" i="4"/>
  <c r="C79" i="5"/>
  <c r="J79" i="5"/>
  <c r="A79" i="5"/>
  <c r="B79" i="5"/>
  <c r="F79" i="5"/>
  <c r="E79" i="5"/>
  <c r="D79" i="5"/>
  <c r="B61" i="4"/>
  <c r="C61" i="4"/>
  <c r="A61" i="4"/>
  <c r="F61" i="4"/>
  <c r="D61" i="4"/>
  <c r="J61" i="4"/>
  <c r="E61" i="4"/>
  <c r="D122" i="3"/>
  <c r="F122" i="3"/>
  <c r="E122" i="3"/>
  <c r="C122" i="3"/>
  <c r="B122" i="3"/>
  <c r="A122" i="3"/>
  <c r="J122" i="3"/>
  <c r="E200" i="2"/>
  <c r="F200" i="2"/>
  <c r="C200" i="2"/>
  <c r="D200" i="2"/>
  <c r="B200" i="2"/>
  <c r="J200" i="2"/>
  <c r="A200" i="2"/>
  <c r="B37" i="4"/>
  <c r="C37" i="4"/>
  <c r="D37" i="4"/>
  <c r="F37" i="4"/>
  <c r="E37" i="4"/>
  <c r="A37" i="4"/>
  <c r="J37" i="4"/>
  <c r="C75" i="5"/>
  <c r="E75" i="5"/>
  <c r="D75" i="5"/>
  <c r="B75" i="5"/>
  <c r="F75" i="5"/>
  <c r="A75" i="5"/>
  <c r="J75" i="5"/>
  <c r="C82" i="5"/>
  <c r="D82" i="5"/>
  <c r="B82" i="5"/>
  <c r="A82" i="5"/>
  <c r="E82" i="5"/>
  <c r="J82" i="5"/>
  <c r="F82" i="5"/>
  <c r="C23" i="5"/>
  <c r="B23" i="5"/>
  <c r="A23" i="5"/>
  <c r="E23" i="5"/>
  <c r="D23" i="5"/>
  <c r="F23" i="5"/>
  <c r="J23" i="5"/>
  <c r="B82" i="2"/>
  <c r="F82" i="2"/>
  <c r="E82" i="2"/>
  <c r="C82" i="2"/>
  <c r="A82" i="2"/>
  <c r="J82" i="2"/>
  <c r="D82" i="2"/>
  <c r="D22" i="4"/>
  <c r="E22" i="4"/>
  <c r="F22" i="4"/>
  <c r="C22" i="4"/>
  <c r="B22" i="4"/>
  <c r="A22" i="4"/>
  <c r="J22" i="4"/>
  <c r="D91" i="3"/>
  <c r="J91" i="3"/>
  <c r="F91" i="3"/>
  <c r="B91" i="3"/>
  <c r="E91" i="3"/>
  <c r="C91" i="3"/>
  <c r="A91" i="3"/>
  <c r="D45" i="3"/>
  <c r="A45" i="3"/>
  <c r="J45" i="3"/>
  <c r="E45" i="3"/>
  <c r="B45" i="3"/>
  <c r="F45" i="3"/>
  <c r="C45" i="3"/>
  <c r="D168" i="4"/>
  <c r="E168" i="4"/>
  <c r="B168" i="4"/>
  <c r="A168" i="4"/>
  <c r="J168" i="4"/>
  <c r="C168" i="4"/>
  <c r="F168" i="4"/>
  <c r="J140" i="5"/>
  <c r="F140" i="5"/>
  <c r="D140" i="5"/>
  <c r="B140" i="5"/>
  <c r="A140" i="5"/>
  <c r="E140" i="5"/>
  <c r="C140" i="5"/>
  <c r="D153" i="3"/>
  <c r="F153" i="3"/>
  <c r="E153" i="3"/>
  <c r="C153" i="3"/>
  <c r="B153" i="3"/>
  <c r="A153" i="3"/>
  <c r="J153" i="3"/>
  <c r="A110" i="4"/>
  <c r="F110" i="4"/>
  <c r="J110" i="4"/>
  <c r="E110" i="4"/>
  <c r="D110" i="4"/>
  <c r="B110" i="4"/>
  <c r="C110" i="4"/>
  <c r="B21" i="2"/>
  <c r="F21" i="2"/>
  <c r="E21" i="2"/>
  <c r="D21" i="2"/>
  <c r="C21" i="2"/>
  <c r="A21" i="2"/>
  <c r="J21" i="2"/>
  <c r="D197" i="4"/>
  <c r="B197" i="4"/>
  <c r="A197" i="4"/>
  <c r="E197" i="4"/>
  <c r="C197" i="4"/>
  <c r="J197" i="4"/>
  <c r="F197" i="4"/>
  <c r="J155" i="5"/>
  <c r="F155" i="5"/>
  <c r="D155" i="5"/>
  <c r="B155" i="5"/>
  <c r="A155" i="5"/>
  <c r="C155" i="5"/>
  <c r="E155" i="5"/>
  <c r="D182" i="4"/>
  <c r="C182" i="4"/>
  <c r="B182" i="4"/>
  <c r="J182" i="4"/>
  <c r="E182" i="4"/>
  <c r="A182" i="4"/>
  <c r="F182" i="4"/>
  <c r="B49" i="2"/>
  <c r="F49" i="2"/>
  <c r="E49" i="2"/>
  <c r="J49" i="2"/>
  <c r="C49" i="2"/>
  <c r="A49" i="2"/>
  <c r="D49" i="2"/>
  <c r="D98" i="3"/>
  <c r="F98" i="3"/>
  <c r="E98" i="3"/>
  <c r="A98" i="3"/>
  <c r="J98" i="3"/>
  <c r="C98" i="3"/>
  <c r="B98" i="3"/>
  <c r="A154" i="4"/>
  <c r="B154" i="4"/>
  <c r="J154" i="4"/>
  <c r="D154" i="4"/>
  <c r="C154" i="4"/>
  <c r="F154" i="4"/>
  <c r="E154" i="4"/>
  <c r="A131" i="4"/>
  <c r="C131" i="4"/>
  <c r="B131" i="4"/>
  <c r="D131" i="4"/>
  <c r="J131" i="4"/>
  <c r="F131" i="4"/>
  <c r="E131" i="4"/>
  <c r="A140" i="4"/>
  <c r="D140" i="4"/>
  <c r="C140" i="4"/>
  <c r="E140" i="4"/>
  <c r="B140" i="4"/>
  <c r="J140" i="4"/>
  <c r="F140" i="4"/>
  <c r="A157" i="4"/>
  <c r="E157" i="4"/>
  <c r="D157" i="4"/>
  <c r="C157" i="4"/>
  <c r="B157" i="4"/>
  <c r="J157" i="4"/>
  <c r="F157" i="4"/>
  <c r="B55" i="4"/>
  <c r="E55" i="4"/>
  <c r="D55" i="4"/>
  <c r="C55" i="4"/>
  <c r="A55" i="4"/>
  <c r="F55" i="4"/>
  <c r="J55" i="4"/>
  <c r="E158" i="2"/>
  <c r="B158" i="2"/>
  <c r="F158" i="2"/>
  <c r="D158" i="2"/>
  <c r="C158" i="2"/>
  <c r="A158" i="2"/>
  <c r="J158" i="2"/>
  <c r="D99" i="3"/>
  <c r="J99" i="3"/>
  <c r="F99" i="3"/>
  <c r="B99" i="3"/>
  <c r="A99" i="3"/>
  <c r="E99" i="3"/>
  <c r="C99" i="3"/>
  <c r="C97" i="5"/>
  <c r="B97" i="5"/>
  <c r="A97" i="5"/>
  <c r="D97" i="5"/>
  <c r="E97" i="5"/>
  <c r="J97" i="5"/>
  <c r="F97" i="5"/>
  <c r="E153" i="2"/>
  <c r="F153" i="2"/>
  <c r="C153" i="2"/>
  <c r="B153" i="2"/>
  <c r="A153" i="2"/>
  <c r="J153" i="2"/>
  <c r="D153" i="2"/>
  <c r="B81" i="4"/>
  <c r="C81" i="4"/>
  <c r="F81" i="4"/>
  <c r="J81" i="4"/>
  <c r="E81" i="4"/>
  <c r="D81" i="4"/>
  <c r="A81" i="4"/>
  <c r="E107" i="2"/>
  <c r="C107" i="2"/>
  <c r="B107" i="2"/>
  <c r="J107" i="2"/>
  <c r="F107" i="2"/>
  <c r="D107" i="2"/>
  <c r="A107" i="2"/>
  <c r="D53" i="3"/>
  <c r="A53" i="3"/>
  <c r="J53" i="3"/>
  <c r="E53" i="3"/>
  <c r="F53" i="3"/>
  <c r="C53" i="3"/>
  <c r="B53" i="3"/>
  <c r="E159" i="2"/>
  <c r="C159" i="2"/>
  <c r="J159" i="2"/>
  <c r="F159" i="2"/>
  <c r="D159" i="2"/>
  <c r="B159" i="2"/>
  <c r="A159" i="2"/>
  <c r="B60" i="2"/>
  <c r="F60" i="2"/>
  <c r="E60" i="2"/>
  <c r="J60" i="2"/>
  <c r="D60" i="2"/>
  <c r="C60" i="2"/>
  <c r="A60" i="2"/>
  <c r="D10" i="3"/>
  <c r="E10" i="3"/>
  <c r="A10" i="3"/>
  <c r="C10" i="3"/>
  <c r="B10" i="3"/>
  <c r="J10" i="3"/>
  <c r="F10" i="3"/>
  <c r="C76" i="5"/>
  <c r="F76" i="5"/>
  <c r="E76" i="5"/>
  <c r="D76" i="5"/>
  <c r="J76" i="5"/>
  <c r="B76" i="5"/>
  <c r="A76" i="5"/>
  <c r="E125" i="2"/>
  <c r="A125" i="2"/>
  <c r="J125" i="2"/>
  <c r="F125" i="2"/>
  <c r="D125" i="2"/>
  <c r="C125" i="2"/>
  <c r="B125" i="2"/>
  <c r="E186" i="3"/>
  <c r="F186" i="3"/>
  <c r="A186" i="3"/>
  <c r="J186" i="3"/>
  <c r="D186" i="3"/>
  <c r="C186" i="3"/>
  <c r="B186" i="3"/>
  <c r="D154" i="3"/>
  <c r="F154" i="3"/>
  <c r="E154" i="3"/>
  <c r="C154" i="3"/>
  <c r="B154" i="3"/>
  <c r="A154" i="3"/>
  <c r="J154" i="3"/>
  <c r="B58" i="4"/>
  <c r="D58" i="4"/>
  <c r="J58" i="4"/>
  <c r="F58" i="4"/>
  <c r="E58" i="4"/>
  <c r="C58" i="4"/>
  <c r="A58" i="4"/>
  <c r="E202" i="2"/>
  <c r="J202" i="2"/>
  <c r="F202" i="2"/>
  <c r="B202" i="2"/>
  <c r="D202" i="2"/>
  <c r="C202" i="2"/>
  <c r="A202" i="2"/>
  <c r="D138" i="3"/>
  <c r="F138" i="3"/>
  <c r="E138" i="3"/>
  <c r="C138" i="3"/>
  <c r="B138" i="3"/>
  <c r="A138" i="3"/>
  <c r="J138" i="3"/>
  <c r="C40" i="5"/>
  <c r="F40" i="5"/>
  <c r="E40" i="5"/>
  <c r="B40" i="5"/>
  <c r="A40" i="5"/>
  <c r="J40" i="5"/>
  <c r="D40" i="5"/>
  <c r="E176" i="2"/>
  <c r="F176" i="2"/>
  <c r="D176" i="2"/>
  <c r="B176" i="2"/>
  <c r="J176" i="2"/>
  <c r="C176" i="2"/>
  <c r="A176" i="2"/>
  <c r="D11" i="4"/>
  <c r="E11" i="4"/>
  <c r="J11" i="4"/>
  <c r="F11" i="4"/>
  <c r="B11" i="4"/>
  <c r="C11" i="4"/>
  <c r="A11" i="4"/>
  <c r="J139" i="5"/>
  <c r="F139" i="5"/>
  <c r="D139" i="5"/>
  <c r="B139" i="5"/>
  <c r="A139" i="5"/>
  <c r="C139" i="5"/>
  <c r="E139" i="5"/>
  <c r="E168" i="2"/>
  <c r="D168" i="2"/>
  <c r="B168" i="2"/>
  <c r="A168" i="2"/>
  <c r="J168" i="2"/>
  <c r="F168" i="2"/>
  <c r="C168" i="2"/>
  <c r="E189" i="3"/>
  <c r="F189" i="3"/>
  <c r="C189" i="3"/>
  <c r="B189" i="3"/>
  <c r="A189" i="3"/>
  <c r="J189" i="3"/>
  <c r="D189" i="3"/>
  <c r="B44" i="4"/>
  <c r="A44" i="4"/>
  <c r="E44" i="4"/>
  <c r="F44" i="4"/>
  <c r="C44" i="4"/>
  <c r="J44" i="4"/>
  <c r="D44" i="4"/>
  <c r="B45" i="4"/>
  <c r="C45" i="4"/>
  <c r="J45" i="4"/>
  <c r="F45" i="4"/>
  <c r="E45" i="4"/>
  <c r="D45" i="4"/>
  <c r="A45" i="4"/>
  <c r="B69" i="2"/>
  <c r="F69" i="2"/>
  <c r="E69" i="2"/>
  <c r="D69" i="2"/>
  <c r="C69" i="2"/>
  <c r="A69" i="2"/>
  <c r="J69" i="2"/>
  <c r="D143" i="3"/>
  <c r="C143" i="3"/>
  <c r="B143" i="3"/>
  <c r="A143" i="3"/>
  <c r="J143" i="3"/>
  <c r="F143" i="3"/>
  <c r="E143" i="3"/>
  <c r="D169" i="4"/>
  <c r="F169" i="4"/>
  <c r="E169" i="4"/>
  <c r="C169" i="4"/>
  <c r="B169" i="4"/>
  <c r="A169" i="4"/>
  <c r="J169" i="4"/>
  <c r="E93" i="2"/>
  <c r="D93" i="2"/>
  <c r="A93" i="2"/>
  <c r="J93" i="2"/>
  <c r="C93" i="2"/>
  <c r="B93" i="2"/>
  <c r="F93" i="2"/>
  <c r="A144" i="4"/>
  <c r="J144" i="4"/>
  <c r="F144" i="4"/>
  <c r="E144" i="4"/>
  <c r="D144" i="4"/>
  <c r="C144" i="4"/>
  <c r="B144" i="4"/>
  <c r="J141" i="5"/>
  <c r="F141" i="5"/>
  <c r="D141" i="5"/>
  <c r="B141" i="5"/>
  <c r="A141" i="5"/>
  <c r="E141" i="5"/>
  <c r="C141" i="5"/>
  <c r="A135" i="4"/>
  <c r="F135" i="4"/>
  <c r="J135" i="4"/>
  <c r="E135" i="4"/>
  <c r="D135" i="4"/>
  <c r="C135" i="4"/>
  <c r="B135" i="4"/>
  <c r="D4" i="4"/>
  <c r="E4" i="4"/>
  <c r="J4" i="4"/>
  <c r="F4" i="4"/>
  <c r="B4" i="4"/>
  <c r="C4" i="4"/>
  <c r="A4" i="4"/>
  <c r="D38" i="3"/>
  <c r="B38" i="3"/>
  <c r="F38" i="3"/>
  <c r="J38" i="3"/>
  <c r="E38" i="3"/>
  <c r="C38" i="3"/>
  <c r="A38" i="3"/>
  <c r="E195" i="3"/>
  <c r="F195" i="3"/>
  <c r="J195" i="3"/>
  <c r="C195" i="3"/>
  <c r="D195" i="3"/>
  <c r="B195" i="3"/>
  <c r="A195" i="3"/>
  <c r="C4" i="5"/>
  <c r="J4" i="5"/>
  <c r="F4" i="5"/>
  <c r="A4" i="5"/>
  <c r="E4" i="5"/>
  <c r="D4" i="5"/>
  <c r="B4" i="5"/>
  <c r="E126" i="2"/>
  <c r="B126" i="2"/>
  <c r="J126" i="2"/>
  <c r="F126" i="2"/>
  <c r="D126" i="2"/>
  <c r="C126" i="2"/>
  <c r="A126" i="2"/>
  <c r="B38" i="4"/>
  <c r="D38" i="4"/>
  <c r="E38" i="4"/>
  <c r="J38" i="4"/>
  <c r="F38" i="4"/>
  <c r="C38" i="4"/>
  <c r="A38" i="4"/>
  <c r="C60" i="5"/>
  <c r="F60" i="5"/>
  <c r="E60" i="5"/>
  <c r="D60" i="5"/>
  <c r="J60" i="5"/>
  <c r="B60" i="5"/>
  <c r="A60" i="5"/>
  <c r="E167" i="2"/>
  <c r="C167" i="2"/>
  <c r="A167" i="2"/>
  <c r="J167" i="2"/>
  <c r="F167" i="2"/>
  <c r="D167" i="2"/>
  <c r="B167" i="2"/>
  <c r="J118" i="5"/>
  <c r="F118" i="5"/>
  <c r="D118" i="5"/>
  <c r="B118" i="5"/>
  <c r="E118" i="5"/>
  <c r="C118" i="5"/>
  <c r="A118" i="5"/>
  <c r="B69" i="4"/>
  <c r="C69" i="4"/>
  <c r="A69" i="4"/>
  <c r="J69" i="4"/>
  <c r="F69" i="4"/>
  <c r="E69" i="4"/>
  <c r="D69" i="4"/>
  <c r="J125" i="5"/>
  <c r="F125" i="5"/>
  <c r="D125" i="5"/>
  <c r="B125" i="5"/>
  <c r="E125" i="5"/>
  <c r="C125" i="5"/>
  <c r="A125" i="5"/>
  <c r="D102" i="3"/>
  <c r="B102" i="3"/>
  <c r="A102" i="3"/>
  <c r="J102" i="3"/>
  <c r="F102" i="3"/>
  <c r="E102" i="3"/>
  <c r="C102" i="3"/>
  <c r="C63" i="5"/>
  <c r="J63" i="5"/>
  <c r="A63" i="5"/>
  <c r="B63" i="5"/>
  <c r="F63" i="5"/>
  <c r="E63" i="5"/>
  <c r="D63" i="5"/>
  <c r="B54" i="2"/>
  <c r="F54" i="2"/>
  <c r="E54" i="2"/>
  <c r="J54" i="2"/>
  <c r="D54" i="2"/>
  <c r="A54" i="2"/>
  <c r="C54" i="2"/>
  <c r="E123" i="2"/>
  <c r="J123" i="2"/>
  <c r="C123" i="2"/>
  <c r="B123" i="2"/>
  <c r="A123" i="2"/>
  <c r="F123" i="2"/>
  <c r="D123" i="2"/>
  <c r="B62" i="4"/>
  <c r="J62" i="4"/>
  <c r="D62" i="4"/>
  <c r="C62" i="4"/>
  <c r="F62" i="4"/>
  <c r="E62" i="4"/>
  <c r="A62" i="4"/>
  <c r="C25" i="5"/>
  <c r="E25" i="5"/>
  <c r="D25" i="5"/>
  <c r="B25" i="5"/>
  <c r="J25" i="5"/>
  <c r="F25" i="5"/>
  <c r="A25" i="5"/>
  <c r="B75" i="2"/>
  <c r="F75" i="2"/>
  <c r="E75" i="2"/>
  <c r="J75" i="2"/>
  <c r="D75" i="2"/>
  <c r="C75" i="2"/>
  <c r="A75" i="2"/>
  <c r="B70" i="4"/>
  <c r="J70" i="4"/>
  <c r="D70" i="4"/>
  <c r="C70" i="4"/>
  <c r="E70" i="4"/>
  <c r="A70" i="4"/>
  <c r="F70" i="4"/>
  <c r="D94" i="3"/>
  <c r="B94" i="3"/>
  <c r="A94" i="3"/>
  <c r="F94" i="3"/>
  <c r="E94" i="3"/>
  <c r="C94" i="3"/>
  <c r="J94" i="3"/>
  <c r="E99" i="2"/>
  <c r="B99" i="2"/>
  <c r="J99" i="2"/>
  <c r="F99" i="2"/>
  <c r="D99" i="2"/>
  <c r="C99" i="2"/>
  <c r="A99" i="2"/>
  <c r="E141" i="2"/>
  <c r="A141" i="2"/>
  <c r="F141" i="2"/>
  <c r="D141" i="2"/>
  <c r="C141" i="2"/>
  <c r="B141" i="2"/>
  <c r="J141" i="2"/>
  <c r="J178" i="5"/>
  <c r="F178" i="5"/>
  <c r="D178" i="5"/>
  <c r="B178" i="5"/>
  <c r="A178" i="5"/>
  <c r="E178" i="5"/>
  <c r="C178" i="5"/>
  <c r="E133" i="2"/>
  <c r="A133" i="2"/>
  <c r="F133" i="2"/>
  <c r="D133" i="2"/>
  <c r="C133" i="2"/>
  <c r="B133" i="2"/>
  <c r="J133" i="2"/>
  <c r="C96" i="5"/>
  <c r="A96" i="5"/>
  <c r="J96" i="5"/>
  <c r="B96" i="5"/>
  <c r="F96" i="5"/>
  <c r="E96" i="5"/>
  <c r="D96" i="5"/>
  <c r="C31" i="5"/>
  <c r="J31" i="5"/>
  <c r="F31" i="5"/>
  <c r="E31" i="5"/>
  <c r="D31" i="5"/>
  <c r="A31" i="5"/>
  <c r="B31" i="5"/>
  <c r="E179" i="2"/>
  <c r="J179" i="2"/>
  <c r="F179" i="2"/>
  <c r="A179" i="2"/>
  <c r="D179" i="2"/>
  <c r="C179" i="2"/>
  <c r="B179" i="2"/>
  <c r="C11" i="5"/>
  <c r="F11" i="5"/>
  <c r="E11" i="5"/>
  <c r="J11" i="5"/>
  <c r="B11" i="5"/>
  <c r="A11" i="5"/>
  <c r="D11" i="5"/>
  <c r="B67" i="2"/>
  <c r="F67" i="2"/>
  <c r="E67" i="2"/>
  <c r="J67" i="2"/>
  <c r="D67" i="2"/>
  <c r="C67" i="2"/>
  <c r="A67" i="2"/>
  <c r="E184" i="2"/>
  <c r="F184" i="2"/>
  <c r="D184" i="2"/>
  <c r="B184" i="2"/>
  <c r="A184" i="2"/>
  <c r="J184" i="2"/>
  <c r="C184" i="2"/>
  <c r="D176" i="4"/>
  <c r="E176" i="4"/>
  <c r="A176" i="4"/>
  <c r="J176" i="4"/>
  <c r="B176" i="4"/>
  <c r="F176" i="4"/>
  <c r="C176" i="4"/>
  <c r="C39" i="5"/>
  <c r="J39" i="5"/>
  <c r="E39" i="5"/>
  <c r="D39" i="5"/>
  <c r="B39" i="5"/>
  <c r="F39" i="5"/>
  <c r="A39" i="5"/>
  <c r="D179" i="4"/>
  <c r="J179" i="4"/>
  <c r="A179" i="4"/>
  <c r="F179" i="4"/>
  <c r="B179" i="4"/>
  <c r="E179" i="4"/>
  <c r="C179" i="4"/>
  <c r="J128" i="5"/>
  <c r="F128" i="5"/>
  <c r="D128" i="5"/>
  <c r="B128" i="5"/>
  <c r="E128" i="5"/>
  <c r="C128" i="5"/>
  <c r="A128" i="5"/>
  <c r="B6" i="2"/>
  <c r="F6" i="2"/>
  <c r="E6" i="2"/>
  <c r="J6" i="2"/>
  <c r="C6" i="2"/>
  <c r="A6" i="2"/>
  <c r="D6" i="2"/>
  <c r="D39" i="3"/>
  <c r="C39" i="3"/>
  <c r="A39" i="3"/>
  <c r="F39" i="3"/>
  <c r="E39" i="3"/>
  <c r="B39" i="3"/>
  <c r="J39" i="3"/>
  <c r="B30" i="2"/>
  <c r="F30" i="2"/>
  <c r="E30" i="2"/>
  <c r="J30" i="2"/>
  <c r="A30" i="2"/>
  <c r="D30" i="2"/>
  <c r="C30" i="2"/>
  <c r="E170" i="3"/>
  <c r="F170" i="3"/>
  <c r="J170" i="3"/>
  <c r="D170" i="3"/>
  <c r="C170" i="3"/>
  <c r="B170" i="3"/>
  <c r="A170" i="3"/>
  <c r="J148" i="5"/>
  <c r="F148" i="5"/>
  <c r="D148" i="5"/>
  <c r="B148" i="5"/>
  <c r="A148" i="5"/>
  <c r="E148" i="5"/>
  <c r="C148" i="5"/>
  <c r="E164" i="3"/>
  <c r="J164" i="3"/>
  <c r="F164" i="3"/>
  <c r="D164" i="3"/>
  <c r="C164" i="3"/>
  <c r="B164" i="3"/>
  <c r="A164" i="3"/>
  <c r="A147" i="4"/>
  <c r="C147" i="4"/>
  <c r="B147" i="4"/>
  <c r="J147" i="4"/>
  <c r="F147" i="4"/>
  <c r="E147" i="4"/>
  <c r="D147" i="4"/>
  <c r="B61" i="2"/>
  <c r="F61" i="2"/>
  <c r="E61" i="2"/>
  <c r="D61" i="2"/>
  <c r="C61" i="2"/>
  <c r="A61" i="2"/>
  <c r="J61" i="2"/>
  <c r="D7" i="3"/>
  <c r="C7" i="3"/>
  <c r="A7" i="3"/>
  <c r="J7" i="3"/>
  <c r="F7" i="3"/>
  <c r="E7" i="3"/>
  <c r="B7" i="3"/>
  <c r="D165" i="4"/>
  <c r="A165" i="4"/>
  <c r="F165" i="4"/>
  <c r="E165" i="4"/>
  <c r="C165" i="4"/>
  <c r="B165" i="4"/>
  <c r="J165" i="4"/>
  <c r="C32" i="5"/>
  <c r="J32" i="5"/>
  <c r="F32" i="5"/>
  <c r="D32" i="5"/>
  <c r="B32" i="5"/>
  <c r="A32" i="5"/>
  <c r="E32" i="5"/>
  <c r="A108" i="4"/>
  <c r="D108" i="4"/>
  <c r="F108" i="4"/>
  <c r="E108" i="4"/>
  <c r="C108" i="4"/>
  <c r="J108" i="4"/>
  <c r="B108" i="4"/>
  <c r="J113" i="5"/>
  <c r="F113" i="5"/>
  <c r="D113" i="5"/>
  <c r="B113" i="5"/>
  <c r="E113" i="5"/>
  <c r="A113" i="5"/>
  <c r="C113" i="5"/>
  <c r="D83" i="3"/>
  <c r="J83" i="3"/>
  <c r="F83" i="3"/>
  <c r="B83" i="3"/>
  <c r="A83" i="3"/>
  <c r="E83" i="3"/>
  <c r="C83" i="3"/>
  <c r="D63" i="3"/>
  <c r="C63" i="3"/>
  <c r="A63" i="3"/>
  <c r="E63" i="3"/>
  <c r="B63" i="3"/>
  <c r="J63" i="3"/>
  <c r="F63" i="3"/>
  <c r="D25" i="3"/>
  <c r="F25" i="3"/>
  <c r="C25" i="3"/>
  <c r="A25" i="3"/>
  <c r="J25" i="3"/>
  <c r="E25" i="3"/>
  <c r="B25" i="3"/>
  <c r="J145" i="5"/>
  <c r="F145" i="5"/>
  <c r="D145" i="5"/>
  <c r="B145" i="5"/>
  <c r="A145" i="5"/>
  <c r="E145" i="5"/>
  <c r="C145" i="5"/>
  <c r="D80" i="3"/>
  <c r="E80" i="3"/>
  <c r="C80" i="3"/>
  <c r="B80" i="3"/>
  <c r="J80" i="3"/>
  <c r="F80" i="3"/>
  <c r="A80" i="3"/>
  <c r="A130" i="4"/>
  <c r="B130" i="4"/>
  <c r="J130" i="4"/>
  <c r="F130" i="4"/>
  <c r="E130" i="4"/>
  <c r="D130" i="4"/>
  <c r="C130" i="4"/>
  <c r="B25" i="2"/>
  <c r="F25" i="2"/>
  <c r="E25" i="2"/>
  <c r="J25" i="2"/>
  <c r="C25" i="2"/>
  <c r="A25" i="2"/>
  <c r="D25" i="2"/>
  <c r="D144" i="3"/>
  <c r="E144" i="3"/>
  <c r="C144" i="3"/>
  <c r="B144" i="3"/>
  <c r="A144" i="3"/>
  <c r="J144" i="3"/>
  <c r="F144" i="3"/>
  <c r="B85" i="4"/>
  <c r="C85" i="4"/>
  <c r="A85" i="4"/>
  <c r="J85" i="4"/>
  <c r="F85" i="4"/>
  <c r="E85" i="4"/>
  <c r="D85" i="4"/>
  <c r="D170" i="4"/>
  <c r="J170" i="4"/>
  <c r="F170" i="4"/>
  <c r="E170" i="4"/>
  <c r="C170" i="4"/>
  <c r="B170" i="4"/>
  <c r="A170" i="4"/>
  <c r="B25" i="4"/>
  <c r="J25" i="4"/>
  <c r="E25" i="4"/>
  <c r="D25" i="4"/>
  <c r="C25" i="4"/>
  <c r="A25" i="4"/>
  <c r="F25" i="4"/>
  <c r="E174" i="3"/>
  <c r="B174" i="3"/>
  <c r="A174" i="3"/>
  <c r="J174" i="3"/>
  <c r="F174" i="3"/>
  <c r="D174" i="3"/>
  <c r="C174" i="3"/>
  <c r="D100" i="3"/>
  <c r="J100" i="3"/>
  <c r="C100" i="3"/>
  <c r="F100" i="3"/>
  <c r="E100" i="3"/>
  <c r="B100" i="3"/>
  <c r="A100" i="3"/>
  <c r="D149" i="3"/>
  <c r="A149" i="3"/>
  <c r="J149" i="3"/>
  <c r="F149" i="3"/>
  <c r="E149" i="3"/>
  <c r="C149" i="3"/>
  <c r="B149" i="3"/>
  <c r="C71" i="5"/>
  <c r="J71" i="5"/>
  <c r="A71" i="5"/>
  <c r="F71" i="5"/>
  <c r="E71" i="5"/>
  <c r="B71" i="5"/>
  <c r="D71" i="5"/>
  <c r="D9" i="4"/>
  <c r="E9" i="4"/>
  <c r="B9" i="4"/>
  <c r="A9" i="4"/>
  <c r="J9" i="4"/>
  <c r="F9" i="4"/>
  <c r="C9" i="4"/>
  <c r="E129" i="2"/>
  <c r="F129" i="2"/>
  <c r="J129" i="2"/>
  <c r="D129" i="2"/>
  <c r="C129" i="2"/>
  <c r="B129" i="2"/>
  <c r="A129" i="2"/>
  <c r="D32" i="3"/>
  <c r="E32" i="3"/>
  <c r="B32" i="3"/>
  <c r="J32" i="3"/>
  <c r="C32" i="3"/>
  <c r="A32" i="3"/>
  <c r="F32" i="3"/>
  <c r="B16" i="2"/>
  <c r="F16" i="2"/>
  <c r="E16" i="2"/>
  <c r="D16" i="2"/>
  <c r="C16" i="2"/>
  <c r="A16" i="2"/>
  <c r="J16" i="2"/>
  <c r="B8" i="2"/>
  <c r="F8" i="2"/>
  <c r="E8" i="2"/>
  <c r="D8" i="2"/>
  <c r="C8" i="2"/>
  <c r="J8" i="2"/>
  <c r="A8" i="2"/>
  <c r="D6" i="4"/>
  <c r="E6" i="4"/>
  <c r="F6" i="4"/>
  <c r="C6" i="4"/>
  <c r="B6" i="4"/>
  <c r="J6" i="4"/>
  <c r="A6" i="4"/>
  <c r="E190" i="3"/>
  <c r="F190" i="3"/>
  <c r="D190" i="3"/>
  <c r="C190" i="3"/>
  <c r="J190" i="3"/>
  <c r="B190" i="3"/>
  <c r="A190" i="3"/>
  <c r="J166" i="5"/>
  <c r="F166" i="5"/>
  <c r="D166" i="5"/>
  <c r="B166" i="5"/>
  <c r="A166" i="5"/>
  <c r="E166" i="5"/>
  <c r="C166" i="5"/>
  <c r="D97" i="3"/>
  <c r="F97" i="3"/>
  <c r="E97" i="3"/>
  <c r="C97" i="3"/>
  <c r="J97" i="3"/>
  <c r="B97" i="3"/>
  <c r="A97" i="3"/>
  <c r="B75" i="4"/>
  <c r="E75" i="4"/>
  <c r="J75" i="4"/>
  <c r="D75" i="4"/>
  <c r="C75" i="4"/>
  <c r="A75" i="4"/>
  <c r="F75" i="4"/>
  <c r="C46" i="5"/>
  <c r="J46" i="5"/>
  <c r="B46" i="5"/>
  <c r="A46" i="5"/>
  <c r="F46" i="5"/>
  <c r="E46" i="5"/>
  <c r="D46" i="5"/>
  <c r="D173" i="4"/>
  <c r="A173" i="4"/>
  <c r="E173" i="4"/>
  <c r="C173" i="4"/>
  <c r="B173" i="4"/>
  <c r="F173" i="4"/>
  <c r="J173" i="4"/>
  <c r="C20" i="5"/>
  <c r="J20" i="5"/>
  <c r="F20" i="5"/>
  <c r="A20" i="5"/>
  <c r="D20" i="5"/>
  <c r="B20" i="5"/>
  <c r="E20" i="5"/>
  <c r="B41" i="4"/>
  <c r="J41" i="4"/>
  <c r="F41" i="4"/>
  <c r="E41" i="4"/>
  <c r="D41" i="4"/>
  <c r="C41" i="4"/>
  <c r="A41" i="4"/>
  <c r="E105" i="2"/>
  <c r="A105" i="2"/>
  <c r="F105" i="2"/>
  <c r="D105" i="2"/>
  <c r="C105" i="2"/>
  <c r="B105" i="2"/>
  <c r="J105" i="2"/>
  <c r="D48" i="3"/>
  <c r="E48" i="3"/>
  <c r="B48" i="3"/>
  <c r="J48" i="3"/>
  <c r="F48" i="3"/>
  <c r="C48" i="3"/>
  <c r="A48" i="3"/>
  <c r="J164" i="5"/>
  <c r="F164" i="5"/>
  <c r="D164" i="5"/>
  <c r="B164" i="5"/>
  <c r="A164" i="5"/>
  <c r="E164" i="5"/>
  <c r="C164" i="5"/>
  <c r="E169" i="2"/>
  <c r="F169" i="2"/>
  <c r="C169" i="2"/>
  <c r="J169" i="2"/>
  <c r="D169" i="2"/>
  <c r="B169" i="2"/>
  <c r="A169" i="2"/>
  <c r="E100" i="2"/>
  <c r="C100" i="2"/>
  <c r="J100" i="2"/>
  <c r="B100" i="2"/>
  <c r="A100" i="2"/>
  <c r="F100" i="2"/>
  <c r="D100" i="2"/>
  <c r="B49" i="4"/>
  <c r="C49" i="4"/>
  <c r="A49" i="4"/>
  <c r="J49" i="4"/>
  <c r="F49" i="4"/>
  <c r="E49" i="4"/>
  <c r="D49" i="4"/>
  <c r="B73" i="2"/>
  <c r="F73" i="2"/>
  <c r="E73" i="2"/>
  <c r="J73" i="2"/>
  <c r="D73" i="2"/>
  <c r="C73" i="2"/>
  <c r="A73" i="2"/>
  <c r="E175" i="2"/>
  <c r="D175" i="2"/>
  <c r="C175" i="2"/>
  <c r="A175" i="2"/>
  <c r="B175" i="2"/>
  <c r="J175" i="2"/>
  <c r="F175" i="2"/>
  <c r="E104" i="2"/>
  <c r="J104" i="2"/>
  <c r="D104" i="2"/>
  <c r="C104" i="2"/>
  <c r="B104" i="2"/>
  <c r="F104" i="2"/>
  <c r="A104" i="2"/>
  <c r="D188" i="4"/>
  <c r="A188" i="4"/>
  <c r="J188" i="4"/>
  <c r="C188" i="4"/>
  <c r="B188" i="4"/>
  <c r="F188" i="4"/>
  <c r="E188" i="4"/>
  <c r="E109" i="2"/>
  <c r="F109" i="2"/>
  <c r="D109" i="2"/>
  <c r="A109" i="2"/>
  <c r="J109" i="2"/>
  <c r="C109" i="2"/>
  <c r="B109" i="2"/>
  <c r="E94" i="2"/>
  <c r="F94" i="2"/>
  <c r="B94" i="2"/>
  <c r="A94" i="2"/>
  <c r="J94" i="2"/>
  <c r="D94" i="2"/>
  <c r="C94" i="2"/>
  <c r="J149" i="5"/>
  <c r="F149" i="5"/>
  <c r="D149" i="5"/>
  <c r="B149" i="5"/>
  <c r="A149" i="5"/>
  <c r="E149" i="5"/>
  <c r="C149" i="5"/>
  <c r="B20" i="2"/>
  <c r="F20" i="2"/>
  <c r="E20" i="2"/>
  <c r="D20" i="2"/>
  <c r="C20" i="2"/>
  <c r="A20" i="2"/>
  <c r="J20" i="2"/>
  <c r="D5" i="4"/>
  <c r="E5" i="4"/>
  <c r="B5" i="4"/>
  <c r="A5" i="4"/>
  <c r="J5" i="4"/>
  <c r="F5" i="4"/>
  <c r="C5" i="4"/>
  <c r="B44" i="2"/>
  <c r="F44" i="2"/>
  <c r="E44" i="2"/>
  <c r="J44" i="2"/>
  <c r="D44" i="2"/>
  <c r="C44" i="2"/>
  <c r="A44" i="2"/>
  <c r="E147" i="2"/>
  <c r="J147" i="2"/>
  <c r="F147" i="2"/>
  <c r="D147" i="2"/>
  <c r="C147" i="2"/>
  <c r="B147" i="2"/>
  <c r="A147" i="2"/>
  <c r="J108" i="5"/>
  <c r="F108" i="5"/>
  <c r="D108" i="5"/>
  <c r="B108" i="5"/>
  <c r="E108" i="5"/>
  <c r="A108" i="5"/>
  <c r="C108" i="5"/>
  <c r="E92" i="2"/>
  <c r="C92" i="2"/>
  <c r="J92" i="2"/>
  <c r="F92" i="2"/>
  <c r="D92" i="2"/>
  <c r="B92" i="2"/>
  <c r="A92" i="2"/>
  <c r="D42" i="3"/>
  <c r="E42" i="3"/>
  <c r="A42" i="3"/>
  <c r="J42" i="3"/>
  <c r="F42" i="3"/>
  <c r="C42" i="3"/>
  <c r="B42" i="3"/>
  <c r="E178" i="2"/>
  <c r="J178" i="2"/>
  <c r="D178" i="2"/>
  <c r="F178" i="2"/>
  <c r="C178" i="2"/>
  <c r="B178" i="2"/>
  <c r="A178" i="2"/>
  <c r="E146" i="2"/>
  <c r="J146" i="2"/>
  <c r="F146" i="2"/>
  <c r="D146" i="2"/>
  <c r="C146" i="2"/>
  <c r="B146" i="2"/>
  <c r="A146" i="2"/>
  <c r="E165" i="3"/>
  <c r="A165" i="3"/>
  <c r="J165" i="3"/>
  <c r="F165" i="3"/>
  <c r="D165" i="3"/>
  <c r="C165" i="3"/>
  <c r="B165" i="3"/>
  <c r="B81" i="2"/>
  <c r="F81" i="2"/>
  <c r="E81" i="2"/>
  <c r="J81" i="2"/>
  <c r="D81" i="2"/>
  <c r="C81" i="2"/>
  <c r="A81" i="2"/>
  <c r="C18" i="5"/>
  <c r="F18" i="5"/>
  <c r="E18" i="5"/>
  <c r="D18" i="5"/>
  <c r="J18" i="5"/>
  <c r="B18" i="5"/>
  <c r="A18" i="5"/>
  <c r="B48" i="2"/>
  <c r="F48" i="2"/>
  <c r="E48" i="2"/>
  <c r="D48" i="2"/>
  <c r="C48" i="2"/>
  <c r="A48" i="2"/>
  <c r="J48" i="2"/>
  <c r="E185" i="2"/>
  <c r="J185" i="2"/>
  <c r="F185" i="2"/>
  <c r="C185" i="2"/>
  <c r="B185" i="2"/>
  <c r="A185" i="2"/>
  <c r="D185" i="2"/>
  <c r="D126" i="3"/>
  <c r="B126" i="3"/>
  <c r="A126" i="3"/>
  <c r="J126" i="3"/>
  <c r="F126" i="3"/>
  <c r="C126" i="3"/>
  <c r="E126" i="3"/>
  <c r="E197" i="2"/>
  <c r="B197" i="2"/>
  <c r="F197" i="2"/>
  <c r="C197" i="2"/>
  <c r="A197" i="2"/>
  <c r="D197" i="2"/>
  <c r="J197" i="2"/>
  <c r="D8" i="3"/>
  <c r="E8" i="3"/>
  <c r="B8" i="3"/>
  <c r="J8" i="3"/>
  <c r="F8" i="3"/>
  <c r="C8" i="3"/>
  <c r="A8" i="3"/>
  <c r="E144" i="2"/>
  <c r="D144" i="2"/>
  <c r="B144" i="2"/>
  <c r="A144" i="2"/>
  <c r="J144" i="2"/>
  <c r="F144" i="2"/>
  <c r="C144" i="2"/>
  <c r="A97" i="4"/>
  <c r="J97" i="4"/>
  <c r="E97" i="4"/>
  <c r="D97" i="4"/>
  <c r="B97" i="4"/>
  <c r="F97" i="4"/>
  <c r="C97" i="4"/>
  <c r="C93" i="5"/>
  <c r="F93" i="5"/>
  <c r="E93" i="5"/>
  <c r="J93" i="5"/>
  <c r="D93" i="5"/>
  <c r="B93" i="5"/>
  <c r="A93" i="5"/>
  <c r="E122" i="2"/>
  <c r="A122" i="2"/>
  <c r="J122" i="2"/>
  <c r="F122" i="2"/>
  <c r="D122" i="2"/>
  <c r="C122" i="2"/>
  <c r="B122" i="2"/>
  <c r="A149" i="4"/>
  <c r="E149" i="4"/>
  <c r="D149" i="4"/>
  <c r="F149" i="4"/>
  <c r="C149" i="4"/>
  <c r="B149" i="4"/>
  <c r="J149" i="4"/>
  <c r="J165" i="5"/>
  <c r="F165" i="5"/>
  <c r="D165" i="5"/>
  <c r="B165" i="5"/>
  <c r="A165" i="5"/>
  <c r="C165" i="5"/>
  <c r="E165" i="5"/>
  <c r="A101" i="4"/>
  <c r="E101" i="4"/>
  <c r="J101" i="4"/>
  <c r="D101" i="4"/>
  <c r="C101" i="4"/>
  <c r="F101" i="4"/>
  <c r="B101" i="4"/>
  <c r="J152" i="5"/>
  <c r="F152" i="5"/>
  <c r="D152" i="5"/>
  <c r="B152" i="5"/>
  <c r="A152" i="5"/>
  <c r="E152" i="5"/>
  <c r="C152" i="5"/>
  <c r="B53" i="4"/>
  <c r="C53" i="4"/>
  <c r="E53" i="4"/>
  <c r="D53" i="4"/>
  <c r="J53" i="4"/>
  <c r="F53" i="4"/>
  <c r="A53" i="4"/>
  <c r="D14" i="4"/>
  <c r="E14" i="4"/>
  <c r="F14" i="4"/>
  <c r="C14" i="4"/>
  <c r="B14" i="4"/>
  <c r="A14" i="4"/>
  <c r="J14" i="4"/>
  <c r="B76" i="2"/>
  <c r="F76" i="2"/>
  <c r="E76" i="2"/>
  <c r="J76" i="2"/>
  <c r="D76" i="2"/>
  <c r="C76" i="2"/>
  <c r="A76" i="2"/>
  <c r="E164" i="2"/>
  <c r="J164" i="2"/>
  <c r="F164" i="2"/>
  <c r="D164" i="2"/>
  <c r="C164" i="2"/>
  <c r="B164" i="2"/>
  <c r="A164" i="2"/>
  <c r="D181" i="4"/>
  <c r="B181" i="4"/>
  <c r="A181" i="4"/>
  <c r="J181" i="4"/>
  <c r="F181" i="4"/>
  <c r="E181" i="4"/>
  <c r="C181" i="4"/>
  <c r="B27" i="2"/>
  <c r="F27" i="2"/>
  <c r="E27" i="2"/>
  <c r="J27" i="2"/>
  <c r="D27" i="2"/>
  <c r="C27" i="2"/>
  <c r="A27" i="2"/>
  <c r="D67" i="3"/>
  <c r="J67" i="3"/>
  <c r="F67" i="3"/>
  <c r="B67" i="3"/>
  <c r="A67" i="3"/>
  <c r="E67" i="3"/>
  <c r="C67" i="3"/>
  <c r="C74" i="5"/>
  <c r="D74" i="5"/>
  <c r="B74" i="5"/>
  <c r="A74" i="5"/>
  <c r="E74" i="5"/>
  <c r="F74" i="5"/>
  <c r="J74" i="5"/>
  <c r="B32" i="2"/>
  <c r="F32" i="2"/>
  <c r="E32" i="2"/>
  <c r="D32" i="2"/>
  <c r="C32" i="2"/>
  <c r="J32" i="2"/>
  <c r="A32" i="2"/>
  <c r="C28" i="5"/>
  <c r="E28" i="5"/>
  <c r="J28" i="5"/>
  <c r="B28" i="5"/>
  <c r="A28" i="5"/>
  <c r="F28" i="5"/>
  <c r="D28" i="5"/>
  <c r="B33" i="4"/>
  <c r="J33" i="4"/>
  <c r="C33" i="4"/>
  <c r="A33" i="4"/>
  <c r="E33" i="4"/>
  <c r="D33" i="4"/>
  <c r="F33" i="4"/>
  <c r="C12" i="5"/>
  <c r="J12" i="5"/>
  <c r="F12" i="5"/>
  <c r="A12" i="5"/>
  <c r="E12" i="5"/>
  <c r="D12" i="5"/>
  <c r="B12" i="5"/>
  <c r="E139" i="2"/>
  <c r="J139" i="2"/>
  <c r="A139" i="2"/>
  <c r="F139" i="2"/>
  <c r="D139" i="2"/>
  <c r="C139" i="2"/>
  <c r="B139" i="2"/>
  <c r="C89" i="5"/>
  <c r="B89" i="5"/>
  <c r="A89" i="5"/>
  <c r="D89" i="5"/>
  <c r="J89" i="5"/>
  <c r="F89" i="5"/>
  <c r="E89" i="5"/>
  <c r="D56" i="3"/>
  <c r="E56" i="3"/>
  <c r="B56" i="3"/>
  <c r="J56" i="3"/>
  <c r="A56" i="3"/>
  <c r="F56" i="3"/>
  <c r="C56" i="3"/>
  <c r="A163" i="4"/>
  <c r="C163" i="4"/>
  <c r="B163" i="4"/>
  <c r="J163" i="4"/>
  <c r="D163" i="4"/>
  <c r="F163" i="4"/>
  <c r="E163" i="4"/>
  <c r="C9" i="5"/>
  <c r="E9" i="5"/>
  <c r="D9" i="5"/>
  <c r="B9" i="5"/>
  <c r="F9" i="5"/>
  <c r="J9" i="5"/>
  <c r="A9" i="5"/>
  <c r="J122" i="5"/>
  <c r="F122" i="5"/>
  <c r="D122" i="5"/>
  <c r="B122" i="5"/>
  <c r="E122" i="5"/>
  <c r="A122" i="5"/>
  <c r="C122" i="5"/>
</calcChain>
</file>

<file path=xl/sharedStrings.xml><?xml version="1.0" encoding="utf-8"?>
<sst xmlns="http://schemas.openxmlformats.org/spreadsheetml/2006/main" count="4028" uniqueCount="883">
  <si>
    <t>مطعم بينو — سجل المنتجات والإدخال الذكي (تكويد تلقائي + ترجمة)</t>
  </si>
  <si>
    <t>اكتب الاسم (عربي) واختر النوع؛ الإنجليزي يظهر تلقائيًا من قاموس الترجمة، والكود تلقائي. النهائي حالته «جاهز للبيع».</t>
  </si>
  <si>
    <t>م</t>
  </si>
  <si>
    <t>اسم المنتج (عربي)</t>
  </si>
  <si>
    <t>اسم المنتج (English)</t>
  </si>
  <si>
    <t>نوع المنتج</t>
  </si>
  <si>
    <t>حالة المنتج</t>
  </si>
  <si>
    <t>الكود (تلقائي)</t>
  </si>
  <si>
    <t>وحدة القياس</t>
  </si>
  <si>
    <t>السعرات الحرارية</t>
  </si>
  <si>
    <t>حجم الحصة (جم)</t>
  </si>
  <si>
    <t>سعرات / جرام</t>
  </si>
  <si>
    <t>مواد خام</t>
  </si>
  <si>
    <t>وحدة</t>
  </si>
  <si>
    <t>استهلاكي</t>
  </si>
  <si>
    <t>كيلو</t>
  </si>
  <si>
    <t>منتج نهائي</t>
  </si>
  <si>
    <t>▼ السجل الكامل (434) — عدّل أي صنف؛ يأخذ كودًا جديدًا عند تغيير تصنيفه دون المساس بباقي الأكواد ▼</t>
  </si>
  <si>
    <t>اسم المنتج EN</t>
  </si>
  <si>
    <t>الكود</t>
  </si>
  <si>
    <t>احتفال اعياد ميلاد</t>
  </si>
  <si>
    <t>Birthday Celebration</t>
  </si>
  <si>
    <t>RAW</t>
  </si>
  <si>
    <t>CNS</t>
  </si>
  <si>
    <t>ارانشيني  ترافل  rozetto balls</t>
  </si>
  <si>
    <t>Truffle Rozetto Balls Arancini</t>
  </si>
  <si>
    <t>جاهز للبيع</t>
  </si>
  <si>
    <t>FIN</t>
  </si>
  <si>
    <t>RTS</t>
  </si>
  <si>
    <t>ارانشيني  عادي  rozetto balls</t>
  </si>
  <si>
    <t>Rozetto Balls Arancini</t>
  </si>
  <si>
    <t>ارانشيني rozetto balls</t>
  </si>
  <si>
    <t>اضافات جبنة</t>
  </si>
  <si>
    <t>Cheese Add-on</t>
  </si>
  <si>
    <t>الشوربة الايطالية</t>
  </si>
  <si>
    <t>Italian Soup</t>
  </si>
  <si>
    <t>الشوربة السعودية</t>
  </si>
  <si>
    <t>Saudi Soup</t>
  </si>
  <si>
    <t>الفريدو باستا خالي من الجلوتين</t>
  </si>
  <si>
    <t>Alfredo Pasta Gluten-Free</t>
  </si>
  <si>
    <t>القسائم الشرائية والباقات</t>
  </si>
  <si>
    <t>Vouchers &amp; Packages</t>
  </si>
  <si>
    <t>باركا الحلوم</t>
  </si>
  <si>
    <t>Borek Halloumi</t>
  </si>
  <si>
    <t>باركا المسخن</t>
  </si>
  <si>
    <t>Borek Musakhan</t>
  </si>
  <si>
    <t>باركا حلوم</t>
  </si>
  <si>
    <t>باركا دجاج</t>
  </si>
  <si>
    <t>Borek Chicken</t>
  </si>
  <si>
    <t>باركا مسخن</t>
  </si>
  <si>
    <t>باستا الفريدو</t>
  </si>
  <si>
    <t>Alfredo Pasta</t>
  </si>
  <si>
    <t>باستا بيستو</t>
  </si>
  <si>
    <t>Pesto Pasta</t>
  </si>
  <si>
    <t>باستا بيستو خالي من الجلوتين</t>
  </si>
  <si>
    <t>Pesto Gluten-Free Pasta</t>
  </si>
  <si>
    <t>باستا بيني روزيه</t>
  </si>
  <si>
    <t>Penne Rose Pasta</t>
  </si>
  <si>
    <t>باستا تاغلتيلي</t>
  </si>
  <si>
    <t>Tagliatelle Pasta</t>
  </si>
  <si>
    <t>باستا ترافل خالي من الجلوتين</t>
  </si>
  <si>
    <t>Truffle Gluten-Free Pasta</t>
  </si>
  <si>
    <t>باستا روزيه خالي من الجلوتين</t>
  </si>
  <si>
    <t>Rose Gluten-Free Pasta</t>
  </si>
  <si>
    <t>باستا ريجاتوني</t>
  </si>
  <si>
    <t>Rigatoni Pasta</t>
  </si>
  <si>
    <t>باستا ريجاتوني بوراتا</t>
  </si>
  <si>
    <t>Rigatoni Burrata Pasta</t>
  </si>
  <si>
    <t>باستا ريزوتو ترافل</t>
  </si>
  <si>
    <t>Risotto Truffle Pasta</t>
  </si>
  <si>
    <t>باستا ريزوتو زعفران</t>
  </si>
  <si>
    <t>Risotto Saffron Pasta</t>
  </si>
  <si>
    <t>باستا ريزوتو زعفران بالجمبري</t>
  </si>
  <si>
    <t>Risotto Saffron Shrimp Pasta</t>
  </si>
  <si>
    <t>باستا سباجيتي بومودورو</t>
  </si>
  <si>
    <t>Spaghetti Pomodoro Pasta</t>
  </si>
  <si>
    <t>باشن فروت مع بيرة وسبرايت</t>
  </si>
  <si>
    <t>Passion Fruit Beer</t>
  </si>
  <si>
    <t>باشن فروت مع صودا</t>
  </si>
  <si>
    <t>Passion Fruit Soda</t>
  </si>
  <si>
    <t>بانودزو الجبن</t>
  </si>
  <si>
    <t>Panuozzo Cheese</t>
  </si>
  <si>
    <t>بانودزو الدجاج</t>
  </si>
  <si>
    <t>Panuozzo Chicken</t>
  </si>
  <si>
    <t>بانودزو اللحم</t>
  </si>
  <si>
    <t>Panuozzo Meat</t>
  </si>
  <si>
    <t>بطاطس بينو  pino fries</t>
  </si>
  <si>
    <t>Pino Fries</t>
  </si>
  <si>
    <t>بطاطس ترافل مكعبات</t>
  </si>
  <si>
    <t>Truffle Fries</t>
  </si>
  <si>
    <t>بطاطس حلوة sweet potato</t>
  </si>
  <si>
    <t>Sweet Potato Fries</t>
  </si>
  <si>
    <t>بطاطس عادي</t>
  </si>
  <si>
    <t>Regular Fries</t>
  </si>
  <si>
    <t>بلو بيري مع بيرة وسبرايت</t>
  </si>
  <si>
    <t>Blueberry Beer</t>
  </si>
  <si>
    <t>بلو بيري مع صودا</t>
  </si>
  <si>
    <t>Blueberry Soda</t>
  </si>
  <si>
    <t>بيتزا البريسكت</t>
  </si>
  <si>
    <t>Brisket Pizza</t>
  </si>
  <si>
    <t>بيتزا الدجاج المشوي</t>
  </si>
  <si>
    <t>Grilled Chicken Pizza</t>
  </si>
  <si>
    <t>بيتزا الدجاج المشوي مع الليمون</t>
  </si>
  <si>
    <t>Grilled Chicken &amp; Lemon Pizza</t>
  </si>
  <si>
    <t>بيتزا الروكا</t>
  </si>
  <si>
    <t>Arugula Pizza</t>
  </si>
  <si>
    <t>بيتزا بوراتا</t>
  </si>
  <si>
    <t>Burrata Pizza</t>
  </si>
  <si>
    <t>بيتزا بيبيروني</t>
  </si>
  <si>
    <t>Pepperoni Pizza</t>
  </si>
  <si>
    <t>بيتزا بيستو</t>
  </si>
  <si>
    <t>Pesto Pizza</t>
  </si>
  <si>
    <t>بيتزا ترافل</t>
  </si>
  <si>
    <t>Truffle Pizza</t>
  </si>
  <si>
    <t>بيتزا جبن الماعز</t>
  </si>
  <si>
    <t>Goat Cheese Pizza</t>
  </si>
  <si>
    <t>بيتزا سترتشلا</t>
  </si>
  <si>
    <t>Stracciatella Pizza</t>
  </si>
  <si>
    <t>بيتزا كالزوني</t>
  </si>
  <si>
    <t>Calzone Pizza</t>
  </si>
  <si>
    <t>بيتزا مارجريتا</t>
  </si>
  <si>
    <t>Margherita Pizza</t>
  </si>
  <si>
    <t>بيتزا مارجريتا كلاسيك</t>
  </si>
  <si>
    <t>Classic Margherita Pizza</t>
  </si>
  <si>
    <t>بيتزا من الجنوب</t>
  </si>
  <si>
    <t>Southern Pizza</t>
  </si>
  <si>
    <t>بيتزا من الشرق</t>
  </si>
  <si>
    <t>Eastern Pizza</t>
  </si>
  <si>
    <t>بيتزا من الشمال</t>
  </si>
  <si>
    <t>Northern Pizza</t>
  </si>
  <si>
    <t>بيتزا من الغرب</t>
  </si>
  <si>
    <t>Western Pizza</t>
  </si>
  <si>
    <t>بيرة زجاج</t>
  </si>
  <si>
    <t>Bottled Beer</t>
  </si>
  <si>
    <t>بيستو الريحان</t>
  </si>
  <si>
    <t>Basil Pesto</t>
  </si>
  <si>
    <t>مواد تحويلية</t>
  </si>
  <si>
    <t>تخزين مبرد</t>
  </si>
  <si>
    <t>TRN</t>
  </si>
  <si>
    <t>CHL</t>
  </si>
  <si>
    <t>بيستو الطماطم المجففة</t>
  </si>
  <si>
    <t>Tomato Pesto</t>
  </si>
  <si>
    <t>بيقل</t>
  </si>
  <si>
    <t>Bagel</t>
  </si>
  <si>
    <t>بينو بيستو</t>
  </si>
  <si>
    <t>Pino Pesto</t>
  </si>
  <si>
    <t>بيني اربياتا باستا</t>
  </si>
  <si>
    <t>Arrabbiata Pasta Penne</t>
  </si>
  <si>
    <t>تمر الافطار</t>
  </si>
  <si>
    <t>Iftar Dates</t>
  </si>
  <si>
    <t>توصيل طلبيات</t>
  </si>
  <si>
    <t>Order Delivery</t>
  </si>
  <si>
    <t>توصيل عجين فطائر</t>
  </si>
  <si>
    <t>Pastry Dough Delivery</t>
  </si>
  <si>
    <t>تيراميسو بينو سفري</t>
  </si>
  <si>
    <t>Tiramisu Pino Takeaway</t>
  </si>
  <si>
    <t>تيراميسو محلي</t>
  </si>
  <si>
    <t>Tiramisu Local</t>
  </si>
  <si>
    <t>تين</t>
  </si>
  <si>
    <t>Fig</t>
  </si>
  <si>
    <t>خبز الشباتا</t>
  </si>
  <si>
    <t>Ciabatta Bread</t>
  </si>
  <si>
    <t>خليط الكينوا</t>
  </si>
  <si>
    <t>Quinoa Mix</t>
  </si>
  <si>
    <t>ريجاتوني باستا خالي من الجلوتين</t>
  </si>
  <si>
    <t>Pasta Gluten-Free Rigatoni</t>
  </si>
  <si>
    <t>ريجاتوني ترافل</t>
  </si>
  <si>
    <t>Truffle Rigatoni</t>
  </si>
  <si>
    <t>ريجاتوني روزيه باستا</t>
  </si>
  <si>
    <t>Rose Pasta Rigatoni</t>
  </si>
  <si>
    <t>ساوردو الحبة الكاملة</t>
  </si>
  <si>
    <t>Whole Sourdough</t>
  </si>
  <si>
    <t>ساوردو الزيتون مع الجبنة</t>
  </si>
  <si>
    <t>Olive Cheese Sourdough</t>
  </si>
  <si>
    <t>ساوردو الطماطم المجففة</t>
  </si>
  <si>
    <t>Tomato Sourdough</t>
  </si>
  <si>
    <t>ساوردو الفلفل الحار</t>
  </si>
  <si>
    <t>Pepper Spicy Sourdough</t>
  </si>
  <si>
    <t>ساوردو حبوب</t>
  </si>
  <si>
    <t>Grains Sourdough</t>
  </si>
  <si>
    <t>ساوردو سادة</t>
  </si>
  <si>
    <t>Sourdough</t>
  </si>
  <si>
    <t>ساوردو طماطم مجففة</t>
  </si>
  <si>
    <t>Sun-Dried Tomato Sourdough</t>
  </si>
  <si>
    <t>ساوردو كلاسيك</t>
  </si>
  <si>
    <t>Classic Sourdough</t>
  </si>
  <si>
    <t>سباجيتي المحار بالزيت والثوم</t>
  </si>
  <si>
    <t>Clam Spaghetti With Oil &amp; Garlic</t>
  </si>
  <si>
    <t>سباجيتي بولونيز</t>
  </si>
  <si>
    <t>Bolognese Spaghetti</t>
  </si>
  <si>
    <t>سباجيتي بومودورو خالي من الجلوتين</t>
  </si>
  <si>
    <t>Pomodoro Gluten-Free Spaghetti</t>
  </si>
  <si>
    <t>سباجيتي روزيه</t>
  </si>
  <si>
    <t>Rose Spaghetti</t>
  </si>
  <si>
    <t>سبرايت</t>
  </si>
  <si>
    <t>Sprite</t>
  </si>
  <si>
    <t>سلة مخبوزات العيد</t>
  </si>
  <si>
    <t>Eid Bakery Basket</t>
  </si>
  <si>
    <t>سلطة البوراتا</t>
  </si>
  <si>
    <t>Burrata Salad</t>
  </si>
  <si>
    <t>سلطة الكينوا</t>
  </si>
  <si>
    <t>Quinoa Salad</t>
  </si>
  <si>
    <t>سلطة بينو مع دجاج</t>
  </si>
  <si>
    <t>Pino Chicken Salad</t>
  </si>
  <si>
    <t>سمبوسة عرض 3 اشخاص</t>
  </si>
  <si>
    <t>Samosa</t>
  </si>
  <si>
    <t>سمبوسة عرض شخص واحد</t>
  </si>
  <si>
    <t>سمبوسة عرض شخصين</t>
  </si>
  <si>
    <t>عجين بيتزا</t>
  </si>
  <si>
    <t>Pizza Dough</t>
  </si>
  <si>
    <t>عصير برتقال</t>
  </si>
  <si>
    <t>Orange Juice</t>
  </si>
  <si>
    <t>عصير رمان</t>
  </si>
  <si>
    <t>Pomegranate Juice</t>
  </si>
  <si>
    <t>عصير ليمون</t>
  </si>
  <si>
    <t>Lemon Juice</t>
  </si>
  <si>
    <t>كاس ثلج</t>
  </si>
  <si>
    <t>Cup Of Ice</t>
  </si>
  <si>
    <t>تخزين مجمد</t>
  </si>
  <si>
    <t>FRZ</t>
  </si>
  <si>
    <t>كرات الباستا pasta ball</t>
  </si>
  <si>
    <t>Pasta Balls Ball</t>
  </si>
  <si>
    <t>كرفس</t>
  </si>
  <si>
    <t>Celery</t>
  </si>
  <si>
    <t>كريم بروليه</t>
  </si>
  <si>
    <t>Creme Brulee</t>
  </si>
  <si>
    <t>كريمة التيراميسو</t>
  </si>
  <si>
    <t>Tiramisu Cream</t>
  </si>
  <si>
    <t>كوكا كولا عادي</t>
  </si>
  <si>
    <t>Coca-Cola Regular</t>
  </si>
  <si>
    <t>كوكا كولا لايت</t>
  </si>
  <si>
    <t>Coca-Cola Light</t>
  </si>
  <si>
    <t>كوكاكولا زيرو</t>
  </si>
  <si>
    <t>Coca-Cola Zero</t>
  </si>
  <si>
    <t>لازانيا الجدة نورا</t>
  </si>
  <si>
    <t>Grandma Nora Lasagna</t>
  </si>
  <si>
    <t>ماء زجاج</t>
  </si>
  <si>
    <t>Glass Water</t>
  </si>
  <si>
    <t>ماء عادي</t>
  </si>
  <si>
    <t>Still Water</t>
  </si>
  <si>
    <t>ماء غازي</t>
  </si>
  <si>
    <t>Sparkling Water</t>
  </si>
  <si>
    <t>ماري مونتي باستا</t>
  </si>
  <si>
    <t>Mari Monti Pasta</t>
  </si>
  <si>
    <t>ماري مونتي باستا خالي من الجلوتين</t>
  </si>
  <si>
    <t>Mari Monti Pasta Gluten-Free</t>
  </si>
  <si>
    <t>مبيعات عجين فطائر</t>
  </si>
  <si>
    <t>Pastry Dough Sales</t>
  </si>
  <si>
    <t>مبيعات مشروات</t>
  </si>
  <si>
    <t>Beverage Sales</t>
  </si>
  <si>
    <t>مشروب كريز مع ليمون واناناس</t>
  </si>
  <si>
    <t>Drink Lemon</t>
  </si>
  <si>
    <t>ادماتيك</t>
  </si>
  <si>
    <t>Admatic</t>
  </si>
  <si>
    <t>اسفنج غسيل مربع نحيف</t>
  </si>
  <si>
    <t>Thin Square Sponge</t>
  </si>
  <si>
    <t>اغطية ساعد</t>
  </si>
  <si>
    <t>Sleeve Covers</t>
  </si>
  <si>
    <t>اغطية شعر زرقاء</t>
  </si>
  <si>
    <t>Hair Covers</t>
  </si>
  <si>
    <t>اغطية شعر سوداء</t>
  </si>
  <si>
    <t>اقراص الكلور</t>
  </si>
  <si>
    <t>Chlorine Tablets</t>
  </si>
  <si>
    <t>اكليل الجبل</t>
  </si>
  <si>
    <t>Rosemary</t>
  </si>
  <si>
    <t>تخزين جاف</t>
  </si>
  <si>
    <t>DRY</t>
  </si>
  <si>
    <t>اكياس بينو سفري</t>
  </si>
  <si>
    <t>Pino Takeaway Bags</t>
  </si>
  <si>
    <t>اكياس نفايات</t>
  </si>
  <si>
    <t>Garbage Bags</t>
  </si>
  <si>
    <t>الكينوا</t>
  </si>
  <si>
    <t>Quinoa</t>
  </si>
  <si>
    <t>انتاج ريزوتو زعفران</t>
  </si>
  <si>
    <t>Production Risotto Saffron</t>
  </si>
  <si>
    <t>انتاج كرات الارانشيني</t>
  </si>
  <si>
    <t>Production Arancini Balls</t>
  </si>
  <si>
    <t>انتاج كرات الباستا</t>
  </si>
  <si>
    <t>Production Pasta Balls</t>
  </si>
  <si>
    <t>اوراق كرنب</t>
  </si>
  <si>
    <t>Cabbage</t>
  </si>
  <si>
    <t>ايكولار ecolar</t>
  </si>
  <si>
    <t>Ecolar</t>
  </si>
  <si>
    <t>بابريكا فلفل حلو</t>
  </si>
  <si>
    <t>Paprika Pepper</t>
  </si>
  <si>
    <t>بابريكا مدخنة</t>
  </si>
  <si>
    <t>Paprika Smoked</t>
  </si>
  <si>
    <t>باذنجان</t>
  </si>
  <si>
    <t>Eggplant</t>
  </si>
  <si>
    <t>ببروني</t>
  </si>
  <si>
    <t>Pepperoni</t>
  </si>
  <si>
    <t>بذور الشيا</t>
  </si>
  <si>
    <t>Chia Seeds</t>
  </si>
  <si>
    <t>بذور الكتان</t>
  </si>
  <si>
    <t>Flax Seeds</t>
  </si>
  <si>
    <t>برتقال</t>
  </si>
  <si>
    <t>Orange</t>
  </si>
  <si>
    <t>برطمان صوص زجاج</t>
  </si>
  <si>
    <t>Sauce Jar</t>
  </si>
  <si>
    <t>بسكوت الاسكريم</t>
  </si>
  <si>
    <t>Cream Biscuit</t>
  </si>
  <si>
    <t>بسكوت ليدي فنجر</t>
  </si>
  <si>
    <t>Biscuit</t>
  </si>
  <si>
    <t>بسكويت تيراميسو</t>
  </si>
  <si>
    <t>Tiramisu Biscuit</t>
  </si>
  <si>
    <t>بصل ابيض</t>
  </si>
  <si>
    <t>Onion</t>
  </si>
  <si>
    <t>بصل احمر</t>
  </si>
  <si>
    <t>بصل مكرمل</t>
  </si>
  <si>
    <t>بطاطا</t>
  </si>
  <si>
    <t>Potato</t>
  </si>
  <si>
    <t>بطاطا حلوة</t>
  </si>
  <si>
    <t>Sweet Potato</t>
  </si>
  <si>
    <t>بطاطس</t>
  </si>
  <si>
    <t>Fries</t>
  </si>
  <si>
    <t>بطاطس كري</t>
  </si>
  <si>
    <t>Curry Fries</t>
  </si>
  <si>
    <t>بطاطس كريسبر</t>
  </si>
  <si>
    <t>Crisper Fries</t>
  </si>
  <si>
    <t>بطاطس كريسبر مكعبات</t>
  </si>
  <si>
    <t>بطاطس مجمدة</t>
  </si>
  <si>
    <t>Frozen Fries</t>
  </si>
  <si>
    <t>بقدونس</t>
  </si>
  <si>
    <t>Parsley</t>
  </si>
  <si>
    <t>بقسماط</t>
  </si>
  <si>
    <t>Breadcrumbs</t>
  </si>
  <si>
    <t>بن - هيل</t>
  </si>
  <si>
    <t>Hill Coffee</t>
  </si>
  <si>
    <t>بن تيراميسو</t>
  </si>
  <si>
    <t>Tiramisu Coffee</t>
  </si>
  <si>
    <t>بهارات ايطالية</t>
  </si>
  <si>
    <t>Spices</t>
  </si>
  <si>
    <t>بودرة بصل</t>
  </si>
  <si>
    <t>Powder Onion</t>
  </si>
  <si>
    <t>بودرة ثوم</t>
  </si>
  <si>
    <t>Powder Garlic</t>
  </si>
  <si>
    <t>بوكس بينو</t>
  </si>
  <si>
    <t>Pino Box</t>
  </si>
  <si>
    <t>بومدورو</t>
  </si>
  <si>
    <t>Pomodoro</t>
  </si>
  <si>
    <t>بيرة ستيل</t>
  </si>
  <si>
    <t>Steel Keg Beer</t>
  </si>
  <si>
    <t>بيستو</t>
  </si>
  <si>
    <t>Pesto</t>
  </si>
  <si>
    <t>جرام</t>
  </si>
  <si>
    <t>بيض</t>
  </si>
  <si>
    <t>Eggs</t>
  </si>
  <si>
    <t>بينو بيكري</t>
  </si>
  <si>
    <t>Pino Bakery</t>
  </si>
  <si>
    <t>تاغيتيلي</t>
  </si>
  <si>
    <t>Tagliatelle</t>
  </si>
  <si>
    <t>تامين طبي</t>
  </si>
  <si>
    <t>Medical Insurance</t>
  </si>
  <si>
    <t>تباسكو احمر</t>
  </si>
  <si>
    <t>Tabasco</t>
  </si>
  <si>
    <t>لتر</t>
  </si>
  <si>
    <t>تباسكو اخضر</t>
  </si>
  <si>
    <t>تفاح</t>
  </si>
  <si>
    <t>Apple</t>
  </si>
  <si>
    <t>تمر ضيافة</t>
  </si>
  <si>
    <t>Hospitality Dates</t>
  </si>
  <si>
    <t>توابل الدجاج</t>
  </si>
  <si>
    <t>Seasoning Chicken</t>
  </si>
  <si>
    <t>توت احمر</t>
  </si>
  <si>
    <t>Berry</t>
  </si>
  <si>
    <t>ثلج</t>
  </si>
  <si>
    <t>Ice</t>
  </si>
  <si>
    <t>ثوم</t>
  </si>
  <si>
    <t>Garlic</t>
  </si>
  <si>
    <t>ثوم مقشر</t>
  </si>
  <si>
    <t>جالو اربوريو</t>
  </si>
  <si>
    <t>Carnaroli Arborio</t>
  </si>
  <si>
    <t>جبن الماعز</t>
  </si>
  <si>
    <t>Goat Cheese</t>
  </si>
  <si>
    <t>جبن بارميزان</t>
  </si>
  <si>
    <t>Parmesan Cheese</t>
  </si>
  <si>
    <t>جبن بوراتا</t>
  </si>
  <si>
    <t>Burrata Cheese</t>
  </si>
  <si>
    <t>جبن جران مورافيا</t>
  </si>
  <si>
    <t>Grana Moravia Cheese</t>
  </si>
  <si>
    <t>جبن جرانا بيدانا</t>
  </si>
  <si>
    <t>Padano Cheese</t>
  </si>
  <si>
    <t>جبن فيتا</t>
  </si>
  <si>
    <t>Feta Cheese</t>
  </si>
  <si>
    <t>جبن كريمي انكور</t>
  </si>
  <si>
    <t>Anchor Cheese</t>
  </si>
  <si>
    <t>جبن مونتري جاك</t>
  </si>
  <si>
    <t>Monterey Cheese</t>
  </si>
  <si>
    <t>جبنة قشقوان</t>
  </si>
  <si>
    <t>Kashkaval Cheese</t>
  </si>
  <si>
    <t>جرجير</t>
  </si>
  <si>
    <t>Arugula</t>
  </si>
  <si>
    <t>جزر</t>
  </si>
  <si>
    <t>Carrot</t>
  </si>
  <si>
    <t>جمبري</t>
  </si>
  <si>
    <t>Shrimp</t>
  </si>
  <si>
    <t>جوز البيكان</t>
  </si>
  <si>
    <t>Pecans</t>
  </si>
  <si>
    <t>جوز عين جمل</t>
  </si>
  <si>
    <t>Walnuts</t>
  </si>
  <si>
    <t>جوزة الطيب</t>
  </si>
  <si>
    <t>Nutmeg</t>
  </si>
  <si>
    <t>جيلاتو بستاشيو</t>
  </si>
  <si>
    <t>Gelato Pistachio</t>
  </si>
  <si>
    <t>جيلاتو تشيزكيك</t>
  </si>
  <si>
    <t>Gelato Cheesecake</t>
  </si>
  <si>
    <t>جيلاتو شوكلت</t>
  </si>
  <si>
    <t>Gelato Chocolate</t>
  </si>
  <si>
    <t>حامل اكواب</t>
  </si>
  <si>
    <t>Cup Holder</t>
  </si>
  <si>
    <t>حب قرع اخضر</t>
  </si>
  <si>
    <t>Squash</t>
  </si>
  <si>
    <t>حبة البركة</t>
  </si>
  <si>
    <t>Nigella Seeds</t>
  </si>
  <si>
    <t>حطب 18 كجم</t>
  </si>
  <si>
    <t>Firewood</t>
  </si>
  <si>
    <t>حلومي</t>
  </si>
  <si>
    <t>Halloumi</t>
  </si>
  <si>
    <t>حليب طويل الاجل</t>
  </si>
  <si>
    <t>Long-Life Milk</t>
  </si>
  <si>
    <t>حليب فرشكو</t>
  </si>
  <si>
    <t>Fresh Milk</t>
  </si>
  <si>
    <t>حليب مجفف</t>
  </si>
  <si>
    <t>Powdered Milk</t>
  </si>
  <si>
    <t>خردل</t>
  </si>
  <si>
    <t>Mustard</t>
  </si>
  <si>
    <t>خردل ديجون</t>
  </si>
  <si>
    <t>خس رومين</t>
  </si>
  <si>
    <t>Lettuce</t>
  </si>
  <si>
    <t>خس لولو روسو</t>
  </si>
  <si>
    <t>خضروات</t>
  </si>
  <si>
    <t>Vegetables</t>
  </si>
  <si>
    <t>خل البلسميك</t>
  </si>
  <si>
    <t>Balsamic Vinegar</t>
  </si>
  <si>
    <t>خل تفاح</t>
  </si>
  <si>
    <t>Apple Vinegar</t>
  </si>
  <si>
    <t>خل عادي ابيض</t>
  </si>
  <si>
    <t>Vinegar</t>
  </si>
  <si>
    <t>خميرة طبيعية</t>
  </si>
  <si>
    <t>Yeast</t>
  </si>
  <si>
    <t>خميرة فورية</t>
  </si>
  <si>
    <t>خوخ</t>
  </si>
  <si>
    <t>Peach</t>
  </si>
  <si>
    <t>دبس رمان</t>
  </si>
  <si>
    <t>Pomegranate Molasses</t>
  </si>
  <si>
    <t>دقيق ابو صقر</t>
  </si>
  <si>
    <t>Flour Abu Saqr</t>
  </si>
  <si>
    <t>دقيق ابو معية</t>
  </si>
  <si>
    <t>Flour Abu Maaiyah</t>
  </si>
  <si>
    <t>دقيق اسمر بر</t>
  </si>
  <si>
    <t>Flour Brown Whole Wheat</t>
  </si>
  <si>
    <t>دقيق عادي</t>
  </si>
  <si>
    <t>Flour</t>
  </si>
  <si>
    <t>دقيق فاخر المدينة</t>
  </si>
  <si>
    <t>Flour Premium Madinah</t>
  </si>
  <si>
    <t>دقيق نوفولا سوبر</t>
  </si>
  <si>
    <t>Flour Nuvola Super</t>
  </si>
  <si>
    <t>ديب كلين</t>
  </si>
  <si>
    <t>Deep Clean</t>
  </si>
  <si>
    <t>ديتول</t>
  </si>
  <si>
    <t>Dettol</t>
  </si>
  <si>
    <t>رغوة صابون</t>
  </si>
  <si>
    <t>Foam Soap</t>
  </si>
  <si>
    <t>رمان</t>
  </si>
  <si>
    <t>Pomegranate</t>
  </si>
  <si>
    <t>رواتب ومكافآت</t>
  </si>
  <si>
    <t>Salaries &amp; Bonuses</t>
  </si>
  <si>
    <t>روزيتو</t>
  </si>
  <si>
    <t>Risotto</t>
  </si>
  <si>
    <t>رول تغليف طعام</t>
  </si>
  <si>
    <t>Food Wrap Roll</t>
  </si>
  <si>
    <t>ريجاتوني</t>
  </si>
  <si>
    <t>Rigatoni</t>
  </si>
  <si>
    <t>ريحان</t>
  </si>
  <si>
    <t>Basil</t>
  </si>
  <si>
    <t>ريسبي بيقل</t>
  </si>
  <si>
    <t>Recipe Bagel</t>
  </si>
  <si>
    <t>ريسبي ساوردو الحبة الكاملة</t>
  </si>
  <si>
    <t>Recipe Sourdough Whole</t>
  </si>
  <si>
    <t>ريسبي ساوردو الحبوب</t>
  </si>
  <si>
    <t>Recipe Sourdough Grains</t>
  </si>
  <si>
    <t>ريسبي ساوردو الزيتون</t>
  </si>
  <si>
    <t>Recipe Sourdough Olive</t>
  </si>
  <si>
    <t>ريسبي ساوردو الزيتون مع الجبن</t>
  </si>
  <si>
    <t>Recipe Sourdough Olive Cheese</t>
  </si>
  <si>
    <t>ريسبي ساوردو الفلفل الحار مع الشيدر</t>
  </si>
  <si>
    <t>Recipe Sourdough Pepper Spicy Cheddar</t>
  </si>
  <si>
    <t>ريسبي ساوردو طماطم مجففة</t>
  </si>
  <si>
    <t>Recipe Sourdough Sun-Dried Tomato</t>
  </si>
  <si>
    <t>ريسبي ساوردو كلاسيك</t>
  </si>
  <si>
    <t>Recipe Sourdough Classic</t>
  </si>
  <si>
    <t>ريسبي كريم بروليه</t>
  </si>
  <si>
    <t>Recipe Creme Brulee</t>
  </si>
  <si>
    <t>ريسبي لازانيا</t>
  </si>
  <si>
    <t>Recipe Lasagna</t>
  </si>
  <si>
    <t>رينسال</t>
  </si>
  <si>
    <t>Rinsal</t>
  </si>
  <si>
    <t>زبادي</t>
  </si>
  <si>
    <t>Yogurt</t>
  </si>
  <si>
    <t>زبدة</t>
  </si>
  <si>
    <t>Butter</t>
  </si>
  <si>
    <t>زبدة ترافل</t>
  </si>
  <si>
    <t>Truffle Butter</t>
  </si>
  <si>
    <t>زعتر بري</t>
  </si>
  <si>
    <t>Thyme</t>
  </si>
  <si>
    <t>زعفران</t>
  </si>
  <si>
    <t>Saffron</t>
  </si>
  <si>
    <t>زيت الترافل الابيض</t>
  </si>
  <si>
    <t>White Truffle Oil</t>
  </si>
  <si>
    <t>زيت الزيتون 2 لتر</t>
  </si>
  <si>
    <t>Olive Oil</t>
  </si>
  <si>
    <t>زيت الزيتون 4 لتر</t>
  </si>
  <si>
    <t>زيت الزيتون الحار</t>
  </si>
  <si>
    <t>Olive Oil Spicy</t>
  </si>
  <si>
    <t>زيت عافية</t>
  </si>
  <si>
    <t>Oil Afia</t>
  </si>
  <si>
    <t>زيت قلي 18 لتر الوليمة</t>
  </si>
  <si>
    <t>Frying Oil Al-Walima</t>
  </si>
  <si>
    <t>زيتون شرائح</t>
  </si>
  <si>
    <t>Olive</t>
  </si>
  <si>
    <t>سائل تنظيف زجاج</t>
  </si>
  <si>
    <t>Glass Cleaner</t>
  </si>
  <si>
    <t>سائل تنظيف صحون</t>
  </si>
  <si>
    <t>Dish Soap</t>
  </si>
  <si>
    <t>سبانخ</t>
  </si>
  <si>
    <t>Spinach</t>
  </si>
  <si>
    <t>سكر ناعم</t>
  </si>
  <si>
    <t>Sugar</t>
  </si>
  <si>
    <t>سلامي</t>
  </si>
  <si>
    <t>Salami</t>
  </si>
  <si>
    <t>سلك نحاس شائك</t>
  </si>
  <si>
    <t>Copper Scrubber</t>
  </si>
  <si>
    <t>سماق</t>
  </si>
  <si>
    <t>Sumac</t>
  </si>
  <si>
    <t>سمسم ابيض</t>
  </si>
  <si>
    <t>Sesame</t>
  </si>
  <si>
    <t>سمسم هندي</t>
  </si>
  <si>
    <t>سميد ايطالي</t>
  </si>
  <si>
    <t>Semolina</t>
  </si>
  <si>
    <t>سيرب اناناس 1.30 كيلو</t>
  </si>
  <si>
    <t>Pineapple Syrup</t>
  </si>
  <si>
    <t>سيرب اناناس 5 كيلو</t>
  </si>
  <si>
    <t>سيرب باشن فروت</t>
  </si>
  <si>
    <t>Passion Fruit Syrup</t>
  </si>
  <si>
    <t>سيرب توت ازرق</t>
  </si>
  <si>
    <t>Berry Syrup</t>
  </si>
  <si>
    <t>سيرب ليمون حامض</t>
  </si>
  <si>
    <t>Lemon Syrup</t>
  </si>
  <si>
    <t>سيرب يوزو</t>
  </si>
  <si>
    <t>Yuzu Syrup</t>
  </si>
  <si>
    <t>شبيه زبدة</t>
  </si>
  <si>
    <t>شحن</t>
  </si>
  <si>
    <t>Shipping</t>
  </si>
  <si>
    <t>شرائح لحم امريكي</t>
  </si>
  <si>
    <t>Sliced Meat</t>
  </si>
  <si>
    <t>شرائح لحم بقري</t>
  </si>
  <si>
    <t>شراب الاناناس</t>
  </si>
  <si>
    <t>شراب الرمان</t>
  </si>
  <si>
    <t>Pomegranate Syrup</t>
  </si>
  <si>
    <t>شراب الكرز</t>
  </si>
  <si>
    <t>Cherry Syrup</t>
  </si>
  <si>
    <t>شراب الليمون</t>
  </si>
  <si>
    <t>شوابير</t>
  </si>
  <si>
    <t>Skewers</t>
  </si>
  <si>
    <t>شوربة كويكر</t>
  </si>
  <si>
    <t>Quaker Soup</t>
  </si>
  <si>
    <t>شوفان</t>
  </si>
  <si>
    <t>Oats</t>
  </si>
  <si>
    <t>شيدر ابيض</t>
  </si>
  <si>
    <t>Cheddar</t>
  </si>
  <si>
    <t>شيدر اصفر</t>
  </si>
  <si>
    <t>صابون يد</t>
  </si>
  <si>
    <t>Hand Soap</t>
  </si>
  <si>
    <t>صحون سوداء مع اغطية</t>
  </si>
  <si>
    <t>Covers Plates</t>
  </si>
  <si>
    <t>صحون قصب السكر</t>
  </si>
  <si>
    <t>Sugarcane Plates</t>
  </si>
  <si>
    <t>صحون لازانيا مع اغطية</t>
  </si>
  <si>
    <t>Lasagna Covers Plates</t>
  </si>
  <si>
    <t>صدور الدجاج المتبلة</t>
  </si>
  <si>
    <t>Marinated Chicken Breast</t>
  </si>
  <si>
    <t>صدور دجاج</t>
  </si>
  <si>
    <t>Chicken Breast</t>
  </si>
  <si>
    <t>صفار بيض</t>
  </si>
  <si>
    <t>Yolk Eggs</t>
  </si>
  <si>
    <t>صلصة باربيكيو</t>
  </si>
  <si>
    <t>Barbecue Sauce</t>
  </si>
  <si>
    <t>صلصة تاتكو فلفل حار</t>
  </si>
  <si>
    <t>Pepper Spicy Sauce</t>
  </si>
  <si>
    <t>صلصة شواء</t>
  </si>
  <si>
    <t>BBQ Sauce</t>
  </si>
  <si>
    <t>صلصة وارشستر</t>
  </si>
  <si>
    <t>Worcestershire Sauce</t>
  </si>
  <si>
    <t>صنوبر</t>
  </si>
  <si>
    <t>Pine Nuts</t>
  </si>
  <si>
    <t>صوص البريسكت</t>
  </si>
  <si>
    <t>Brisket Sauce</t>
  </si>
  <si>
    <t>صوص البشاميل</t>
  </si>
  <si>
    <t>Sauce</t>
  </si>
  <si>
    <t>صوص البطاطس الخارجي</t>
  </si>
  <si>
    <t>External Fries Sauce</t>
  </si>
  <si>
    <t>صوص الترافل</t>
  </si>
  <si>
    <t>Truffle Sauce</t>
  </si>
  <si>
    <t>صوص الروكا</t>
  </si>
  <si>
    <t>Arugula Sauce</t>
  </si>
  <si>
    <t>صوص الزعفران</t>
  </si>
  <si>
    <t>Saffron Sauce</t>
  </si>
  <si>
    <t>صوص الفريدو</t>
  </si>
  <si>
    <t>Alfredo Sauce</t>
  </si>
  <si>
    <t>صوص بطاطس بينو</t>
  </si>
  <si>
    <t>Pino Fries Sauce</t>
  </si>
  <si>
    <t>صوص بومودورو</t>
  </si>
  <si>
    <t>Pomodoro Sauce</t>
  </si>
  <si>
    <t>صوص بيتزا الترافل</t>
  </si>
  <si>
    <t>Pizza Truffle Sauce</t>
  </si>
  <si>
    <t>صوص بيتزا الدجاج المشوي</t>
  </si>
  <si>
    <t>Grilled Chicken Pizza Sauce</t>
  </si>
  <si>
    <t>صوص بيتزا الشيف</t>
  </si>
  <si>
    <t>Pizza Chef Sauce</t>
  </si>
  <si>
    <t>صوص بيستو الريحان</t>
  </si>
  <si>
    <t>Pesto Basil Sauce</t>
  </si>
  <si>
    <t>صوص بيستو الطماطم المجففة</t>
  </si>
  <si>
    <t>Pesto Tomato Sauce</t>
  </si>
  <si>
    <t>صوص سلطة البوراتا</t>
  </si>
  <si>
    <t>Salad Burrata Sauce</t>
  </si>
  <si>
    <t>صوص سلطة الكينوا</t>
  </si>
  <si>
    <t>Salad Quinoa Sauce</t>
  </si>
  <si>
    <t>صوص سلطة بينو ثقيلة</t>
  </si>
  <si>
    <t>Salad Pino Sauce</t>
  </si>
  <si>
    <t>صوص سلطة بينو خفيف</t>
  </si>
  <si>
    <t>صوص طحينة</t>
  </si>
  <si>
    <t>Tahini Sauce</t>
  </si>
  <si>
    <t>صوص كرات الارانشيني ترافل</t>
  </si>
  <si>
    <t>Arancini Balls Truffle Sauce</t>
  </si>
  <si>
    <t>صوص كرات الارانشيني عادي</t>
  </si>
  <si>
    <t>Arancini Balls Sauce</t>
  </si>
  <si>
    <t>صوص كرات الباستا</t>
  </si>
  <si>
    <t>Pasta Balls Sauce</t>
  </si>
  <si>
    <t>صوص مارجريتا</t>
  </si>
  <si>
    <t>Margherita Sauce</t>
  </si>
  <si>
    <t>صوص ماري مونتي</t>
  </si>
  <si>
    <t>Mari Monti Sauce</t>
  </si>
  <si>
    <t>صوص مسخن</t>
  </si>
  <si>
    <t>Musakhan Sauce</t>
  </si>
  <si>
    <t>صيانة السيارات</t>
  </si>
  <si>
    <t>Vehicle Maintenance</t>
  </si>
  <si>
    <t>صيانة سكن</t>
  </si>
  <si>
    <t>Housing Maintenance</t>
  </si>
  <si>
    <t>صيانة عامة واصلاحات</t>
  </si>
  <si>
    <t>General Maintenance &amp; Repairs</t>
  </si>
  <si>
    <t>ضيافة</t>
  </si>
  <si>
    <t>Hospitality</t>
  </si>
  <si>
    <t>طحين دبل زيرو</t>
  </si>
  <si>
    <t>Flour Double Zero</t>
  </si>
  <si>
    <t>طحينة</t>
  </si>
  <si>
    <t>Tahini</t>
  </si>
  <si>
    <t>طقم ملاعق شوك سكاكين</t>
  </si>
  <si>
    <t>Cutlery Set</t>
  </si>
  <si>
    <t>طماطم</t>
  </si>
  <si>
    <t>Tomato</t>
  </si>
  <si>
    <t>طماطم سان مارزانو</t>
  </si>
  <si>
    <t>San Marzano Tomato</t>
  </si>
  <si>
    <t>طماطم شيري</t>
  </si>
  <si>
    <t>Cherry Tomato</t>
  </si>
  <si>
    <t>طماطم مجففة</t>
  </si>
  <si>
    <t>Sun-Dried Tomato</t>
  </si>
  <si>
    <t>عجز وفائض الصندوق</t>
  </si>
  <si>
    <t>Cash Over/Short</t>
  </si>
  <si>
    <t>عجينة سمبوسة</t>
  </si>
  <si>
    <t>Samosa Dough</t>
  </si>
  <si>
    <t>عسل نحل</t>
  </si>
  <si>
    <t>Honey</t>
  </si>
  <si>
    <t>علب تيراميسو مع اغطية</t>
  </si>
  <si>
    <t>Tiramisu Covers Boxes</t>
  </si>
  <si>
    <t>علب سفري</t>
  </si>
  <si>
    <t>Takeaway Boxes</t>
  </si>
  <si>
    <t>علب صوص</t>
  </si>
  <si>
    <t>Sauce Cups</t>
  </si>
  <si>
    <t>علب كريم بروليه</t>
  </si>
  <si>
    <t>Creme Brulee Boxes</t>
  </si>
  <si>
    <t>علب مربعة</t>
  </si>
  <si>
    <t>Square Boxes</t>
  </si>
  <si>
    <t>علبة ميكروويف 38 اونص</t>
  </si>
  <si>
    <t>Microwave Container</t>
  </si>
  <si>
    <t>غاز</t>
  </si>
  <si>
    <t>Gas</t>
  </si>
  <si>
    <t>غطاء</t>
  </si>
  <si>
    <t>Cover</t>
  </si>
  <si>
    <t>غطاء رأس أسود</t>
  </si>
  <si>
    <t>Head Cover</t>
  </si>
  <si>
    <t>غطاء شعر شفاف</t>
  </si>
  <si>
    <t>Hair Cover</t>
  </si>
  <si>
    <t>غطاء علب قصب السكر</t>
  </si>
  <si>
    <t>Sugarcane Lid</t>
  </si>
  <si>
    <t>فانيليا سائلة</t>
  </si>
  <si>
    <t>Vanilla</t>
  </si>
  <si>
    <t>فجل احمر</t>
  </si>
  <si>
    <t>Radish</t>
  </si>
  <si>
    <t>فطر</t>
  </si>
  <si>
    <t>Mushroom</t>
  </si>
  <si>
    <t>فلفل احمر مجروش</t>
  </si>
  <si>
    <t>Pepper</t>
  </si>
  <si>
    <t>فلفل اسود</t>
  </si>
  <si>
    <t>فلفل رومي احمر واصفر</t>
  </si>
  <si>
    <t>فلفل رومي اخضر</t>
  </si>
  <si>
    <t>فوستر كاستر</t>
  </si>
  <si>
    <t>Foster Custard</t>
  </si>
  <si>
    <t>فوطة تنظيف مايكرو فايبر</t>
  </si>
  <si>
    <t>Microfiber Cloth</t>
  </si>
  <si>
    <t>قرطاسية ومطبوعات</t>
  </si>
  <si>
    <t>Stationery &amp; Printing</t>
  </si>
  <si>
    <t>قرنفل مطحون</t>
  </si>
  <si>
    <t>Clove</t>
  </si>
  <si>
    <t>قطع الترافل</t>
  </si>
  <si>
    <t>Truffle Pieces</t>
  </si>
  <si>
    <t>قطع باشن فروت</t>
  </si>
  <si>
    <t>Passion Fruit</t>
  </si>
  <si>
    <t>قفازات سوداء</t>
  </si>
  <si>
    <t>Gloves</t>
  </si>
  <si>
    <t>قفازات شفاف</t>
  </si>
  <si>
    <t>كاتشب 342 جرام</t>
  </si>
  <si>
    <t>Ketchup</t>
  </si>
  <si>
    <t>كاتشب 570 جرام</t>
  </si>
  <si>
    <t>كاس شفاف مع غطاء اسود</t>
  </si>
  <si>
    <t>Clear Cup Cover</t>
  </si>
  <si>
    <t>كاسات ماء</t>
  </si>
  <si>
    <t>Water Cups</t>
  </si>
  <si>
    <t>كاسات مموجة سوداء ورق</t>
  </si>
  <si>
    <t>Black Ripple Paper Cups</t>
  </si>
  <si>
    <t>كاستر تيراميسو</t>
  </si>
  <si>
    <t>Custard Tiramisu</t>
  </si>
  <si>
    <t>كاسترد</t>
  </si>
  <si>
    <t>Custard</t>
  </si>
  <si>
    <t>كاسريا بورينا جبنة ايطاليا</t>
  </si>
  <si>
    <t>Casarecce Burrina Cheese</t>
  </si>
  <si>
    <t>كاكاو بودرة</t>
  </si>
  <si>
    <t>Cocoa Powder</t>
  </si>
  <si>
    <t>كراتين بيتزا تيك اواي</t>
  </si>
  <si>
    <t>Pizza Takeaway Boxes</t>
  </si>
  <si>
    <t>كراتين بيتزا صغيرة</t>
  </si>
  <si>
    <t>Small Pizza Boxes</t>
  </si>
  <si>
    <t>كركم مطحون</t>
  </si>
  <si>
    <t>Turmeric</t>
  </si>
  <si>
    <t>كريمة البلسميك</t>
  </si>
  <si>
    <t>Cream</t>
  </si>
  <si>
    <t>كريمة خفق نادك</t>
  </si>
  <si>
    <t>Whipping Cream Nadec</t>
  </si>
  <si>
    <t>كريمة طبخ</t>
  </si>
  <si>
    <t>Cooking Cream</t>
  </si>
  <si>
    <t>كريمة عابد</t>
  </si>
  <si>
    <t>Abed Cream</t>
  </si>
  <si>
    <t>كزبرة خضراء</t>
  </si>
  <si>
    <t>Coriander</t>
  </si>
  <si>
    <t>كزبرة مطحونة</t>
  </si>
  <si>
    <t>كمامات زرقاء</t>
  </si>
  <si>
    <t>Masks</t>
  </si>
  <si>
    <t>كمامات سوداء</t>
  </si>
  <si>
    <t>كوسة</t>
  </si>
  <si>
    <t>Zucchini</t>
  </si>
  <si>
    <t>كوفين</t>
  </si>
  <si>
    <t>Caffeine</t>
  </si>
  <si>
    <t>كينوا ابيض</t>
  </si>
  <si>
    <t>كينوا احمر</t>
  </si>
  <si>
    <t>كينوا اسود</t>
  </si>
  <si>
    <t>لحم البريسكت</t>
  </si>
  <si>
    <t>Meat Brisket</t>
  </si>
  <si>
    <t>لحم بريسكت</t>
  </si>
  <si>
    <t>لحم بيبروني بلاك انجوس</t>
  </si>
  <si>
    <t>Meat Pepperoni Black Angus</t>
  </si>
  <si>
    <t>لحم غنم</t>
  </si>
  <si>
    <t>Meat Lamb</t>
  </si>
  <si>
    <t>لحم لازانيا مفروم</t>
  </si>
  <si>
    <t>Lasagna Ground Meat</t>
  </si>
  <si>
    <t>لحم متبل</t>
  </si>
  <si>
    <t>Marinated Meat</t>
  </si>
  <si>
    <t>لحم مفروم</t>
  </si>
  <si>
    <t>Ground Meat</t>
  </si>
  <si>
    <t>لون زعفران</t>
  </si>
  <si>
    <t>ليمون اصفر كبير</t>
  </si>
  <si>
    <t>Lemon</t>
  </si>
  <si>
    <t>ليمون صغير</t>
  </si>
  <si>
    <t>مؤرشف</t>
  </si>
  <si>
    <t>Archived</t>
  </si>
  <si>
    <t>ماء ع</t>
  </si>
  <si>
    <t>Water</t>
  </si>
  <si>
    <t>ماء عادي عمومي</t>
  </si>
  <si>
    <t>General Water</t>
  </si>
  <si>
    <t>مايكرو جرين</t>
  </si>
  <si>
    <t>Micro Greens</t>
  </si>
  <si>
    <t>مايونيز كبير 3078</t>
  </si>
  <si>
    <t>Mayonnaise</t>
  </si>
  <si>
    <t>محار</t>
  </si>
  <si>
    <t>Clams</t>
  </si>
  <si>
    <t>مرق دجاج</t>
  </si>
  <si>
    <t>Chicken</t>
  </si>
  <si>
    <t>مصاص بقرطاس ابيض</t>
  </si>
  <si>
    <t>White Wrapped Straw</t>
  </si>
  <si>
    <t>مطهر فان</t>
  </si>
  <si>
    <t>Van Sanitizer</t>
  </si>
  <si>
    <t>معجون الترافل</t>
  </si>
  <si>
    <t>Truffle Paste</t>
  </si>
  <si>
    <t>معجون الثوم</t>
  </si>
  <si>
    <t>Garlic Paste</t>
  </si>
  <si>
    <t>معجون الفلفل الحار</t>
  </si>
  <si>
    <t>Pepper Spicy Paste</t>
  </si>
  <si>
    <t>معجون طماطم</t>
  </si>
  <si>
    <t>Tomato Paste</t>
  </si>
  <si>
    <t>مكرونة اكواع قودي</t>
  </si>
  <si>
    <t>Elbow Goody Pasta</t>
  </si>
  <si>
    <t>مكرونة بيني ريجاتي</t>
  </si>
  <si>
    <t>Penne Rigati Pasta</t>
  </si>
  <si>
    <t>مكرونة سباجيتي</t>
  </si>
  <si>
    <t>Spaghetti Pasta</t>
  </si>
  <si>
    <t>مكرونة لازانيا</t>
  </si>
  <si>
    <t>Lasagna Pasta</t>
  </si>
  <si>
    <t>مكس جرين</t>
  </si>
  <si>
    <t>Mixed Greens</t>
  </si>
  <si>
    <t>ملابس فريق عمل بينو</t>
  </si>
  <si>
    <t>Staff Uniform Pino</t>
  </si>
  <si>
    <t>ملح</t>
  </si>
  <si>
    <t>Salt</t>
  </si>
  <si>
    <t>ملح ساسا</t>
  </si>
  <si>
    <t>Salt Sasa</t>
  </si>
  <si>
    <t>ملفوف احمر</t>
  </si>
  <si>
    <t>مناديل دائرية خفيفة</t>
  </si>
  <si>
    <t>Round Napkins</t>
  </si>
  <si>
    <t>مناديل دائرية صغيرة</t>
  </si>
  <si>
    <t>مناديل دائرية كبيرة</t>
  </si>
  <si>
    <t>مناديل رول زرقاء</t>
  </si>
  <si>
    <t>Roll Tissues</t>
  </si>
  <si>
    <t>مناديل شعار بينو</t>
  </si>
  <si>
    <t>Pino Logo Napkins</t>
  </si>
  <si>
    <t>مناديل ماكس رول 300 متر</t>
  </si>
  <si>
    <t>Max Roll Tissues</t>
  </si>
  <si>
    <t>مناديل ماكس رول 700 جرام 2 طبقة</t>
  </si>
  <si>
    <t>مناديل مربعة</t>
  </si>
  <si>
    <t>Square Napkins</t>
  </si>
  <si>
    <t>مناشف سكوتش برايت</t>
  </si>
  <si>
    <t>Scotch-Brite Pads</t>
  </si>
  <si>
    <t>منظف ارضيات</t>
  </si>
  <si>
    <t>Floor Cleaner</t>
  </si>
  <si>
    <t>منظف الافران</t>
  </si>
  <si>
    <t>Oven Cleaner</t>
  </si>
  <si>
    <t>موزاريلا</t>
  </si>
  <si>
    <t>Mozzarella</t>
  </si>
  <si>
    <t>مياه</t>
  </si>
  <si>
    <t>نعناع</t>
  </si>
  <si>
    <t>Mint</t>
  </si>
  <si>
    <t>ورق الريحان المجفف</t>
  </si>
  <si>
    <t>Dried Basil Leaves</t>
  </si>
  <si>
    <t>ورق بيتزا</t>
  </si>
  <si>
    <t>Pizza Paper</t>
  </si>
  <si>
    <t>ورق بيتزا صغير</t>
  </si>
  <si>
    <t>ورق زبدة</t>
  </si>
  <si>
    <t>Butter Paper</t>
  </si>
  <si>
    <t>ورق زبدة 30 سم</t>
  </si>
  <si>
    <t>ورق طاولات</t>
  </si>
  <si>
    <t>Table Paper</t>
  </si>
  <si>
    <t>يقطين</t>
  </si>
  <si>
    <t>Pumpkin</t>
  </si>
  <si>
    <t>جرد المنتجات المجمّدة  —  تخزين مجمد</t>
  </si>
  <si>
    <t>تاريخ الجرد: __________   القائم بالجرد: __________   (تتحدّث تلقائيًا من السجل)</t>
  </si>
  <si>
    <t>اسم المنتج</t>
  </si>
  <si>
    <t>الاسم EN</t>
  </si>
  <si>
    <t>الفئة</t>
  </si>
  <si>
    <t>الوحدة</t>
  </si>
  <si>
    <t>الكمية الفعلية</t>
  </si>
  <si>
    <t>ملاحظات</t>
  </si>
  <si>
    <t>جرد المنتجات المبرّدة  —  تخزين مبرد</t>
  </si>
  <si>
    <t>جرد المنتجات الجافة  —  تخزين جاف</t>
  </si>
  <si>
    <t>جرد المواد الاستهلاكية  —  استهلاكي</t>
  </si>
  <si>
    <t>الاسم (عربي)</t>
  </si>
  <si>
    <t>الاسم (English)</t>
  </si>
  <si>
    <t>الرمز</t>
  </si>
  <si>
    <t>مللتر</t>
  </si>
  <si>
    <t>دليل التكويد</t>
  </si>
  <si>
    <t>صيغة الكود: نوع المنتج - حالة المنتج - تسلسل (مثل FIN-RTS-001).</t>
  </si>
  <si>
    <t>النوع: RAW مواد خام | TRN مواد تحويلية | FIN منتج نهائي.</t>
  </si>
  <si>
    <t>الحالة: FRZ مجمد | CHL مبرد | DRY جاف | CNS استهلاكي | RTS جاهز للبيع.</t>
  </si>
  <si>
    <t>الاسم الإنجليزي يُجلب من ورقة «قاموس الترجمة» — عدّلها أو أضِف أسماء جديدة لتظهر تلقائيًا.</t>
  </si>
  <si>
    <t>تعديل صنف يمنحه كودًا جديدًا دون تغيير باقي الأكواد، وينعكس في صفحات الجرد.</t>
  </si>
  <si>
    <t>وزن الوحدة (كجم)</t>
  </si>
  <si>
    <t>إجمالي الوزن (كجم)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</si>
</sst>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8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b/>
      <sz val="11"/>
      <color rgb="FF1F3864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color rgb="FF333333"/>
      <name val="Arial"/>
      <family val="2"/>
    </font>
    <font>
      <b/>
      <sz val="12"/>
      <color rgb="FF1F6E43"/>
      <name val="Consolas"/>
      <family val="2"/>
    </font>
    <font>
      <b/>
      <sz val="10"/>
      <color rgb="FF1F3864"/>
      <name val="Arial"/>
      <family val="2"/>
    </font>
    <font>
      <b/>
      <sz val="11"/>
      <color rgb="FF1F3864"/>
      <name val="Consolas"/>
      <family val="2"/>
    </font>
    <font>
      <sz val="10"/>
      <color rgb="FF555555"/>
      <name val="Arial"/>
      <family val="2"/>
    </font>
    <font>
      <sz val="10"/>
      <name val="Arial"/>
      <family val="2"/>
    </font>
    <font>
      <b/>
      <sz val="12"/>
      <color rgb="FF1F3864"/>
      <name val="Arial"/>
      <family val="2"/>
    </font>
    <font>
      <i/>
      <sz val="11"/>
      <color rgb="FF555555"/>
      <name val="Al Bayan Plain"/>
      <charset val="178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color rgb="FF1F6E43"/>
      <name val="Consolas"/>
      <family val="2"/>
    </font>
    <font>
      <i/>
      <sz val="11"/>
      <color rgb="FF33333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DE9D9"/>
      </patternFill>
    </fill>
    <fill>
      <patternFill patternType="solid">
        <fgColor rgb="FFC9A227"/>
      </patternFill>
    </fill>
    <fill>
      <patternFill patternType="solid">
        <fgColor rgb="FF2E4D7B"/>
      </patternFill>
    </fill>
    <fill>
      <patternFill patternType="solid">
        <fgColor rgb="FFFFFDF5"/>
      </patternFill>
    </fill>
    <fill>
      <patternFill patternType="solid">
        <fgColor rgb="FFF3F7FB"/>
      </patternFill>
    </fill>
    <fill>
      <patternFill patternType="solid">
        <fgColor rgb="FFFFF6D8"/>
      </patternFill>
    </fill>
    <fill>
      <patternFill patternType="solid">
        <fgColor rgb="FFFFF2CC"/>
      </patternFill>
    </fill>
    <fill>
      <patternFill patternType="solid">
        <fgColor rgb="FFEAF0F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E4D7B"/>
      </patternFill>
    </fill>
    <fill>
      <patternFill patternType="solid">
        <fgColor rgb="FFFFFDF5"/>
      </patternFill>
    </fill>
    <fill>
      <patternFill patternType="solid">
        <fgColor rgb="FFFFF6D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0" fillId="10" borderId="1" xfId="0" applyFill="1" applyBorder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righ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right" vertical="center" wrapText="1"/>
    </xf>
    <xf numFmtId="0" fontId="0" fillId="13" borderId="1" xfId="0" applyFill="1" applyBorder="1"/>
    <xf numFmtId="0" fontId="0" fillId="13" borderId="0" xfId="0" applyFill="1"/>
    <xf numFmtId="0" fontId="14" fillId="14" borderId="4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right" vertical="center"/>
    </xf>
    <xf numFmtId="0" fontId="15" fillId="0" borderId="4" xfId="0" applyFont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 wrapText="1"/>
    </xf>
    <xf numFmtId="164" fontId="15" fillId="15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0" xfId="0" applyFont="1" applyFill="1" applyAlignment="1">
      <alignment horizontal="righ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2" fillId="1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12" borderId="0" xfId="0" applyFont="1" applyFill="1"/>
  </cellXfs>
  <cellStyles count="1">
    <cellStyle name="عادي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"/>
  <sheetViews>
    <sheetView rightToLeft="1" tabSelected="1" workbookViewId="0">
      <pane ySplit="4" topLeftCell="A176" activePane="bottomLeft" state="frozen"/>
      <selection pane="bottomLeft" activeCell="G7" sqref="G7"/>
    </sheetView>
  </sheetViews>
  <sheetFormatPr baseColWidth="10" defaultColWidth="8.83203125" defaultRowHeight="14" x14ac:dyDescent="0.15"/>
  <cols>
    <col min="1" max="1" width="5" customWidth="1"/>
    <col min="2" max="2" width="38" customWidth="1"/>
    <col min="3" max="3" width="30" customWidth="1"/>
    <col min="4" max="6" width="16" customWidth="1"/>
    <col min="7" max="7" width="12" customWidth="1"/>
    <col min="8" max="17" width="13" hidden="1" customWidth="1"/>
    <col min="18" max="18" width="14" customWidth="1"/>
    <col min="19" max="20" width="13" customWidth="1"/>
    <col min="21" max="21" width="15" customWidth="1"/>
  </cols>
  <sheetData>
    <row r="1" spans="1:21" ht="30" customHeight="1" x14ac:dyDescent="0.15">
      <c r="A1" s="32" t="s">
        <v>0</v>
      </c>
      <c r="B1" s="33"/>
      <c r="C1" s="33"/>
      <c r="D1" s="33"/>
      <c r="E1" s="33"/>
      <c r="F1" s="33"/>
      <c r="G1" s="33"/>
    </row>
    <row r="2" spans="1:21" ht="22" customHeight="1" x14ac:dyDescent="0.15">
      <c r="A2" s="39" t="str">
        <f>"منتج نهائي:  "&amp;COUNTIF($D$5:$D$590,"منتج نهائي")</f>
        <v>منتج نهائي:  109</v>
      </c>
      <c r="B2" s="38"/>
      <c r="C2" s="31"/>
      <c r="D2" s="34" t="str">
        <f>"مواد تحويلية:  "&amp;COUNTIF($D$5:$D$590,"مواد تحويلية")</f>
        <v>مواد تحويلية:  50</v>
      </c>
      <c r="E2" s="31"/>
      <c r="F2" s="30" t="str">
        <f>"مواد خام:  "&amp;COUNTIF($D$5:$D$590,"مواد خام")</f>
        <v>مواد خام:  278</v>
      </c>
      <c r="G2" s="31"/>
    </row>
    <row r="3" spans="1:21" ht="28" customHeight="1" x14ac:dyDescent="0.15">
      <c r="A3" s="36" t="s">
        <v>1</v>
      </c>
      <c r="B3" s="33"/>
      <c r="C3" s="33"/>
      <c r="D3" s="33"/>
      <c r="E3" s="37" t="str">
        <f>HYPERLINK("#'إدخال وسجل المنتجات'!A156","📋 عرض كل الأصناف المسجّلة ("&amp;(COUNTA($B$5:$B$154)+COUNTA($B$157:$B$590))&amp;") ⤵")</f>
        <v>📋 عرض كل الأصناف المسجّلة (435) ⤵</v>
      </c>
      <c r="F3" s="38"/>
      <c r="G3" s="31"/>
    </row>
    <row r="4" spans="1:21" ht="15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R4" s="22" t="s">
        <v>9</v>
      </c>
      <c r="S4" s="22" t="s">
        <v>10</v>
      </c>
      <c r="T4" s="22" t="s">
        <v>11</v>
      </c>
      <c r="U4" s="22" t="s">
        <v>881</v>
      </c>
    </row>
    <row r="5" spans="1:21" ht="15.75" customHeight="1" x14ac:dyDescent="0.15">
      <c r="A5" s="2" t="str">
        <f>IF($B5="","",COUNTA($B$5:$B5))</f>
        <v/>
      </c>
      <c r="B5" s="3"/>
      <c r="C5" s="4" t="str">
        <f>IF($B5="","",IFERROR(VLOOKUP($B5,'قاموس الترجمة'!$A$2:$B$979,2,0),""))</f>
        <v/>
      </c>
      <c r="D5" s="3" t="s">
        <v>12</v>
      </c>
      <c r="E5" s="5" t="str">
        <f>IF($D5="منتج نهائي","جاهز للبيع","")</f>
        <v/>
      </c>
      <c r="F5" s="6" t="str">
        <f>IF($B5="","",IF($K5&lt;&gt;"",$K5,IF($H5="","— اختر النوع —",IF(AND($H5&lt;&gt;"FIN",$I5=""),"— اختر الحالة —",$H5&amp;"-"&amp;$I5&amp;"-"&amp;TEXT(SUMPRODUCT(MAX(($H$157:$H$590=$H5)*($I$157:$I$590=$I5)*$J$157:$J$590))+SUMPRODUCT(($H$5:$H5=$H5)*($I$5:$I5=$I5)*($L$5:$L5=1)),"000")))))</f>
        <v/>
      </c>
      <c r="G5" s="5" t="s">
        <v>13</v>
      </c>
      <c r="H5" t="str">
        <f>IFERROR(VLOOKUP($D5,القوائم!$A$2:$B$4,2,0),"")</f>
        <v>RAW</v>
      </c>
      <c r="I5" t="str">
        <f t="shared" ref="I5:I36" si="0">IF($H5="FIN","RTS",IF(ISNUMBER(SEARCH("مجمد",$E5)),"FRZ",IF(ISNUMBER(SEARCH("مبرد",$E5)),"CHL",IF(ISNUMBER(SEARCH("جاف",$E5)),"DRY",IF(ISNUMBER(SEARCH("استهلاك",$E5)),"CNS",IF(ISNUMBER(SEARCH("بيع",$E5)),"RTS",""))))))</f>
        <v/>
      </c>
      <c r="K5" t="str">
        <f t="shared" ref="K5:K36" si="1">IF($B5="","",IFERROR(INDEX($F$157:$F$590,MATCH($B5,$B$157:$B$590,0)),""))</f>
        <v/>
      </c>
      <c r="L5" t="str">
        <f t="shared" ref="L5:L36" si="2">IF($B5="","",IF($K5="",1,0))</f>
        <v/>
      </c>
      <c r="M5" t="str">
        <f>IF($I5="","",COUNTIF($I$5:$I5,$I5))</f>
        <v/>
      </c>
      <c r="R5" s="23">
        <v>900</v>
      </c>
      <c r="S5" s="23">
        <v>300</v>
      </c>
      <c r="T5" s="24">
        <f t="shared" ref="T5:T36" si="3">IF(OR($R5="",$S5="",$S5=0),"",ROUND($R5/$S5,2))</f>
        <v>3</v>
      </c>
    </row>
    <row r="6" spans="1:21" ht="15.75" customHeight="1" x14ac:dyDescent="0.15">
      <c r="A6" s="2" t="str">
        <f>IF($B6="","",COUNTA($B$5:$B6))</f>
        <v/>
      </c>
      <c r="B6" s="3"/>
      <c r="C6" s="4" t="str">
        <f>IF($B6="","",IFERROR(VLOOKUP($B6,'قاموس الترجمة'!$A$2:$B$979,2,0),""))</f>
        <v/>
      </c>
      <c r="D6" s="3" t="s">
        <v>12</v>
      </c>
      <c r="E6" s="5" t="s">
        <v>14</v>
      </c>
      <c r="F6" s="6" t="str">
        <f>IF($B6="","",IF($K6&lt;&gt;"",$K6,IF($H6="","— اختر النوع —",IF(AND($H6&lt;&gt;"FIN",$I6=""),"— اختر الحالة —",$H6&amp;"-"&amp;$I6&amp;"-"&amp;TEXT(SUMPRODUCT(MAX(($H$157:$H$590=$H6)*($I$157:$I$590=$I6)*$J$157:$J$590))+SUMPRODUCT(($H$5:$H6=$H6)*($I$5:$I6=$I6)*($L$5:$L6=1)),"000")))))</f>
        <v/>
      </c>
      <c r="G6" s="5" t="s">
        <v>15</v>
      </c>
      <c r="H6" t="str">
        <f>IFERROR(VLOOKUP($D6,القوائم!$A$2:$B$4,2,0),"")</f>
        <v>RAW</v>
      </c>
      <c r="I6" t="str">
        <f t="shared" si="0"/>
        <v>CNS</v>
      </c>
      <c r="K6" t="str">
        <f t="shared" si="1"/>
        <v/>
      </c>
      <c r="L6" t="str">
        <f t="shared" si="2"/>
        <v/>
      </c>
      <c r="M6">
        <f>IF($I6="","",COUNTIF($I$5:$I6,$I6))</f>
        <v>1</v>
      </c>
      <c r="R6" s="23"/>
      <c r="S6" s="23"/>
      <c r="T6" s="24" t="str">
        <f t="shared" si="3"/>
        <v/>
      </c>
    </row>
    <row r="7" spans="1:21" ht="15.75" customHeight="1" x14ac:dyDescent="0.15">
      <c r="A7" s="2">
        <f>IF($B7="","",COUNTA($B$5:$B7))</f>
        <v>1</v>
      </c>
      <c r="B7" s="3" t="s">
        <v>652</v>
      </c>
      <c r="C7" s="4" t="str">
        <f>IF($B7="","",IFERROR(VLOOKUP($B7,'قاموس الترجمة'!$A$2:$B$979,2,0),""))</f>
        <v>Flour Double Zero</v>
      </c>
      <c r="D7" s="3" t="s">
        <v>12</v>
      </c>
      <c r="E7" s="5" t="s">
        <v>265</v>
      </c>
      <c r="F7" s="6" t="str">
        <f>IF($B7="","",IF($K7&lt;&gt;"",$K7,IF($H7="","— اختر النوع —",IF(AND($H7&lt;&gt;"FIN",$I7=""),"— اختر الحالة —",$H7&amp;"-"&amp;$I7&amp;"-"&amp;TEXT(SUMPRODUCT(MAX(($H$157:$H$590=$H7)*($I$157:$I$590=$I7)*$J$157:$J$590))+SUMPRODUCT(($H$5:$H7=$H7)*($I$5:$I7=$I7)*($L$5:$L7=1)),"000")))))</f>
        <v>RAW-DRY-082</v>
      </c>
      <c r="G7" s="5" t="s">
        <v>15</v>
      </c>
      <c r="H7" t="str">
        <f>IFERROR(VLOOKUP($D7,القوائم!$A$2:$B$4,2,0),"")</f>
        <v>RAW</v>
      </c>
      <c r="I7" t="str">
        <f t="shared" si="0"/>
        <v>DRY</v>
      </c>
      <c r="K7" t="str">
        <f t="shared" si="1"/>
        <v>RAW-DRY-082</v>
      </c>
      <c r="L7">
        <f t="shared" si="2"/>
        <v>0</v>
      </c>
      <c r="M7">
        <f>IF($I7="","",COUNTIF($I$5:$I7,$I7))</f>
        <v>1</v>
      </c>
      <c r="R7" s="29">
        <v>60</v>
      </c>
      <c r="S7" s="23">
        <v>100</v>
      </c>
      <c r="T7" s="24">
        <f t="shared" si="3"/>
        <v>0.6</v>
      </c>
      <c r="U7">
        <v>25</v>
      </c>
    </row>
    <row r="8" spans="1:21" ht="15.75" customHeight="1" x14ac:dyDescent="0.15">
      <c r="A8" s="2" t="str">
        <f>IF($B8="","",COUNTA($B$5:$B8))</f>
        <v/>
      </c>
      <c r="B8" s="3"/>
      <c r="C8" s="4" t="str">
        <f>IF($B8="","",IFERROR(VLOOKUP($B8,'قاموس الترجمة'!$A$2:$B$979,2,0),""))</f>
        <v/>
      </c>
      <c r="D8" s="3"/>
      <c r="E8" s="5" t="str">
        <f t="shared" ref="E8:E38" si="4">IF($D8="منتج نهائي","جاهز للبيع","")</f>
        <v/>
      </c>
      <c r="F8" s="6" t="str">
        <f>IF($B8="","",IF($K8&lt;&gt;"",$K8,IF($H8="","— اختر النوع —",IF(AND($H8&lt;&gt;"FIN",$I8=""),"— اختر الحالة —",$H8&amp;"-"&amp;$I8&amp;"-"&amp;TEXT(SUMPRODUCT(MAX(($H$157:$H$590=$H8)*($I$157:$I$590=$I8)*$J$157:$J$590))+SUMPRODUCT(($H$5:$H8=$H8)*($I$5:$I8=$I8)*($L$5:$L8=1)),"000")))))</f>
        <v/>
      </c>
      <c r="G8" s="5"/>
      <c r="H8" t="str">
        <f>IFERROR(VLOOKUP($D8,القوائم!$A$2:$B$4,2,0),"")</f>
        <v/>
      </c>
      <c r="I8" t="str">
        <f t="shared" si="0"/>
        <v/>
      </c>
      <c r="K8" t="str">
        <f t="shared" si="1"/>
        <v/>
      </c>
      <c r="L8" t="str">
        <f t="shared" si="2"/>
        <v/>
      </c>
      <c r="M8" t="str">
        <f>IF($I8="","",COUNTIF($I$5:$I8,$I8))</f>
        <v/>
      </c>
      <c r="R8" s="23"/>
      <c r="S8" s="23"/>
      <c r="T8" s="24" t="str">
        <f t="shared" si="3"/>
        <v/>
      </c>
    </row>
    <row r="9" spans="1:21" ht="15.75" customHeight="1" x14ac:dyDescent="0.15">
      <c r="A9" s="2" t="str">
        <f>IF($B9="","",COUNTA($B$5:$B9))</f>
        <v/>
      </c>
      <c r="B9" s="3"/>
      <c r="C9" s="4" t="str">
        <f>IF($B9="","",IFERROR(VLOOKUP($B9,'قاموس الترجمة'!$A$2:$B$979,2,0),""))</f>
        <v/>
      </c>
      <c r="D9" s="3"/>
      <c r="E9" s="5" t="str">
        <f t="shared" si="4"/>
        <v/>
      </c>
      <c r="F9" s="6" t="str">
        <f>IF($B9="","",IF($K9&lt;&gt;"",$K9,IF($H9="","— اختر النوع —",IF(AND($H9&lt;&gt;"FIN",$I9=""),"— اختر الحالة —",$H9&amp;"-"&amp;$I9&amp;"-"&amp;TEXT(SUMPRODUCT(MAX(($H$157:$H$590=$H9)*($I$157:$I$590=$I9)*$J$157:$J$590))+SUMPRODUCT(($H$5:$H9=$H9)*($I$5:$I9=$I9)*($L$5:$L9=1)),"000")))))</f>
        <v/>
      </c>
      <c r="G9" s="5"/>
      <c r="H9" t="str">
        <f>IFERROR(VLOOKUP($D9,القوائم!$A$2:$B$4,2,0),"")</f>
        <v/>
      </c>
      <c r="I9" t="str">
        <f t="shared" si="0"/>
        <v/>
      </c>
      <c r="K9" t="str">
        <f t="shared" si="1"/>
        <v/>
      </c>
      <c r="L9" t="str">
        <f t="shared" si="2"/>
        <v/>
      </c>
      <c r="M9" t="str">
        <f>IF($I9="","",COUNTIF($I$5:$I9,$I9))</f>
        <v/>
      </c>
      <c r="R9" s="23"/>
      <c r="S9" s="23"/>
      <c r="T9" s="24" t="str">
        <f t="shared" si="3"/>
        <v/>
      </c>
    </row>
    <row r="10" spans="1:21" ht="15.75" customHeight="1" x14ac:dyDescent="0.15">
      <c r="A10" s="2" t="str">
        <f>IF($B10="","",COUNTA($B$5:$B10))</f>
        <v/>
      </c>
      <c r="B10" s="3"/>
      <c r="C10" s="4" t="str">
        <f>IF($B10="","",IFERROR(VLOOKUP($B10,'قاموس الترجمة'!$A$2:$B$979,2,0),""))</f>
        <v/>
      </c>
      <c r="D10" s="3"/>
      <c r="E10" s="5" t="str">
        <f t="shared" si="4"/>
        <v/>
      </c>
      <c r="F10" s="6" t="str">
        <f>IF($B10="","",IF($K10&lt;&gt;"",$K10,IF($H10="","— اختر النوع —",IF(AND($H10&lt;&gt;"FIN",$I10=""),"— اختر الحالة —",$H10&amp;"-"&amp;$I10&amp;"-"&amp;TEXT(SUMPRODUCT(MAX(($H$157:$H$590=$H10)*($I$157:$I$590=$I10)*$J$157:$J$590))+SUMPRODUCT(($H$5:$H10=$H10)*($I$5:$I10=$I10)*($L$5:$L10=1)),"000")))))</f>
        <v/>
      </c>
      <c r="G10" s="5"/>
      <c r="H10" t="str">
        <f>IFERROR(VLOOKUP($D10,القوائم!$A$2:$B$4,2,0),"")</f>
        <v/>
      </c>
      <c r="I10" t="str">
        <f t="shared" si="0"/>
        <v/>
      </c>
      <c r="K10" t="str">
        <f t="shared" si="1"/>
        <v/>
      </c>
      <c r="L10" t="str">
        <f t="shared" si="2"/>
        <v/>
      </c>
      <c r="M10" t="str">
        <f>IF($I10="","",COUNTIF($I$5:$I10,$I10))</f>
        <v/>
      </c>
      <c r="R10" s="23"/>
      <c r="S10" s="23"/>
      <c r="T10" s="24" t="str">
        <f t="shared" si="3"/>
        <v/>
      </c>
    </row>
    <row r="11" spans="1:21" ht="15.75" customHeight="1" x14ac:dyDescent="0.15">
      <c r="A11" s="2" t="str">
        <f>IF($B11="","",COUNTA($B$5:$B11))</f>
        <v/>
      </c>
      <c r="B11" s="3"/>
      <c r="C11" s="4" t="str">
        <f>IF($B11="","",IFERROR(VLOOKUP($B11,'قاموس الترجمة'!$A$2:$B$979,2,0),""))</f>
        <v/>
      </c>
      <c r="D11" s="3"/>
      <c r="E11" s="5" t="str">
        <f t="shared" si="4"/>
        <v/>
      </c>
      <c r="F11" s="6" t="str">
        <f>IF($B11="","",IF($K11&lt;&gt;"",$K11,IF($H11="","— اختر النوع —",IF(AND($H11&lt;&gt;"FIN",$I11=""),"— اختر الحالة —",$H11&amp;"-"&amp;$I11&amp;"-"&amp;TEXT(SUMPRODUCT(MAX(($H$157:$H$590=$H11)*($I$157:$I$590=$I11)*$J$157:$J$590))+SUMPRODUCT(($H$5:$H11=$H11)*($I$5:$I11=$I11)*($L$5:$L11=1)),"000")))))</f>
        <v/>
      </c>
      <c r="G11" s="5"/>
      <c r="H11" t="str">
        <f>IFERROR(VLOOKUP($D11,القوائم!$A$2:$B$4,2,0),"")</f>
        <v/>
      </c>
      <c r="I11" t="str">
        <f t="shared" si="0"/>
        <v/>
      </c>
      <c r="K11" t="str">
        <f t="shared" si="1"/>
        <v/>
      </c>
      <c r="L11" t="str">
        <f t="shared" si="2"/>
        <v/>
      </c>
      <c r="M11" t="str">
        <f>IF($I11="","",COUNTIF($I$5:$I11,$I11))</f>
        <v/>
      </c>
      <c r="R11" s="23"/>
      <c r="S11" s="23"/>
      <c r="T11" s="24" t="str">
        <f t="shared" si="3"/>
        <v/>
      </c>
    </row>
    <row r="12" spans="1:21" ht="15.75" customHeight="1" x14ac:dyDescent="0.15">
      <c r="A12" s="2" t="str">
        <f>IF($B12="","",COUNTA($B$5:$B12))</f>
        <v/>
      </c>
      <c r="B12" s="3"/>
      <c r="C12" s="4" t="str">
        <f>IF($B12="","",IFERROR(VLOOKUP($B12,'قاموس الترجمة'!$A$2:$B$979,2,0),""))</f>
        <v/>
      </c>
      <c r="D12" s="3"/>
      <c r="E12" s="5" t="str">
        <f t="shared" si="4"/>
        <v/>
      </c>
      <c r="F12" s="6" t="str">
        <f>IF($B12="","",IF($K12&lt;&gt;"",$K12,IF($H12="","— اختر النوع —",IF(AND($H12&lt;&gt;"FIN",$I12=""),"— اختر الحالة —",$H12&amp;"-"&amp;$I12&amp;"-"&amp;TEXT(SUMPRODUCT(MAX(($H$157:$H$590=$H12)*($I$157:$I$590=$I12)*$J$157:$J$590))+SUMPRODUCT(($H$5:$H12=$H12)*($I$5:$I12=$I12)*($L$5:$L12=1)),"000")))))</f>
        <v/>
      </c>
      <c r="G12" s="5"/>
      <c r="H12" t="str">
        <f>IFERROR(VLOOKUP($D12,القوائم!$A$2:$B$4,2,0),"")</f>
        <v/>
      </c>
      <c r="I12" t="str">
        <f t="shared" si="0"/>
        <v/>
      </c>
      <c r="K12" t="str">
        <f t="shared" si="1"/>
        <v/>
      </c>
      <c r="L12" t="str">
        <f t="shared" si="2"/>
        <v/>
      </c>
      <c r="M12" t="str">
        <f>IF($I12="","",COUNTIF($I$5:$I12,$I12))</f>
        <v/>
      </c>
      <c r="R12" s="23"/>
      <c r="S12" s="23"/>
      <c r="T12" s="24" t="str">
        <f t="shared" si="3"/>
        <v/>
      </c>
    </row>
    <row r="13" spans="1:21" ht="15.75" customHeight="1" x14ac:dyDescent="0.15">
      <c r="A13" s="2" t="str">
        <f>IF($B13="","",COUNTA($B$5:$B13))</f>
        <v/>
      </c>
      <c r="B13" s="3"/>
      <c r="C13" s="4" t="str">
        <f>IF($B13="","",IFERROR(VLOOKUP($B13,'قاموس الترجمة'!$A$2:$B$979,2,0),""))</f>
        <v/>
      </c>
      <c r="D13" s="3"/>
      <c r="E13" s="5" t="str">
        <f t="shared" si="4"/>
        <v/>
      </c>
      <c r="F13" s="6" t="str">
        <f>IF($B13="","",IF($K13&lt;&gt;"",$K13,IF($H13="","— اختر النوع —",IF(AND($H13&lt;&gt;"FIN",$I13=""),"— اختر الحالة —",$H13&amp;"-"&amp;$I13&amp;"-"&amp;TEXT(SUMPRODUCT(MAX(($H$157:$H$590=$H13)*($I$157:$I$590=$I13)*$J$157:$J$590))+SUMPRODUCT(($H$5:$H13=$H13)*($I$5:$I13=$I13)*($L$5:$L13=1)),"000")))))</f>
        <v/>
      </c>
      <c r="G13" s="5"/>
      <c r="H13" t="str">
        <f>IFERROR(VLOOKUP($D13,القوائم!$A$2:$B$4,2,0),"")</f>
        <v/>
      </c>
      <c r="I13" t="str">
        <f t="shared" si="0"/>
        <v/>
      </c>
      <c r="K13" t="str">
        <f t="shared" si="1"/>
        <v/>
      </c>
      <c r="L13" t="str">
        <f t="shared" si="2"/>
        <v/>
      </c>
      <c r="M13" t="str">
        <f>IF($I13="","",COUNTIF($I$5:$I13,$I13))</f>
        <v/>
      </c>
      <c r="R13" s="23"/>
      <c r="S13" s="23"/>
      <c r="T13" s="24" t="str">
        <f t="shared" si="3"/>
        <v/>
      </c>
    </row>
    <row r="14" spans="1:21" ht="15.75" customHeight="1" x14ac:dyDescent="0.15">
      <c r="A14" s="2" t="str">
        <f>IF($B14="","",COUNTA($B$5:$B14))</f>
        <v/>
      </c>
      <c r="B14" s="3"/>
      <c r="C14" s="4" t="str">
        <f>IF($B14="","",IFERROR(VLOOKUP($B14,'قاموس الترجمة'!$A$2:$B$979,2,0),""))</f>
        <v/>
      </c>
      <c r="D14" s="3"/>
      <c r="E14" s="5" t="str">
        <f t="shared" si="4"/>
        <v/>
      </c>
      <c r="F14" s="6" t="str">
        <f>IF($B14="","",IF($K14&lt;&gt;"",$K14,IF($H14="","— اختر النوع —",IF(AND($H14&lt;&gt;"FIN",$I14=""),"— اختر الحالة —",$H14&amp;"-"&amp;$I14&amp;"-"&amp;TEXT(SUMPRODUCT(MAX(($H$157:$H$590=$H14)*($I$157:$I$590=$I14)*$J$157:$J$590))+SUMPRODUCT(($H$5:$H14=$H14)*($I$5:$I14=$I14)*($L$5:$L14=1)),"000")))))</f>
        <v/>
      </c>
      <c r="G14" s="5"/>
      <c r="H14" t="str">
        <f>IFERROR(VLOOKUP($D14,القوائم!$A$2:$B$4,2,0),"")</f>
        <v/>
      </c>
      <c r="I14" t="str">
        <f t="shared" si="0"/>
        <v/>
      </c>
      <c r="K14" t="str">
        <f t="shared" si="1"/>
        <v/>
      </c>
      <c r="L14" t="str">
        <f t="shared" si="2"/>
        <v/>
      </c>
      <c r="M14" t="str">
        <f>IF($I14="","",COUNTIF($I$5:$I14,$I14))</f>
        <v/>
      </c>
      <c r="R14" s="23"/>
      <c r="S14" s="23"/>
      <c r="T14" s="24" t="str">
        <f t="shared" si="3"/>
        <v/>
      </c>
    </row>
    <row r="15" spans="1:21" ht="15.75" customHeight="1" x14ac:dyDescent="0.15">
      <c r="A15" s="2" t="str">
        <f>IF($B15="","",COUNTA($B$5:$B15))</f>
        <v/>
      </c>
      <c r="B15" s="3"/>
      <c r="C15" s="4" t="str">
        <f>IF($B15="","",IFERROR(VLOOKUP($B15,'قاموس الترجمة'!$A$2:$B$979,2,0),""))</f>
        <v/>
      </c>
      <c r="D15" s="3"/>
      <c r="E15" s="5" t="str">
        <f t="shared" si="4"/>
        <v/>
      </c>
      <c r="F15" s="6" t="str">
        <f>IF($B15="","",IF($K15&lt;&gt;"",$K15,IF($H15="","— اختر النوع —",IF(AND($H15&lt;&gt;"FIN",$I15=""),"— اختر الحالة —",$H15&amp;"-"&amp;$I15&amp;"-"&amp;TEXT(SUMPRODUCT(MAX(($H$157:$H$590=$H15)*($I$157:$I$590=$I15)*$J$157:$J$590))+SUMPRODUCT(($H$5:$H15=$H15)*($I$5:$I15=$I15)*($L$5:$L15=1)),"000")))))</f>
        <v/>
      </c>
      <c r="G15" s="5"/>
      <c r="H15" t="str">
        <f>IFERROR(VLOOKUP($D15,القوائم!$A$2:$B$4,2,0),"")</f>
        <v/>
      </c>
      <c r="I15" t="str">
        <f t="shared" si="0"/>
        <v/>
      </c>
      <c r="K15" t="str">
        <f t="shared" si="1"/>
        <v/>
      </c>
      <c r="L15" t="str">
        <f t="shared" si="2"/>
        <v/>
      </c>
      <c r="M15" t="str">
        <f>IF($I15="","",COUNTIF($I$5:$I15,$I15))</f>
        <v/>
      </c>
      <c r="R15" s="23"/>
      <c r="S15" s="23"/>
      <c r="T15" s="24" t="str">
        <f t="shared" si="3"/>
        <v/>
      </c>
    </row>
    <row r="16" spans="1:21" ht="15.75" customHeight="1" x14ac:dyDescent="0.15">
      <c r="A16" s="2" t="str">
        <f>IF($B16="","",COUNTA($B$5:$B16))</f>
        <v/>
      </c>
      <c r="B16" s="3"/>
      <c r="C16" s="4" t="str">
        <f>IF($B16="","",IFERROR(VLOOKUP($B16,'قاموس الترجمة'!$A$2:$B$979,2,0),""))</f>
        <v/>
      </c>
      <c r="D16" s="3"/>
      <c r="E16" s="5" t="str">
        <f t="shared" si="4"/>
        <v/>
      </c>
      <c r="F16" s="6" t="str">
        <f>IF($B16="","",IF($K16&lt;&gt;"",$K16,IF($H16="","— اختر النوع —",IF(AND($H16&lt;&gt;"FIN",$I16=""),"— اختر الحالة —",$H16&amp;"-"&amp;$I16&amp;"-"&amp;TEXT(SUMPRODUCT(MAX(($H$157:$H$590=$H16)*($I$157:$I$590=$I16)*$J$157:$J$590))+SUMPRODUCT(($H$5:$H16=$H16)*($I$5:$I16=$I16)*($L$5:$L16=1)),"000")))))</f>
        <v/>
      </c>
      <c r="G16" s="5"/>
      <c r="H16" t="str">
        <f>IFERROR(VLOOKUP($D16,القوائم!$A$2:$B$4,2,0),"")</f>
        <v/>
      </c>
      <c r="I16" t="str">
        <f t="shared" si="0"/>
        <v/>
      </c>
      <c r="K16" t="str">
        <f t="shared" si="1"/>
        <v/>
      </c>
      <c r="L16" t="str">
        <f t="shared" si="2"/>
        <v/>
      </c>
      <c r="M16" t="str">
        <f>IF($I16="","",COUNTIF($I$5:$I16,$I16))</f>
        <v/>
      </c>
      <c r="R16" s="23"/>
      <c r="S16" s="23"/>
      <c r="T16" s="24" t="str">
        <f t="shared" si="3"/>
        <v/>
      </c>
    </row>
    <row r="17" spans="1:20" ht="15.75" customHeight="1" x14ac:dyDescent="0.15">
      <c r="A17" s="2" t="str">
        <f>IF($B17="","",COUNTA($B$5:$B17))</f>
        <v/>
      </c>
      <c r="B17" s="3"/>
      <c r="C17" s="4" t="str">
        <f>IF($B17="","",IFERROR(VLOOKUP($B17,'قاموس الترجمة'!$A$2:$B$979,2,0),""))</f>
        <v/>
      </c>
      <c r="D17" s="3"/>
      <c r="E17" s="5" t="str">
        <f t="shared" si="4"/>
        <v/>
      </c>
      <c r="F17" s="6" t="str">
        <f>IF($B17="","",IF($K17&lt;&gt;"",$K17,IF($H17="","— اختر النوع —",IF(AND($H17&lt;&gt;"FIN",$I17=""),"— اختر الحالة —",$H17&amp;"-"&amp;$I17&amp;"-"&amp;TEXT(SUMPRODUCT(MAX(($H$157:$H$590=$H17)*($I$157:$I$590=$I17)*$J$157:$J$590))+SUMPRODUCT(($H$5:$H17=$H17)*($I$5:$I17=$I17)*($L$5:$L17=1)),"000")))))</f>
        <v/>
      </c>
      <c r="G17" s="5"/>
      <c r="H17" t="str">
        <f>IFERROR(VLOOKUP($D17,القوائم!$A$2:$B$4,2,0),"")</f>
        <v/>
      </c>
      <c r="I17" t="str">
        <f t="shared" si="0"/>
        <v/>
      </c>
      <c r="K17" t="str">
        <f t="shared" si="1"/>
        <v/>
      </c>
      <c r="L17" t="str">
        <f t="shared" si="2"/>
        <v/>
      </c>
      <c r="M17" t="str">
        <f>IF($I17="","",COUNTIF($I$5:$I17,$I17))</f>
        <v/>
      </c>
      <c r="R17" s="23"/>
      <c r="S17" s="23"/>
      <c r="T17" s="24" t="str">
        <f t="shared" si="3"/>
        <v/>
      </c>
    </row>
    <row r="18" spans="1:20" ht="15.75" customHeight="1" x14ac:dyDescent="0.15">
      <c r="A18" s="2" t="str">
        <f>IF($B18="","",COUNTA($B$5:$B18))</f>
        <v/>
      </c>
      <c r="B18" s="3"/>
      <c r="C18" s="4" t="str">
        <f>IF($B18="","",IFERROR(VLOOKUP($B18,'قاموس الترجمة'!$A$2:$B$979,2,0),""))</f>
        <v/>
      </c>
      <c r="D18" s="3"/>
      <c r="E18" s="5" t="str">
        <f t="shared" si="4"/>
        <v/>
      </c>
      <c r="F18" s="6" t="str">
        <f>IF($B18="","",IF($K18&lt;&gt;"",$K18,IF($H18="","— اختر النوع —",IF(AND($H18&lt;&gt;"FIN",$I18=""),"— اختر الحالة —",$H18&amp;"-"&amp;$I18&amp;"-"&amp;TEXT(SUMPRODUCT(MAX(($H$157:$H$590=$H18)*($I$157:$I$590=$I18)*$J$157:$J$590))+SUMPRODUCT(($H$5:$H18=$H18)*($I$5:$I18=$I18)*($L$5:$L18=1)),"000")))))</f>
        <v/>
      </c>
      <c r="G18" s="5"/>
      <c r="H18" t="str">
        <f>IFERROR(VLOOKUP($D18,القوائم!$A$2:$B$4,2,0),"")</f>
        <v/>
      </c>
      <c r="I18" t="str">
        <f t="shared" si="0"/>
        <v/>
      </c>
      <c r="K18" t="str">
        <f t="shared" si="1"/>
        <v/>
      </c>
      <c r="L18" t="str">
        <f t="shared" si="2"/>
        <v/>
      </c>
      <c r="M18" t="str">
        <f>IF($I18="","",COUNTIF($I$5:$I18,$I18))</f>
        <v/>
      </c>
      <c r="R18" s="23"/>
      <c r="S18" s="23"/>
      <c r="T18" s="24" t="str">
        <f t="shared" si="3"/>
        <v/>
      </c>
    </row>
    <row r="19" spans="1:20" ht="15.75" customHeight="1" x14ac:dyDescent="0.15">
      <c r="A19" s="2" t="str">
        <f>IF($B19="","",COUNTA($B$5:$B19))</f>
        <v/>
      </c>
      <c r="B19" s="3"/>
      <c r="C19" s="4" t="str">
        <f>IF($B19="","",IFERROR(VLOOKUP($B19,'قاموس الترجمة'!$A$2:$B$979,2,0),""))</f>
        <v/>
      </c>
      <c r="D19" s="3"/>
      <c r="E19" s="5" t="str">
        <f t="shared" si="4"/>
        <v/>
      </c>
      <c r="F19" s="6" t="str">
        <f>IF($B19="","",IF($K19&lt;&gt;"",$K19,IF($H19="","— اختر النوع —",IF(AND($H19&lt;&gt;"FIN",$I19=""),"— اختر الحالة —",$H19&amp;"-"&amp;$I19&amp;"-"&amp;TEXT(SUMPRODUCT(MAX(($H$157:$H$590=$H19)*($I$157:$I$590=$I19)*$J$157:$J$590))+SUMPRODUCT(($H$5:$H19=$H19)*($I$5:$I19=$I19)*($L$5:$L19=1)),"000")))))</f>
        <v/>
      </c>
      <c r="G19" s="5"/>
      <c r="H19" t="str">
        <f>IFERROR(VLOOKUP($D19,القوائم!$A$2:$B$4,2,0),"")</f>
        <v/>
      </c>
      <c r="I19" t="str">
        <f t="shared" si="0"/>
        <v/>
      </c>
      <c r="K19" t="str">
        <f t="shared" si="1"/>
        <v/>
      </c>
      <c r="L19" t="str">
        <f t="shared" si="2"/>
        <v/>
      </c>
      <c r="M19" t="str">
        <f>IF($I19="","",COUNTIF($I$5:$I19,$I19))</f>
        <v/>
      </c>
      <c r="R19" s="23"/>
      <c r="S19" s="23"/>
      <c r="T19" s="24" t="str">
        <f t="shared" si="3"/>
        <v/>
      </c>
    </row>
    <row r="20" spans="1:20" ht="15.75" customHeight="1" x14ac:dyDescent="0.15">
      <c r="A20" s="2" t="str">
        <f>IF($B20="","",COUNTA($B$5:$B20))</f>
        <v/>
      </c>
      <c r="B20" s="3"/>
      <c r="C20" s="4" t="str">
        <f>IF($B20="","",IFERROR(VLOOKUP($B20,'قاموس الترجمة'!$A$2:$B$979,2,0),""))</f>
        <v/>
      </c>
      <c r="D20" s="3"/>
      <c r="E20" s="5" t="str">
        <f t="shared" si="4"/>
        <v/>
      </c>
      <c r="F20" s="6" t="str">
        <f>IF($B20="","",IF($K20&lt;&gt;"",$K20,IF($H20="","— اختر النوع —",IF(AND($H20&lt;&gt;"FIN",$I20=""),"— اختر الحالة —",$H20&amp;"-"&amp;$I20&amp;"-"&amp;TEXT(SUMPRODUCT(MAX(($H$157:$H$590=$H20)*($I$157:$I$590=$I20)*$J$157:$J$590))+SUMPRODUCT(($H$5:$H20=$H20)*($I$5:$I20=$I20)*($L$5:$L20=1)),"000")))))</f>
        <v/>
      </c>
      <c r="G20" s="5"/>
      <c r="H20" t="str">
        <f>IFERROR(VLOOKUP($D20,القوائم!$A$2:$B$4,2,0),"")</f>
        <v/>
      </c>
      <c r="I20" t="str">
        <f t="shared" si="0"/>
        <v/>
      </c>
      <c r="K20" t="str">
        <f t="shared" si="1"/>
        <v/>
      </c>
      <c r="L20" t="str">
        <f t="shared" si="2"/>
        <v/>
      </c>
      <c r="M20" t="str">
        <f>IF($I20="","",COUNTIF($I$5:$I20,$I20))</f>
        <v/>
      </c>
      <c r="R20" s="23"/>
      <c r="S20" s="23"/>
      <c r="T20" s="24" t="str">
        <f t="shared" si="3"/>
        <v/>
      </c>
    </row>
    <row r="21" spans="1:20" ht="15.75" customHeight="1" x14ac:dyDescent="0.15">
      <c r="A21" s="2" t="str">
        <f>IF($B21="","",COUNTA($B$5:$B21))</f>
        <v/>
      </c>
      <c r="B21" s="3"/>
      <c r="C21" s="4" t="str">
        <f>IF($B21="","",IFERROR(VLOOKUP($B21,'قاموس الترجمة'!$A$2:$B$979,2,0),""))</f>
        <v/>
      </c>
      <c r="D21" s="3"/>
      <c r="E21" s="5" t="str">
        <f t="shared" si="4"/>
        <v/>
      </c>
      <c r="F21" s="6" t="str">
        <f>IF($B21="","",IF($K21&lt;&gt;"",$K21,IF($H21="","— اختر النوع —",IF(AND($H21&lt;&gt;"FIN",$I21=""),"— اختر الحالة —",$H21&amp;"-"&amp;$I21&amp;"-"&amp;TEXT(SUMPRODUCT(MAX(($H$157:$H$590=$H21)*($I$157:$I$590=$I21)*$J$157:$J$590))+SUMPRODUCT(($H$5:$H21=$H21)*($I$5:$I21=$I21)*($L$5:$L21=1)),"000")))))</f>
        <v/>
      </c>
      <c r="G21" s="5"/>
      <c r="H21" t="str">
        <f>IFERROR(VLOOKUP($D21,القوائم!$A$2:$B$4,2,0),"")</f>
        <v/>
      </c>
      <c r="I21" t="str">
        <f t="shared" si="0"/>
        <v/>
      </c>
      <c r="K21" t="str">
        <f t="shared" si="1"/>
        <v/>
      </c>
      <c r="L21" t="str">
        <f t="shared" si="2"/>
        <v/>
      </c>
      <c r="M21" t="str">
        <f>IF($I21="","",COUNTIF($I$5:$I21,$I21))</f>
        <v/>
      </c>
      <c r="R21" s="23"/>
      <c r="S21" s="23"/>
      <c r="T21" s="24" t="str">
        <f t="shared" si="3"/>
        <v/>
      </c>
    </row>
    <row r="22" spans="1:20" ht="15.75" customHeight="1" x14ac:dyDescent="0.15">
      <c r="A22" s="2" t="str">
        <f>IF($B22="","",COUNTA($B$5:$B22))</f>
        <v/>
      </c>
      <c r="B22" s="3"/>
      <c r="C22" s="4" t="str">
        <f>IF($B22="","",IFERROR(VLOOKUP($B22,'قاموس الترجمة'!$A$2:$B$979,2,0),""))</f>
        <v/>
      </c>
      <c r="D22" s="3"/>
      <c r="E22" s="5" t="str">
        <f t="shared" si="4"/>
        <v/>
      </c>
      <c r="F22" s="6" t="str">
        <f>IF($B22="","",IF($K22&lt;&gt;"",$K22,IF($H22="","— اختر النوع —",IF(AND($H22&lt;&gt;"FIN",$I22=""),"— اختر الحالة —",$H22&amp;"-"&amp;$I22&amp;"-"&amp;TEXT(SUMPRODUCT(MAX(($H$157:$H$590=$H22)*($I$157:$I$590=$I22)*$J$157:$J$590))+SUMPRODUCT(($H$5:$H22=$H22)*($I$5:$I22=$I22)*($L$5:$L22=1)),"000")))))</f>
        <v/>
      </c>
      <c r="G22" s="5"/>
      <c r="H22" t="str">
        <f>IFERROR(VLOOKUP($D22,القوائم!$A$2:$B$4,2,0),"")</f>
        <v/>
      </c>
      <c r="I22" t="str">
        <f t="shared" si="0"/>
        <v/>
      </c>
      <c r="K22" t="str">
        <f t="shared" si="1"/>
        <v/>
      </c>
      <c r="L22" t="str">
        <f t="shared" si="2"/>
        <v/>
      </c>
      <c r="M22" t="str">
        <f>IF($I22="","",COUNTIF($I$5:$I22,$I22))</f>
        <v/>
      </c>
      <c r="R22" s="23"/>
      <c r="S22" s="23"/>
      <c r="T22" s="24" t="str">
        <f t="shared" si="3"/>
        <v/>
      </c>
    </row>
    <row r="23" spans="1:20" ht="15.75" customHeight="1" x14ac:dyDescent="0.15">
      <c r="A23" s="2" t="str">
        <f>IF($B23="","",COUNTA($B$5:$B23))</f>
        <v/>
      </c>
      <c r="B23" s="3"/>
      <c r="C23" s="4" t="str">
        <f>IF($B23="","",IFERROR(VLOOKUP($B23,'قاموس الترجمة'!$A$2:$B$979,2,0),""))</f>
        <v/>
      </c>
      <c r="D23" s="3"/>
      <c r="E23" s="5" t="str">
        <f t="shared" si="4"/>
        <v/>
      </c>
      <c r="F23" s="6" t="str">
        <f>IF($B23="","",IF($K23&lt;&gt;"",$K23,IF($H23="","— اختر النوع —",IF(AND($H23&lt;&gt;"FIN",$I23=""),"— اختر الحالة —",$H23&amp;"-"&amp;$I23&amp;"-"&amp;TEXT(SUMPRODUCT(MAX(($H$157:$H$590=$H23)*($I$157:$I$590=$I23)*$J$157:$J$590))+SUMPRODUCT(($H$5:$H23=$H23)*($I$5:$I23=$I23)*($L$5:$L23=1)),"000")))))</f>
        <v/>
      </c>
      <c r="G23" s="5"/>
      <c r="H23" t="str">
        <f>IFERROR(VLOOKUP($D23,القوائم!$A$2:$B$4,2,0),"")</f>
        <v/>
      </c>
      <c r="I23" t="str">
        <f t="shared" si="0"/>
        <v/>
      </c>
      <c r="K23" t="str">
        <f t="shared" si="1"/>
        <v/>
      </c>
      <c r="L23" t="str">
        <f t="shared" si="2"/>
        <v/>
      </c>
      <c r="M23" t="str">
        <f>IF($I23="","",COUNTIF($I$5:$I23,$I23))</f>
        <v/>
      </c>
      <c r="R23" s="23"/>
      <c r="S23" s="23"/>
      <c r="T23" s="24" t="str">
        <f t="shared" si="3"/>
        <v/>
      </c>
    </row>
    <row r="24" spans="1:20" ht="15.75" customHeight="1" x14ac:dyDescent="0.15">
      <c r="A24" s="2" t="str">
        <f>IF($B24="","",COUNTA($B$5:$B24))</f>
        <v/>
      </c>
      <c r="B24" s="3"/>
      <c r="C24" s="4" t="str">
        <f>IF($B24="","",IFERROR(VLOOKUP($B24,'قاموس الترجمة'!$A$2:$B$979,2,0),""))</f>
        <v/>
      </c>
      <c r="D24" s="3"/>
      <c r="E24" s="5" t="str">
        <f t="shared" si="4"/>
        <v/>
      </c>
      <c r="F24" s="6" t="str">
        <f>IF($B24="","",IF($K24&lt;&gt;"",$K24,IF($H24="","— اختر النوع —",IF(AND($H24&lt;&gt;"FIN",$I24=""),"— اختر الحالة —",$H24&amp;"-"&amp;$I24&amp;"-"&amp;TEXT(SUMPRODUCT(MAX(($H$157:$H$590=$H24)*($I$157:$I$590=$I24)*$J$157:$J$590))+SUMPRODUCT(($H$5:$H24=$H24)*($I$5:$I24=$I24)*($L$5:$L24=1)),"000")))))</f>
        <v/>
      </c>
      <c r="G24" s="5"/>
      <c r="H24" t="str">
        <f>IFERROR(VLOOKUP($D24,القوائم!$A$2:$B$4,2,0),"")</f>
        <v/>
      </c>
      <c r="I24" t="str">
        <f t="shared" si="0"/>
        <v/>
      </c>
      <c r="K24" t="str">
        <f t="shared" si="1"/>
        <v/>
      </c>
      <c r="L24" t="str">
        <f t="shared" si="2"/>
        <v/>
      </c>
      <c r="M24" t="str">
        <f>IF($I24="","",COUNTIF($I$5:$I24,$I24))</f>
        <v/>
      </c>
      <c r="R24" s="23"/>
      <c r="S24" s="23"/>
      <c r="T24" s="24" t="str">
        <f t="shared" si="3"/>
        <v/>
      </c>
    </row>
    <row r="25" spans="1:20" ht="15.75" customHeight="1" x14ac:dyDescent="0.15">
      <c r="A25" s="2" t="str">
        <f>IF($B25="","",COUNTA($B$5:$B25))</f>
        <v/>
      </c>
      <c r="B25" s="3"/>
      <c r="C25" s="4" t="str">
        <f>IF($B25="","",IFERROR(VLOOKUP($B25,'قاموس الترجمة'!$A$2:$B$979,2,0),""))</f>
        <v/>
      </c>
      <c r="D25" s="3"/>
      <c r="E25" s="5" t="str">
        <f t="shared" si="4"/>
        <v/>
      </c>
      <c r="F25" s="6" t="str">
        <f>IF($B25="","",IF($K25&lt;&gt;"",$K25,IF($H25="","— اختر النوع —",IF(AND($H25&lt;&gt;"FIN",$I25=""),"— اختر الحالة —",$H25&amp;"-"&amp;$I25&amp;"-"&amp;TEXT(SUMPRODUCT(MAX(($H$157:$H$590=$H25)*($I$157:$I$590=$I25)*$J$157:$J$590))+SUMPRODUCT(($H$5:$H25=$H25)*($I$5:$I25=$I25)*($L$5:$L25=1)),"000")))))</f>
        <v/>
      </c>
      <c r="G25" s="5"/>
      <c r="H25" t="str">
        <f>IFERROR(VLOOKUP($D25,القوائم!$A$2:$B$4,2,0),"")</f>
        <v/>
      </c>
      <c r="I25" t="str">
        <f t="shared" si="0"/>
        <v/>
      </c>
      <c r="K25" t="str">
        <f t="shared" si="1"/>
        <v/>
      </c>
      <c r="L25" t="str">
        <f t="shared" si="2"/>
        <v/>
      </c>
      <c r="M25" t="str">
        <f>IF($I25="","",COUNTIF($I$5:$I25,$I25))</f>
        <v/>
      </c>
      <c r="R25" s="23"/>
      <c r="S25" s="23"/>
      <c r="T25" s="24" t="str">
        <f t="shared" si="3"/>
        <v/>
      </c>
    </row>
    <row r="26" spans="1:20" ht="15.75" customHeight="1" x14ac:dyDescent="0.15">
      <c r="A26" s="2" t="str">
        <f>IF($B26="","",COUNTA($B$5:$B26))</f>
        <v/>
      </c>
      <c r="B26" s="3"/>
      <c r="C26" s="4" t="str">
        <f>IF($B26="","",IFERROR(VLOOKUP($B26,'قاموس الترجمة'!$A$2:$B$979,2,0),""))</f>
        <v/>
      </c>
      <c r="D26" s="3"/>
      <c r="E26" s="5" t="str">
        <f t="shared" si="4"/>
        <v/>
      </c>
      <c r="F26" s="6" t="str">
        <f>IF($B26="","",IF($K26&lt;&gt;"",$K26,IF($H26="","— اختر النوع —",IF(AND($H26&lt;&gt;"FIN",$I26=""),"— اختر الحالة —",$H26&amp;"-"&amp;$I26&amp;"-"&amp;TEXT(SUMPRODUCT(MAX(($H$157:$H$590=$H26)*($I$157:$I$590=$I26)*$J$157:$J$590))+SUMPRODUCT(($H$5:$H26=$H26)*($I$5:$I26=$I26)*($L$5:$L26=1)),"000")))))</f>
        <v/>
      </c>
      <c r="G26" s="5"/>
      <c r="H26" t="str">
        <f>IFERROR(VLOOKUP($D26,القوائم!$A$2:$B$4,2,0),"")</f>
        <v/>
      </c>
      <c r="I26" t="str">
        <f t="shared" si="0"/>
        <v/>
      </c>
      <c r="K26" t="str">
        <f t="shared" si="1"/>
        <v/>
      </c>
      <c r="L26" t="str">
        <f t="shared" si="2"/>
        <v/>
      </c>
      <c r="M26" t="str">
        <f>IF($I26="","",COUNTIF($I$5:$I26,$I26))</f>
        <v/>
      </c>
      <c r="R26" s="23"/>
      <c r="S26" s="23"/>
      <c r="T26" s="24" t="str">
        <f t="shared" si="3"/>
        <v/>
      </c>
    </row>
    <row r="27" spans="1:20" ht="15.75" customHeight="1" x14ac:dyDescent="0.15">
      <c r="A27" s="2" t="str">
        <f>IF($B27="","",COUNTA($B$5:$B27))</f>
        <v/>
      </c>
      <c r="B27" s="3"/>
      <c r="C27" s="4" t="str">
        <f>IF($B27="","",IFERROR(VLOOKUP($B27,'قاموس الترجمة'!$A$2:$B$979,2,0),""))</f>
        <v/>
      </c>
      <c r="D27" s="3"/>
      <c r="E27" s="5" t="str">
        <f t="shared" si="4"/>
        <v/>
      </c>
      <c r="F27" s="6" t="str">
        <f>IF($B27="","",IF($K27&lt;&gt;"",$K27,IF($H27="","— اختر النوع —",IF(AND($H27&lt;&gt;"FIN",$I27=""),"— اختر الحالة —",$H27&amp;"-"&amp;$I27&amp;"-"&amp;TEXT(SUMPRODUCT(MAX(($H$157:$H$590=$H27)*($I$157:$I$590=$I27)*$J$157:$J$590))+SUMPRODUCT(($H$5:$H27=$H27)*($I$5:$I27=$I27)*($L$5:$L27=1)),"000")))))</f>
        <v/>
      </c>
      <c r="G27" s="5"/>
      <c r="H27" t="str">
        <f>IFERROR(VLOOKUP($D27,القوائم!$A$2:$B$4,2,0),"")</f>
        <v/>
      </c>
      <c r="I27" t="str">
        <f t="shared" si="0"/>
        <v/>
      </c>
      <c r="K27" t="str">
        <f t="shared" si="1"/>
        <v/>
      </c>
      <c r="L27" t="str">
        <f t="shared" si="2"/>
        <v/>
      </c>
      <c r="M27" t="str">
        <f>IF($I27="","",COUNTIF($I$5:$I27,$I27))</f>
        <v/>
      </c>
      <c r="R27" s="23"/>
      <c r="S27" s="23"/>
      <c r="T27" s="24" t="str">
        <f t="shared" si="3"/>
        <v/>
      </c>
    </row>
    <row r="28" spans="1:20" ht="15.75" customHeight="1" x14ac:dyDescent="0.15">
      <c r="A28" s="2" t="str">
        <f>IF($B28="","",COUNTA($B$5:$B28))</f>
        <v/>
      </c>
      <c r="B28" s="3"/>
      <c r="C28" s="4" t="str">
        <f>IF($B28="","",IFERROR(VLOOKUP($B28,'قاموس الترجمة'!$A$2:$B$979,2,0),""))</f>
        <v/>
      </c>
      <c r="D28" s="3"/>
      <c r="E28" s="5" t="str">
        <f t="shared" si="4"/>
        <v/>
      </c>
      <c r="F28" s="6" t="str">
        <f>IF($B28="","",IF($K28&lt;&gt;"",$K28,IF($H28="","— اختر النوع —",IF(AND($H28&lt;&gt;"FIN",$I28=""),"— اختر الحالة —",$H28&amp;"-"&amp;$I28&amp;"-"&amp;TEXT(SUMPRODUCT(MAX(($H$157:$H$590=$H28)*($I$157:$I$590=$I28)*$J$157:$J$590))+SUMPRODUCT(($H$5:$H28=$H28)*($I$5:$I28=$I28)*($L$5:$L28=1)),"000")))))</f>
        <v/>
      </c>
      <c r="G28" s="5"/>
      <c r="H28" t="str">
        <f>IFERROR(VLOOKUP($D28,القوائم!$A$2:$B$4,2,0),"")</f>
        <v/>
      </c>
      <c r="I28" t="str">
        <f t="shared" si="0"/>
        <v/>
      </c>
      <c r="K28" t="str">
        <f t="shared" si="1"/>
        <v/>
      </c>
      <c r="L28" t="str">
        <f t="shared" si="2"/>
        <v/>
      </c>
      <c r="M28" t="str">
        <f>IF($I28="","",COUNTIF($I$5:$I28,$I28))</f>
        <v/>
      </c>
      <c r="R28" s="23"/>
      <c r="S28" s="23"/>
      <c r="T28" s="24" t="str">
        <f t="shared" si="3"/>
        <v/>
      </c>
    </row>
    <row r="29" spans="1:20" ht="15.75" customHeight="1" x14ac:dyDescent="0.15">
      <c r="A29" s="2" t="str">
        <f>IF($B29="","",COUNTA($B$5:$B29))</f>
        <v/>
      </c>
      <c r="B29" s="3"/>
      <c r="C29" s="4" t="str">
        <f>IF($B29="","",IFERROR(VLOOKUP($B29,'قاموس الترجمة'!$A$2:$B$979,2,0),""))</f>
        <v/>
      </c>
      <c r="D29" s="3"/>
      <c r="E29" s="5" t="str">
        <f t="shared" si="4"/>
        <v/>
      </c>
      <c r="F29" s="6" t="str">
        <f>IF($B29="","",IF($K29&lt;&gt;"",$K29,IF($H29="","— اختر النوع —",IF(AND($H29&lt;&gt;"FIN",$I29=""),"— اختر الحالة —",$H29&amp;"-"&amp;$I29&amp;"-"&amp;TEXT(SUMPRODUCT(MAX(($H$157:$H$590=$H29)*($I$157:$I$590=$I29)*$J$157:$J$590))+SUMPRODUCT(($H$5:$H29=$H29)*($I$5:$I29=$I29)*($L$5:$L29=1)),"000")))))</f>
        <v/>
      </c>
      <c r="G29" s="5"/>
      <c r="H29" t="str">
        <f>IFERROR(VLOOKUP($D29,القوائم!$A$2:$B$4,2,0),"")</f>
        <v/>
      </c>
      <c r="I29" t="str">
        <f t="shared" si="0"/>
        <v/>
      </c>
      <c r="K29" t="str">
        <f t="shared" si="1"/>
        <v/>
      </c>
      <c r="L29" t="str">
        <f t="shared" si="2"/>
        <v/>
      </c>
      <c r="M29" t="str">
        <f>IF($I29="","",COUNTIF($I$5:$I29,$I29))</f>
        <v/>
      </c>
      <c r="R29" s="23"/>
      <c r="S29" s="23"/>
      <c r="T29" s="24" t="str">
        <f t="shared" si="3"/>
        <v/>
      </c>
    </row>
    <row r="30" spans="1:20" ht="15.75" customHeight="1" x14ac:dyDescent="0.15">
      <c r="A30" s="2" t="str">
        <f>IF($B30="","",COUNTA($B$5:$B30))</f>
        <v/>
      </c>
      <c r="B30" s="3"/>
      <c r="C30" s="4" t="str">
        <f>IF($B30="","",IFERROR(VLOOKUP($B30,'قاموس الترجمة'!$A$2:$B$979,2,0),""))</f>
        <v/>
      </c>
      <c r="D30" s="3"/>
      <c r="E30" s="5" t="str">
        <f t="shared" si="4"/>
        <v/>
      </c>
      <c r="F30" s="6" t="str">
        <f>IF($B30="","",IF($K30&lt;&gt;"",$K30,IF($H30="","— اختر النوع —",IF(AND($H30&lt;&gt;"FIN",$I30=""),"— اختر الحالة —",$H30&amp;"-"&amp;$I30&amp;"-"&amp;TEXT(SUMPRODUCT(MAX(($H$157:$H$590=$H30)*($I$157:$I$590=$I30)*$J$157:$J$590))+SUMPRODUCT(($H$5:$H30=$H30)*($I$5:$I30=$I30)*($L$5:$L30=1)),"000")))))</f>
        <v/>
      </c>
      <c r="G30" s="5"/>
      <c r="H30" t="str">
        <f>IFERROR(VLOOKUP($D30,القوائم!$A$2:$B$4,2,0),"")</f>
        <v/>
      </c>
      <c r="I30" t="str">
        <f t="shared" si="0"/>
        <v/>
      </c>
      <c r="K30" t="str">
        <f t="shared" si="1"/>
        <v/>
      </c>
      <c r="L30" t="str">
        <f t="shared" si="2"/>
        <v/>
      </c>
      <c r="M30" t="str">
        <f>IF($I30="","",COUNTIF($I$5:$I30,$I30))</f>
        <v/>
      </c>
      <c r="R30" s="23"/>
      <c r="S30" s="23"/>
      <c r="T30" s="24" t="str">
        <f t="shared" si="3"/>
        <v/>
      </c>
    </row>
    <row r="31" spans="1:20" ht="15.75" customHeight="1" x14ac:dyDescent="0.15">
      <c r="A31" s="2" t="str">
        <f>IF($B31="","",COUNTA($B$5:$B31))</f>
        <v/>
      </c>
      <c r="B31" s="3"/>
      <c r="C31" s="4" t="str">
        <f>IF($B31="","",IFERROR(VLOOKUP($B31,'قاموس الترجمة'!$A$2:$B$979,2,0),""))</f>
        <v/>
      </c>
      <c r="D31" s="3"/>
      <c r="E31" s="5" t="str">
        <f t="shared" si="4"/>
        <v/>
      </c>
      <c r="F31" s="6" t="str">
        <f>IF($B31="","",IF($K31&lt;&gt;"",$K31,IF($H31="","— اختر النوع —",IF(AND($H31&lt;&gt;"FIN",$I31=""),"— اختر الحالة —",$H31&amp;"-"&amp;$I31&amp;"-"&amp;TEXT(SUMPRODUCT(MAX(($H$157:$H$590=$H31)*($I$157:$I$590=$I31)*$J$157:$J$590))+SUMPRODUCT(($H$5:$H31=$H31)*($I$5:$I31=$I31)*($L$5:$L31=1)),"000")))))</f>
        <v/>
      </c>
      <c r="G31" s="5"/>
      <c r="H31" t="str">
        <f>IFERROR(VLOOKUP($D31,القوائم!$A$2:$B$4,2,0),"")</f>
        <v/>
      </c>
      <c r="I31" t="str">
        <f t="shared" si="0"/>
        <v/>
      </c>
      <c r="K31" t="str">
        <f t="shared" si="1"/>
        <v/>
      </c>
      <c r="L31" t="str">
        <f t="shared" si="2"/>
        <v/>
      </c>
      <c r="M31" t="str">
        <f>IF($I31="","",COUNTIF($I$5:$I31,$I31))</f>
        <v/>
      </c>
      <c r="R31" s="23"/>
      <c r="S31" s="23"/>
      <c r="T31" s="24" t="str">
        <f t="shared" si="3"/>
        <v/>
      </c>
    </row>
    <row r="32" spans="1:20" ht="15.75" customHeight="1" x14ac:dyDescent="0.15">
      <c r="A32" s="2" t="str">
        <f>IF($B32="","",COUNTA($B$5:$B32))</f>
        <v/>
      </c>
      <c r="B32" s="3"/>
      <c r="C32" s="4" t="str">
        <f>IF($B32="","",IFERROR(VLOOKUP($B32,'قاموس الترجمة'!$A$2:$B$979,2,0),""))</f>
        <v/>
      </c>
      <c r="D32" s="3"/>
      <c r="E32" s="5" t="str">
        <f t="shared" si="4"/>
        <v/>
      </c>
      <c r="F32" s="6" t="str">
        <f>IF($B32="","",IF($K32&lt;&gt;"",$K32,IF($H32="","— اختر النوع —",IF(AND($H32&lt;&gt;"FIN",$I32=""),"— اختر الحالة —",$H32&amp;"-"&amp;$I32&amp;"-"&amp;TEXT(SUMPRODUCT(MAX(($H$157:$H$590=$H32)*($I$157:$I$590=$I32)*$J$157:$J$590))+SUMPRODUCT(($H$5:$H32=$H32)*($I$5:$I32=$I32)*($L$5:$L32=1)),"000")))))</f>
        <v/>
      </c>
      <c r="G32" s="5"/>
      <c r="H32" t="str">
        <f>IFERROR(VLOOKUP($D32,القوائم!$A$2:$B$4,2,0),"")</f>
        <v/>
      </c>
      <c r="I32" t="str">
        <f t="shared" si="0"/>
        <v/>
      </c>
      <c r="K32" t="str">
        <f t="shared" si="1"/>
        <v/>
      </c>
      <c r="L32" t="str">
        <f t="shared" si="2"/>
        <v/>
      </c>
      <c r="M32" t="str">
        <f>IF($I32="","",COUNTIF($I$5:$I32,$I32))</f>
        <v/>
      </c>
      <c r="R32" s="23"/>
      <c r="S32" s="23"/>
      <c r="T32" s="24" t="str">
        <f t="shared" si="3"/>
        <v/>
      </c>
    </row>
    <row r="33" spans="1:20" ht="15.75" customHeight="1" x14ac:dyDescent="0.15">
      <c r="A33" s="2" t="str">
        <f>IF($B33="","",COUNTA($B$5:$B33))</f>
        <v/>
      </c>
      <c r="B33" s="3"/>
      <c r="C33" s="4" t="str">
        <f>IF($B33="","",IFERROR(VLOOKUP($B33,'قاموس الترجمة'!$A$2:$B$979,2,0),""))</f>
        <v/>
      </c>
      <c r="D33" s="3"/>
      <c r="E33" s="5" t="str">
        <f t="shared" si="4"/>
        <v/>
      </c>
      <c r="F33" s="6" t="str">
        <f>IF($B33="","",IF($K33&lt;&gt;"",$K33,IF($H33="","— اختر النوع —",IF(AND($H33&lt;&gt;"FIN",$I33=""),"— اختر الحالة —",$H33&amp;"-"&amp;$I33&amp;"-"&amp;TEXT(SUMPRODUCT(MAX(($H$157:$H$590=$H33)*($I$157:$I$590=$I33)*$J$157:$J$590))+SUMPRODUCT(($H$5:$H33=$H33)*($I$5:$I33=$I33)*($L$5:$L33=1)),"000")))))</f>
        <v/>
      </c>
      <c r="G33" s="5"/>
      <c r="H33" t="str">
        <f>IFERROR(VLOOKUP($D33,القوائم!$A$2:$B$4,2,0),"")</f>
        <v/>
      </c>
      <c r="I33" t="str">
        <f t="shared" si="0"/>
        <v/>
      </c>
      <c r="K33" t="str">
        <f t="shared" si="1"/>
        <v/>
      </c>
      <c r="L33" t="str">
        <f t="shared" si="2"/>
        <v/>
      </c>
      <c r="M33" t="str">
        <f>IF($I33="","",COUNTIF($I$5:$I33,$I33))</f>
        <v/>
      </c>
      <c r="R33" s="23"/>
      <c r="S33" s="23"/>
      <c r="T33" s="24" t="str">
        <f t="shared" si="3"/>
        <v/>
      </c>
    </row>
    <row r="34" spans="1:20" ht="15.75" customHeight="1" x14ac:dyDescent="0.15">
      <c r="A34" s="2" t="str">
        <f>IF($B34="","",COUNTA($B$5:$B34))</f>
        <v/>
      </c>
      <c r="B34" s="3"/>
      <c r="C34" s="4" t="str">
        <f>IF($B34="","",IFERROR(VLOOKUP($B34,'قاموس الترجمة'!$A$2:$B$979,2,0),""))</f>
        <v/>
      </c>
      <c r="D34" s="3"/>
      <c r="E34" s="5" t="str">
        <f t="shared" si="4"/>
        <v/>
      </c>
      <c r="F34" s="6" t="str">
        <f>IF($B34="","",IF($K34&lt;&gt;"",$K34,IF($H34="","— اختر النوع —",IF(AND($H34&lt;&gt;"FIN",$I34=""),"— اختر الحالة —",$H34&amp;"-"&amp;$I34&amp;"-"&amp;TEXT(SUMPRODUCT(MAX(($H$157:$H$590=$H34)*($I$157:$I$590=$I34)*$J$157:$J$590))+SUMPRODUCT(($H$5:$H34=$H34)*($I$5:$I34=$I34)*($L$5:$L34=1)),"000")))))</f>
        <v/>
      </c>
      <c r="G34" s="5"/>
      <c r="H34" t="str">
        <f>IFERROR(VLOOKUP($D34,القوائم!$A$2:$B$4,2,0),"")</f>
        <v/>
      </c>
      <c r="I34" t="str">
        <f t="shared" si="0"/>
        <v/>
      </c>
      <c r="K34" t="str">
        <f t="shared" si="1"/>
        <v/>
      </c>
      <c r="L34" t="str">
        <f t="shared" si="2"/>
        <v/>
      </c>
      <c r="M34" t="str">
        <f>IF($I34="","",COUNTIF($I$5:$I34,$I34))</f>
        <v/>
      </c>
      <c r="R34" s="23"/>
      <c r="S34" s="23"/>
      <c r="T34" s="24" t="str">
        <f t="shared" si="3"/>
        <v/>
      </c>
    </row>
    <row r="35" spans="1:20" ht="15.75" customHeight="1" x14ac:dyDescent="0.15">
      <c r="A35" s="2" t="str">
        <f>IF($B35="","",COUNTA($B$5:$B35))</f>
        <v/>
      </c>
      <c r="B35" s="3"/>
      <c r="C35" s="4" t="str">
        <f>IF($B35="","",IFERROR(VLOOKUP($B35,'قاموس الترجمة'!$A$2:$B$979,2,0),""))</f>
        <v/>
      </c>
      <c r="D35" s="3"/>
      <c r="E35" s="5" t="str">
        <f t="shared" si="4"/>
        <v/>
      </c>
      <c r="F35" s="6" t="str">
        <f>IF($B35="","",IF($K35&lt;&gt;"",$K35,IF($H35="","— اختر النوع —",IF(AND($H35&lt;&gt;"FIN",$I35=""),"— اختر الحالة —",$H35&amp;"-"&amp;$I35&amp;"-"&amp;TEXT(SUMPRODUCT(MAX(($H$157:$H$590=$H35)*($I$157:$I$590=$I35)*$J$157:$J$590))+SUMPRODUCT(($H$5:$H35=$H35)*($I$5:$I35=$I35)*($L$5:$L35=1)),"000")))))</f>
        <v/>
      </c>
      <c r="G35" s="5"/>
      <c r="H35" t="str">
        <f>IFERROR(VLOOKUP($D35,القوائم!$A$2:$B$4,2,0),"")</f>
        <v/>
      </c>
      <c r="I35" t="str">
        <f t="shared" si="0"/>
        <v/>
      </c>
      <c r="K35" t="str">
        <f t="shared" si="1"/>
        <v/>
      </c>
      <c r="L35" t="str">
        <f t="shared" si="2"/>
        <v/>
      </c>
      <c r="M35" t="str">
        <f>IF($I35="","",COUNTIF($I$5:$I35,$I35))</f>
        <v/>
      </c>
      <c r="R35" s="23"/>
      <c r="S35" s="23"/>
      <c r="T35" s="24" t="str">
        <f t="shared" si="3"/>
        <v/>
      </c>
    </row>
    <row r="36" spans="1:20" ht="15.75" customHeight="1" x14ac:dyDescent="0.15">
      <c r="A36" s="2" t="str">
        <f>IF($B36="","",COUNTA($B$5:$B36))</f>
        <v/>
      </c>
      <c r="B36" s="3"/>
      <c r="C36" s="4" t="str">
        <f>IF($B36="","",IFERROR(VLOOKUP($B36,'قاموس الترجمة'!$A$2:$B$979,2,0),""))</f>
        <v/>
      </c>
      <c r="D36" s="3"/>
      <c r="E36" s="5" t="str">
        <f t="shared" si="4"/>
        <v/>
      </c>
      <c r="F36" s="6" t="str">
        <f>IF($B36="","",IF($K36&lt;&gt;"",$K36,IF($H36="","— اختر النوع —",IF(AND($H36&lt;&gt;"FIN",$I36=""),"— اختر الحالة —",$H36&amp;"-"&amp;$I36&amp;"-"&amp;TEXT(SUMPRODUCT(MAX(($H$157:$H$590=$H36)*($I$157:$I$590=$I36)*$J$157:$J$590))+SUMPRODUCT(($H$5:$H36=$H36)*($I$5:$I36=$I36)*($L$5:$L36=1)),"000")))))</f>
        <v/>
      </c>
      <c r="G36" s="5"/>
      <c r="H36" t="str">
        <f>IFERROR(VLOOKUP($D36,القوائم!$A$2:$B$4,2,0),"")</f>
        <v/>
      </c>
      <c r="I36" t="str">
        <f t="shared" si="0"/>
        <v/>
      </c>
      <c r="K36" t="str">
        <f t="shared" si="1"/>
        <v/>
      </c>
      <c r="L36" t="str">
        <f t="shared" si="2"/>
        <v/>
      </c>
      <c r="M36" t="str">
        <f>IF($I36="","",COUNTIF($I$5:$I36,$I36))</f>
        <v/>
      </c>
      <c r="R36" s="23"/>
      <c r="S36" s="23"/>
      <c r="T36" s="24" t="str">
        <f t="shared" si="3"/>
        <v/>
      </c>
    </row>
    <row r="37" spans="1:20" ht="15.75" customHeight="1" x14ac:dyDescent="0.15">
      <c r="A37" s="2" t="str">
        <f>IF($B37="","",COUNTA($B$5:$B37))</f>
        <v/>
      </c>
      <c r="B37" s="3"/>
      <c r="C37" s="4" t="str">
        <f>IF($B37="","",IFERROR(VLOOKUP($B37,'قاموس الترجمة'!$A$2:$B$979,2,0),""))</f>
        <v/>
      </c>
      <c r="D37" s="3"/>
      <c r="E37" s="5" t="str">
        <f t="shared" si="4"/>
        <v/>
      </c>
      <c r="F37" s="6" t="str">
        <f>IF($B37="","",IF($K37&lt;&gt;"",$K37,IF($H37="","— اختر النوع —",IF(AND($H37&lt;&gt;"FIN",$I37=""),"— اختر الحالة —",$H37&amp;"-"&amp;$I37&amp;"-"&amp;TEXT(SUMPRODUCT(MAX(($H$157:$H$590=$H37)*($I$157:$I$590=$I37)*$J$157:$J$590))+SUMPRODUCT(($H$5:$H37=$H37)*($I$5:$I37=$I37)*($L$5:$L37=1)),"000")))))</f>
        <v/>
      </c>
      <c r="G37" s="5"/>
      <c r="H37" t="str">
        <f>IFERROR(VLOOKUP($D37,القوائم!$A$2:$B$4,2,0),"")</f>
        <v/>
      </c>
      <c r="I37" t="str">
        <f t="shared" ref="I37:I68" si="5">IF($H37="FIN","RTS",IF(ISNUMBER(SEARCH("مجمد",$E37)),"FRZ",IF(ISNUMBER(SEARCH("مبرد",$E37)),"CHL",IF(ISNUMBER(SEARCH("جاف",$E37)),"DRY",IF(ISNUMBER(SEARCH("استهلاك",$E37)),"CNS",IF(ISNUMBER(SEARCH("بيع",$E37)),"RTS",""))))))</f>
        <v/>
      </c>
      <c r="K37" t="str">
        <f t="shared" ref="K37:K68" si="6">IF($B37="","",IFERROR(INDEX($F$157:$F$590,MATCH($B37,$B$157:$B$590,0)),""))</f>
        <v/>
      </c>
      <c r="L37" t="str">
        <f t="shared" ref="L37:L68" si="7">IF($B37="","",IF($K37="",1,0))</f>
        <v/>
      </c>
      <c r="M37" t="str">
        <f>IF($I37="","",COUNTIF($I$5:$I37,$I37))</f>
        <v/>
      </c>
      <c r="R37" s="23"/>
      <c r="S37" s="23"/>
      <c r="T37" s="24" t="str">
        <f t="shared" ref="T37:T68" si="8">IF(OR($R37="",$S37="",$S37=0),"",ROUND($R37/$S37,2))</f>
        <v/>
      </c>
    </row>
    <row r="38" spans="1:20" ht="15.75" customHeight="1" x14ac:dyDescent="0.15">
      <c r="A38" s="2" t="str">
        <f>IF($B38="","",COUNTA($B$5:$B38))</f>
        <v/>
      </c>
      <c r="B38" s="3"/>
      <c r="C38" s="4" t="str">
        <f>IF($B38="","",IFERROR(VLOOKUP($B38,'قاموس الترجمة'!$A$2:$B$979,2,0),""))</f>
        <v/>
      </c>
      <c r="D38" s="3"/>
      <c r="E38" s="5" t="str">
        <f t="shared" si="4"/>
        <v/>
      </c>
      <c r="F38" s="6" t="str">
        <f>IF($B38="","",IF($K38&lt;&gt;"",$K38,IF($H38="","— اختر النوع —",IF(AND($H38&lt;&gt;"FIN",$I38=""),"— اختر الحالة —",$H38&amp;"-"&amp;$I38&amp;"-"&amp;TEXT(SUMPRODUCT(MAX(($H$157:$H$590=$H38)*($I$157:$I$590=$I38)*$J$157:$J$590))+SUMPRODUCT(($H$5:$H38=$H38)*($I$5:$I38=$I38)*($L$5:$L38=1)),"000")))))</f>
        <v/>
      </c>
      <c r="G38" s="5"/>
      <c r="H38" t="str">
        <f>IFERROR(VLOOKUP($D38,القوائم!$A$2:$B$4,2,0),"")</f>
        <v/>
      </c>
      <c r="I38" t="str">
        <f t="shared" si="5"/>
        <v/>
      </c>
      <c r="K38" t="str">
        <f t="shared" si="6"/>
        <v/>
      </c>
      <c r="L38" t="str">
        <f t="shared" si="7"/>
        <v/>
      </c>
      <c r="M38" t="str">
        <f>IF($I38="","",COUNTIF($I$5:$I38,$I38))</f>
        <v/>
      </c>
      <c r="R38" s="23"/>
      <c r="S38" s="23"/>
      <c r="T38" s="24" t="str">
        <f t="shared" si="8"/>
        <v/>
      </c>
    </row>
    <row r="39" spans="1:20" ht="15.75" customHeight="1" x14ac:dyDescent="0.15">
      <c r="A39" s="2" t="str">
        <f>IF($B39="","",COUNTA($B$5:$B39))</f>
        <v/>
      </c>
      <c r="B39" s="3"/>
      <c r="C39" s="4" t="str">
        <f>IF($B39="","",IFERROR(VLOOKUP($B39,'قاموس الترجمة'!$A$2:$B$979,2,0),""))</f>
        <v/>
      </c>
      <c r="D39" s="3"/>
      <c r="E39" s="5" t="str">
        <f t="shared" ref="E39:E70" si="9">IF($D39="منتج نهائي","جاهز للبيع","")</f>
        <v/>
      </c>
      <c r="F39" s="6" t="str">
        <f>IF($B39="","",IF($K39&lt;&gt;"",$K39,IF($H39="","— اختر النوع —",IF(AND($H39&lt;&gt;"FIN",$I39=""),"— اختر الحالة —",$H39&amp;"-"&amp;$I39&amp;"-"&amp;TEXT(SUMPRODUCT(MAX(($H$157:$H$590=$H39)*($I$157:$I$590=$I39)*$J$157:$J$590))+SUMPRODUCT(($H$5:$H39=$H39)*($I$5:$I39=$I39)*($L$5:$L39=1)),"000")))))</f>
        <v/>
      </c>
      <c r="G39" s="5"/>
      <c r="H39" t="str">
        <f>IFERROR(VLOOKUP($D39,القوائم!$A$2:$B$4,2,0),"")</f>
        <v/>
      </c>
      <c r="I39" t="str">
        <f t="shared" si="5"/>
        <v/>
      </c>
      <c r="K39" t="str">
        <f t="shared" si="6"/>
        <v/>
      </c>
      <c r="L39" t="str">
        <f t="shared" si="7"/>
        <v/>
      </c>
      <c r="M39" t="str">
        <f>IF($I39="","",COUNTIF($I$5:$I39,$I39))</f>
        <v/>
      </c>
      <c r="R39" s="23"/>
      <c r="S39" s="23"/>
      <c r="T39" s="24" t="str">
        <f t="shared" si="8"/>
        <v/>
      </c>
    </row>
    <row r="40" spans="1:20" ht="15.75" customHeight="1" x14ac:dyDescent="0.15">
      <c r="A40" s="2" t="str">
        <f>IF($B40="","",COUNTA($B$5:$B40))</f>
        <v/>
      </c>
      <c r="B40" s="3"/>
      <c r="C40" s="4" t="str">
        <f>IF($B40="","",IFERROR(VLOOKUP($B40,'قاموس الترجمة'!$A$2:$B$979,2,0),""))</f>
        <v/>
      </c>
      <c r="D40" s="3"/>
      <c r="E40" s="5" t="str">
        <f t="shared" si="9"/>
        <v/>
      </c>
      <c r="F40" s="6" t="str">
        <f>IF($B40="","",IF($K40&lt;&gt;"",$K40,IF($H40="","— اختر النوع —",IF(AND($H40&lt;&gt;"FIN",$I40=""),"— اختر الحالة —",$H40&amp;"-"&amp;$I40&amp;"-"&amp;TEXT(SUMPRODUCT(MAX(($H$157:$H$590=$H40)*($I$157:$I$590=$I40)*$J$157:$J$590))+SUMPRODUCT(($H$5:$H40=$H40)*($I$5:$I40=$I40)*($L$5:$L40=1)),"000")))))</f>
        <v/>
      </c>
      <c r="G40" s="5"/>
      <c r="H40" t="str">
        <f>IFERROR(VLOOKUP($D40,القوائم!$A$2:$B$4,2,0),"")</f>
        <v/>
      </c>
      <c r="I40" t="str">
        <f t="shared" si="5"/>
        <v/>
      </c>
      <c r="K40" t="str">
        <f t="shared" si="6"/>
        <v/>
      </c>
      <c r="L40" t="str">
        <f t="shared" si="7"/>
        <v/>
      </c>
      <c r="M40" t="str">
        <f>IF($I40="","",COUNTIF($I$5:$I40,$I40))</f>
        <v/>
      </c>
      <c r="R40" s="23"/>
      <c r="S40" s="23"/>
      <c r="T40" s="24" t="str">
        <f t="shared" si="8"/>
        <v/>
      </c>
    </row>
    <row r="41" spans="1:20" ht="15.75" customHeight="1" x14ac:dyDescent="0.15">
      <c r="A41" s="2" t="str">
        <f>IF($B41="","",COUNTA($B$5:$B41))</f>
        <v/>
      </c>
      <c r="B41" s="3"/>
      <c r="C41" s="4" t="str">
        <f>IF($B41="","",IFERROR(VLOOKUP($B41,'قاموس الترجمة'!$A$2:$B$979,2,0),""))</f>
        <v/>
      </c>
      <c r="D41" s="3"/>
      <c r="E41" s="5" t="str">
        <f t="shared" si="9"/>
        <v/>
      </c>
      <c r="F41" s="6" t="str">
        <f>IF($B41="","",IF($K41&lt;&gt;"",$K41,IF($H41="","— اختر النوع —",IF(AND($H41&lt;&gt;"FIN",$I41=""),"— اختر الحالة —",$H41&amp;"-"&amp;$I41&amp;"-"&amp;TEXT(SUMPRODUCT(MAX(($H$157:$H$590=$H41)*($I$157:$I$590=$I41)*$J$157:$J$590))+SUMPRODUCT(($H$5:$H41=$H41)*($I$5:$I41=$I41)*($L$5:$L41=1)),"000")))))</f>
        <v/>
      </c>
      <c r="G41" s="5"/>
      <c r="H41" t="str">
        <f>IFERROR(VLOOKUP($D41,القوائم!$A$2:$B$4,2,0),"")</f>
        <v/>
      </c>
      <c r="I41" t="str">
        <f t="shared" si="5"/>
        <v/>
      </c>
      <c r="K41" t="str">
        <f t="shared" si="6"/>
        <v/>
      </c>
      <c r="L41" t="str">
        <f t="shared" si="7"/>
        <v/>
      </c>
      <c r="M41" t="str">
        <f>IF($I41="","",COUNTIF($I$5:$I41,$I41))</f>
        <v/>
      </c>
      <c r="R41" s="23"/>
      <c r="S41" s="23"/>
      <c r="T41" s="24" t="str">
        <f t="shared" si="8"/>
        <v/>
      </c>
    </row>
    <row r="42" spans="1:20" ht="15.75" customHeight="1" x14ac:dyDescent="0.15">
      <c r="A42" s="2" t="str">
        <f>IF($B42="","",COUNTA($B$5:$B42))</f>
        <v/>
      </c>
      <c r="B42" s="3"/>
      <c r="C42" s="4" t="str">
        <f>IF($B42="","",IFERROR(VLOOKUP($B42,'قاموس الترجمة'!$A$2:$B$979,2,0),""))</f>
        <v/>
      </c>
      <c r="D42" s="3"/>
      <c r="E42" s="5" t="str">
        <f t="shared" si="9"/>
        <v/>
      </c>
      <c r="F42" s="6" t="str">
        <f>IF($B42="","",IF($K42&lt;&gt;"",$K42,IF($H42="","— اختر النوع —",IF(AND($H42&lt;&gt;"FIN",$I42=""),"— اختر الحالة —",$H42&amp;"-"&amp;$I42&amp;"-"&amp;TEXT(SUMPRODUCT(MAX(($H$157:$H$590=$H42)*($I$157:$I$590=$I42)*$J$157:$J$590))+SUMPRODUCT(($H$5:$H42=$H42)*($I$5:$I42=$I42)*($L$5:$L42=1)),"000")))))</f>
        <v/>
      </c>
      <c r="G42" s="5"/>
      <c r="H42" t="str">
        <f>IFERROR(VLOOKUP($D42,القوائم!$A$2:$B$4,2,0),"")</f>
        <v/>
      </c>
      <c r="I42" t="str">
        <f t="shared" si="5"/>
        <v/>
      </c>
      <c r="K42" t="str">
        <f t="shared" si="6"/>
        <v/>
      </c>
      <c r="L42" t="str">
        <f t="shared" si="7"/>
        <v/>
      </c>
      <c r="M42" t="str">
        <f>IF($I42="","",COUNTIF($I$5:$I42,$I42))</f>
        <v/>
      </c>
      <c r="R42" s="23"/>
      <c r="S42" s="23"/>
      <c r="T42" s="24" t="str">
        <f t="shared" si="8"/>
        <v/>
      </c>
    </row>
    <row r="43" spans="1:20" ht="15.75" customHeight="1" x14ac:dyDescent="0.15">
      <c r="A43" s="2" t="str">
        <f>IF($B43="","",COUNTA($B$5:$B43))</f>
        <v/>
      </c>
      <c r="B43" s="3"/>
      <c r="C43" s="4" t="str">
        <f>IF($B43="","",IFERROR(VLOOKUP($B43,'قاموس الترجمة'!$A$2:$B$979,2,0),""))</f>
        <v/>
      </c>
      <c r="D43" s="3"/>
      <c r="E43" s="5" t="str">
        <f t="shared" si="9"/>
        <v/>
      </c>
      <c r="F43" s="6" t="str">
        <f>IF($B43="","",IF($K43&lt;&gt;"",$K43,IF($H43="","— اختر النوع —",IF(AND($H43&lt;&gt;"FIN",$I43=""),"— اختر الحالة —",$H43&amp;"-"&amp;$I43&amp;"-"&amp;TEXT(SUMPRODUCT(MAX(($H$157:$H$590=$H43)*($I$157:$I$590=$I43)*$J$157:$J$590))+SUMPRODUCT(($H$5:$H43=$H43)*($I$5:$I43=$I43)*($L$5:$L43=1)),"000")))))</f>
        <v/>
      </c>
      <c r="G43" s="5"/>
      <c r="H43" t="str">
        <f>IFERROR(VLOOKUP($D43,القوائم!$A$2:$B$4,2,0),"")</f>
        <v/>
      </c>
      <c r="I43" t="str">
        <f t="shared" si="5"/>
        <v/>
      </c>
      <c r="K43" t="str">
        <f t="shared" si="6"/>
        <v/>
      </c>
      <c r="L43" t="str">
        <f t="shared" si="7"/>
        <v/>
      </c>
      <c r="M43" t="str">
        <f>IF($I43="","",COUNTIF($I$5:$I43,$I43))</f>
        <v/>
      </c>
      <c r="R43" s="23"/>
      <c r="S43" s="23"/>
      <c r="T43" s="24" t="str">
        <f t="shared" si="8"/>
        <v/>
      </c>
    </row>
    <row r="44" spans="1:20" ht="15.75" customHeight="1" x14ac:dyDescent="0.15">
      <c r="A44" s="2" t="str">
        <f>IF($B44="","",COUNTA($B$5:$B44))</f>
        <v/>
      </c>
      <c r="B44" s="3"/>
      <c r="C44" s="4" t="str">
        <f>IF($B44="","",IFERROR(VLOOKUP($B44,'قاموس الترجمة'!$A$2:$B$979,2,0),""))</f>
        <v/>
      </c>
      <c r="D44" s="3"/>
      <c r="E44" s="5" t="str">
        <f t="shared" si="9"/>
        <v/>
      </c>
      <c r="F44" s="6" t="str">
        <f>IF($B44="","",IF($K44&lt;&gt;"",$K44,IF($H44="","— اختر النوع —",IF(AND($H44&lt;&gt;"FIN",$I44=""),"— اختر الحالة —",$H44&amp;"-"&amp;$I44&amp;"-"&amp;TEXT(SUMPRODUCT(MAX(($H$157:$H$590=$H44)*($I$157:$I$590=$I44)*$J$157:$J$590))+SUMPRODUCT(($H$5:$H44=$H44)*($I$5:$I44=$I44)*($L$5:$L44=1)),"000")))))</f>
        <v/>
      </c>
      <c r="G44" s="5"/>
      <c r="H44" t="str">
        <f>IFERROR(VLOOKUP($D44,القوائم!$A$2:$B$4,2,0),"")</f>
        <v/>
      </c>
      <c r="I44" t="str">
        <f t="shared" si="5"/>
        <v/>
      </c>
      <c r="K44" t="str">
        <f t="shared" si="6"/>
        <v/>
      </c>
      <c r="L44" t="str">
        <f t="shared" si="7"/>
        <v/>
      </c>
      <c r="M44" t="str">
        <f>IF($I44="","",COUNTIF($I$5:$I44,$I44))</f>
        <v/>
      </c>
      <c r="R44" s="23"/>
      <c r="S44" s="23"/>
      <c r="T44" s="24" t="str">
        <f t="shared" si="8"/>
        <v/>
      </c>
    </row>
    <row r="45" spans="1:20" ht="15.75" customHeight="1" x14ac:dyDescent="0.15">
      <c r="A45" s="2" t="str">
        <f>IF($B45="","",COUNTA($B$5:$B45))</f>
        <v/>
      </c>
      <c r="B45" s="3"/>
      <c r="C45" s="4" t="str">
        <f>IF($B45="","",IFERROR(VLOOKUP($B45,'قاموس الترجمة'!$A$2:$B$979,2,0),""))</f>
        <v/>
      </c>
      <c r="D45" s="3"/>
      <c r="E45" s="5" t="str">
        <f t="shared" si="9"/>
        <v/>
      </c>
      <c r="F45" s="6" t="str">
        <f>IF($B45="","",IF($K45&lt;&gt;"",$K45,IF($H45="","— اختر النوع —",IF(AND($H45&lt;&gt;"FIN",$I45=""),"— اختر الحالة —",$H45&amp;"-"&amp;$I45&amp;"-"&amp;TEXT(SUMPRODUCT(MAX(($H$157:$H$590=$H45)*($I$157:$I$590=$I45)*$J$157:$J$590))+SUMPRODUCT(($H$5:$H45=$H45)*($I$5:$I45=$I45)*($L$5:$L45=1)),"000")))))</f>
        <v/>
      </c>
      <c r="G45" s="5"/>
      <c r="H45" t="str">
        <f>IFERROR(VLOOKUP($D45,القوائم!$A$2:$B$4,2,0),"")</f>
        <v/>
      </c>
      <c r="I45" t="str">
        <f t="shared" si="5"/>
        <v/>
      </c>
      <c r="K45" t="str">
        <f t="shared" si="6"/>
        <v/>
      </c>
      <c r="L45" t="str">
        <f t="shared" si="7"/>
        <v/>
      </c>
      <c r="M45" t="str">
        <f>IF($I45="","",COUNTIF($I$5:$I45,$I45))</f>
        <v/>
      </c>
      <c r="R45" s="23"/>
      <c r="S45" s="23"/>
      <c r="T45" s="24" t="str">
        <f t="shared" si="8"/>
        <v/>
      </c>
    </row>
    <row r="46" spans="1:20" ht="15.75" customHeight="1" x14ac:dyDescent="0.15">
      <c r="A46" s="2" t="str">
        <f>IF($B46="","",COUNTA($B$5:$B46))</f>
        <v/>
      </c>
      <c r="B46" s="3"/>
      <c r="C46" s="4" t="str">
        <f>IF($B46="","",IFERROR(VLOOKUP($B46,'قاموس الترجمة'!$A$2:$B$979,2,0),""))</f>
        <v/>
      </c>
      <c r="D46" s="3"/>
      <c r="E46" s="5" t="str">
        <f t="shared" si="9"/>
        <v/>
      </c>
      <c r="F46" s="6" t="str">
        <f>IF($B46="","",IF($K46&lt;&gt;"",$K46,IF($H46="","— اختر النوع —",IF(AND($H46&lt;&gt;"FIN",$I46=""),"— اختر الحالة —",$H46&amp;"-"&amp;$I46&amp;"-"&amp;TEXT(SUMPRODUCT(MAX(($H$157:$H$590=$H46)*($I$157:$I$590=$I46)*$J$157:$J$590))+SUMPRODUCT(($H$5:$H46=$H46)*($I$5:$I46=$I46)*($L$5:$L46=1)),"000")))))</f>
        <v/>
      </c>
      <c r="G46" s="5"/>
      <c r="H46" t="str">
        <f>IFERROR(VLOOKUP($D46,القوائم!$A$2:$B$4,2,0),"")</f>
        <v/>
      </c>
      <c r="I46" t="str">
        <f t="shared" si="5"/>
        <v/>
      </c>
      <c r="K46" t="str">
        <f t="shared" si="6"/>
        <v/>
      </c>
      <c r="L46" t="str">
        <f t="shared" si="7"/>
        <v/>
      </c>
      <c r="M46" t="str">
        <f>IF($I46="","",COUNTIF($I$5:$I46,$I46))</f>
        <v/>
      </c>
      <c r="R46" s="23"/>
      <c r="S46" s="23"/>
      <c r="T46" s="24" t="str">
        <f t="shared" si="8"/>
        <v/>
      </c>
    </row>
    <row r="47" spans="1:20" ht="15.75" customHeight="1" x14ac:dyDescent="0.15">
      <c r="A47" s="2" t="str">
        <f>IF($B47="","",COUNTA($B$5:$B47))</f>
        <v/>
      </c>
      <c r="B47" s="3"/>
      <c r="C47" s="4" t="str">
        <f>IF($B47="","",IFERROR(VLOOKUP($B47,'قاموس الترجمة'!$A$2:$B$979,2,0),""))</f>
        <v/>
      </c>
      <c r="D47" s="3"/>
      <c r="E47" s="5" t="str">
        <f t="shared" si="9"/>
        <v/>
      </c>
      <c r="F47" s="6" t="str">
        <f>IF($B47="","",IF($K47&lt;&gt;"",$K47,IF($H47="","— اختر النوع —",IF(AND($H47&lt;&gt;"FIN",$I47=""),"— اختر الحالة —",$H47&amp;"-"&amp;$I47&amp;"-"&amp;TEXT(SUMPRODUCT(MAX(($H$157:$H$590=$H47)*($I$157:$I$590=$I47)*$J$157:$J$590))+SUMPRODUCT(($H$5:$H47=$H47)*($I$5:$I47=$I47)*($L$5:$L47=1)),"000")))))</f>
        <v/>
      </c>
      <c r="G47" s="5"/>
      <c r="H47" t="str">
        <f>IFERROR(VLOOKUP($D47,القوائم!$A$2:$B$4,2,0),"")</f>
        <v/>
      </c>
      <c r="I47" t="str">
        <f t="shared" si="5"/>
        <v/>
      </c>
      <c r="K47" t="str">
        <f t="shared" si="6"/>
        <v/>
      </c>
      <c r="L47" t="str">
        <f t="shared" si="7"/>
        <v/>
      </c>
      <c r="M47" t="str">
        <f>IF($I47="","",COUNTIF($I$5:$I47,$I47))</f>
        <v/>
      </c>
      <c r="R47" s="23"/>
      <c r="S47" s="23"/>
      <c r="T47" s="24" t="str">
        <f t="shared" si="8"/>
        <v/>
      </c>
    </row>
    <row r="48" spans="1:20" ht="15.75" customHeight="1" x14ac:dyDescent="0.15">
      <c r="A48" s="2" t="str">
        <f>IF($B48="","",COUNTA($B$5:$B48))</f>
        <v/>
      </c>
      <c r="B48" s="3"/>
      <c r="C48" s="4" t="str">
        <f>IF($B48="","",IFERROR(VLOOKUP($B48,'قاموس الترجمة'!$A$2:$B$979,2,0),""))</f>
        <v/>
      </c>
      <c r="D48" s="3"/>
      <c r="E48" s="5" t="str">
        <f t="shared" si="9"/>
        <v/>
      </c>
      <c r="F48" s="6" t="str">
        <f>IF($B48="","",IF($K48&lt;&gt;"",$K48,IF($H48="","— اختر النوع —",IF(AND($H48&lt;&gt;"FIN",$I48=""),"— اختر الحالة —",$H48&amp;"-"&amp;$I48&amp;"-"&amp;TEXT(SUMPRODUCT(MAX(($H$157:$H$590=$H48)*($I$157:$I$590=$I48)*$J$157:$J$590))+SUMPRODUCT(($H$5:$H48=$H48)*($I$5:$I48=$I48)*($L$5:$L48=1)),"000")))))</f>
        <v/>
      </c>
      <c r="G48" s="5"/>
      <c r="H48" t="str">
        <f>IFERROR(VLOOKUP($D48,القوائم!$A$2:$B$4,2,0),"")</f>
        <v/>
      </c>
      <c r="I48" t="str">
        <f t="shared" si="5"/>
        <v/>
      </c>
      <c r="K48" t="str">
        <f t="shared" si="6"/>
        <v/>
      </c>
      <c r="L48" t="str">
        <f t="shared" si="7"/>
        <v/>
      </c>
      <c r="M48" t="str">
        <f>IF($I48="","",COUNTIF($I$5:$I48,$I48))</f>
        <v/>
      </c>
      <c r="R48" s="23"/>
      <c r="S48" s="23"/>
      <c r="T48" s="24" t="str">
        <f t="shared" si="8"/>
        <v/>
      </c>
    </row>
    <row r="49" spans="1:20" ht="15.75" customHeight="1" x14ac:dyDescent="0.15">
      <c r="A49" s="2" t="str">
        <f>IF($B49="","",COUNTA($B$5:$B49))</f>
        <v/>
      </c>
      <c r="B49" s="3"/>
      <c r="C49" s="4" t="str">
        <f>IF($B49="","",IFERROR(VLOOKUP($B49,'قاموس الترجمة'!$A$2:$B$979,2,0),""))</f>
        <v/>
      </c>
      <c r="D49" s="3"/>
      <c r="E49" s="5" t="str">
        <f t="shared" si="9"/>
        <v/>
      </c>
      <c r="F49" s="6" t="str">
        <f>IF($B49="","",IF($K49&lt;&gt;"",$K49,IF($H49="","— اختر النوع —",IF(AND($H49&lt;&gt;"FIN",$I49=""),"— اختر الحالة —",$H49&amp;"-"&amp;$I49&amp;"-"&amp;TEXT(SUMPRODUCT(MAX(($H$157:$H$590=$H49)*($I$157:$I$590=$I49)*$J$157:$J$590))+SUMPRODUCT(($H$5:$H49=$H49)*($I$5:$I49=$I49)*($L$5:$L49=1)),"000")))))</f>
        <v/>
      </c>
      <c r="G49" s="5"/>
      <c r="H49" t="str">
        <f>IFERROR(VLOOKUP($D49,القوائم!$A$2:$B$4,2,0),"")</f>
        <v/>
      </c>
      <c r="I49" t="str">
        <f t="shared" si="5"/>
        <v/>
      </c>
      <c r="K49" t="str">
        <f t="shared" si="6"/>
        <v/>
      </c>
      <c r="L49" t="str">
        <f t="shared" si="7"/>
        <v/>
      </c>
      <c r="M49" t="str">
        <f>IF($I49="","",COUNTIF($I$5:$I49,$I49))</f>
        <v/>
      </c>
      <c r="R49" s="23"/>
      <c r="S49" s="23"/>
      <c r="T49" s="24" t="str">
        <f t="shared" si="8"/>
        <v/>
      </c>
    </row>
    <row r="50" spans="1:20" ht="15.75" customHeight="1" x14ac:dyDescent="0.15">
      <c r="A50" s="2" t="str">
        <f>IF($B50="","",COUNTA($B$5:$B50))</f>
        <v/>
      </c>
      <c r="B50" s="3"/>
      <c r="C50" s="4" t="str">
        <f>IF($B50="","",IFERROR(VLOOKUP($B50,'قاموس الترجمة'!$A$2:$B$979,2,0),""))</f>
        <v/>
      </c>
      <c r="D50" s="3"/>
      <c r="E50" s="5" t="str">
        <f t="shared" si="9"/>
        <v/>
      </c>
      <c r="F50" s="6" t="str">
        <f>IF($B50="","",IF($K50&lt;&gt;"",$K50,IF($H50="","— اختر النوع —",IF(AND($H50&lt;&gt;"FIN",$I50=""),"— اختر الحالة —",$H50&amp;"-"&amp;$I50&amp;"-"&amp;TEXT(SUMPRODUCT(MAX(($H$157:$H$590=$H50)*($I$157:$I$590=$I50)*$J$157:$J$590))+SUMPRODUCT(($H$5:$H50=$H50)*($I$5:$I50=$I50)*($L$5:$L50=1)),"000")))))</f>
        <v/>
      </c>
      <c r="G50" s="5"/>
      <c r="H50" t="str">
        <f>IFERROR(VLOOKUP($D50,القوائم!$A$2:$B$4,2,0),"")</f>
        <v/>
      </c>
      <c r="I50" t="str">
        <f t="shared" si="5"/>
        <v/>
      </c>
      <c r="K50" t="str">
        <f t="shared" si="6"/>
        <v/>
      </c>
      <c r="L50" t="str">
        <f t="shared" si="7"/>
        <v/>
      </c>
      <c r="M50" t="str">
        <f>IF($I50="","",COUNTIF($I$5:$I50,$I50))</f>
        <v/>
      </c>
      <c r="R50" s="23"/>
      <c r="S50" s="23"/>
      <c r="T50" s="24" t="str">
        <f t="shared" si="8"/>
        <v/>
      </c>
    </row>
    <row r="51" spans="1:20" ht="15.75" customHeight="1" x14ac:dyDescent="0.15">
      <c r="A51" s="2" t="str">
        <f>IF($B51="","",COUNTA($B$5:$B51))</f>
        <v/>
      </c>
      <c r="B51" s="3"/>
      <c r="C51" s="4" t="str">
        <f>IF($B51="","",IFERROR(VLOOKUP($B51,'قاموس الترجمة'!$A$2:$B$979,2,0),""))</f>
        <v/>
      </c>
      <c r="D51" s="3"/>
      <c r="E51" s="5" t="str">
        <f t="shared" si="9"/>
        <v/>
      </c>
      <c r="F51" s="6" t="str">
        <f>IF($B51="","",IF($K51&lt;&gt;"",$K51,IF($H51="","— اختر النوع —",IF(AND($H51&lt;&gt;"FIN",$I51=""),"— اختر الحالة —",$H51&amp;"-"&amp;$I51&amp;"-"&amp;TEXT(SUMPRODUCT(MAX(($H$157:$H$590=$H51)*($I$157:$I$590=$I51)*$J$157:$J$590))+SUMPRODUCT(($H$5:$H51=$H51)*($I$5:$I51=$I51)*($L$5:$L51=1)),"000")))))</f>
        <v/>
      </c>
      <c r="G51" s="5"/>
      <c r="H51" t="str">
        <f>IFERROR(VLOOKUP($D51,القوائم!$A$2:$B$4,2,0),"")</f>
        <v/>
      </c>
      <c r="I51" t="str">
        <f t="shared" si="5"/>
        <v/>
      </c>
      <c r="K51" t="str">
        <f t="shared" si="6"/>
        <v/>
      </c>
      <c r="L51" t="str">
        <f t="shared" si="7"/>
        <v/>
      </c>
      <c r="M51" t="str">
        <f>IF($I51="","",COUNTIF($I$5:$I51,$I51))</f>
        <v/>
      </c>
      <c r="R51" s="23"/>
      <c r="S51" s="23"/>
      <c r="T51" s="24" t="str">
        <f t="shared" si="8"/>
        <v/>
      </c>
    </row>
    <row r="52" spans="1:20" ht="15.75" customHeight="1" x14ac:dyDescent="0.15">
      <c r="A52" s="2" t="str">
        <f>IF($B52="","",COUNTA($B$5:$B52))</f>
        <v/>
      </c>
      <c r="B52" s="3"/>
      <c r="C52" s="4" t="str">
        <f>IF($B52="","",IFERROR(VLOOKUP($B52,'قاموس الترجمة'!$A$2:$B$979,2,0),""))</f>
        <v/>
      </c>
      <c r="D52" s="3"/>
      <c r="E52" s="5" t="str">
        <f t="shared" si="9"/>
        <v/>
      </c>
      <c r="F52" s="6" t="str">
        <f>IF($B52="","",IF($K52&lt;&gt;"",$K52,IF($H52="","— اختر النوع —",IF(AND($H52&lt;&gt;"FIN",$I52=""),"— اختر الحالة —",$H52&amp;"-"&amp;$I52&amp;"-"&amp;TEXT(SUMPRODUCT(MAX(($H$157:$H$590=$H52)*($I$157:$I$590=$I52)*$J$157:$J$590))+SUMPRODUCT(($H$5:$H52=$H52)*($I$5:$I52=$I52)*($L$5:$L52=1)),"000")))))</f>
        <v/>
      </c>
      <c r="G52" s="5"/>
      <c r="H52" t="str">
        <f>IFERROR(VLOOKUP($D52,القوائم!$A$2:$B$4,2,0),"")</f>
        <v/>
      </c>
      <c r="I52" t="str">
        <f t="shared" si="5"/>
        <v/>
      </c>
      <c r="K52" t="str">
        <f t="shared" si="6"/>
        <v/>
      </c>
      <c r="L52" t="str">
        <f t="shared" si="7"/>
        <v/>
      </c>
      <c r="M52" t="str">
        <f>IF($I52="","",COUNTIF($I$5:$I52,$I52))</f>
        <v/>
      </c>
      <c r="R52" s="23"/>
      <c r="S52" s="23"/>
      <c r="T52" s="24" t="str">
        <f t="shared" si="8"/>
        <v/>
      </c>
    </row>
    <row r="53" spans="1:20" ht="15.75" customHeight="1" x14ac:dyDescent="0.15">
      <c r="A53" s="2" t="str">
        <f>IF($B53="","",COUNTA($B$5:$B53))</f>
        <v/>
      </c>
      <c r="B53" s="3"/>
      <c r="C53" s="4" t="str">
        <f>IF($B53="","",IFERROR(VLOOKUP($B53,'قاموس الترجمة'!$A$2:$B$979,2,0),""))</f>
        <v/>
      </c>
      <c r="D53" s="3"/>
      <c r="E53" s="5" t="str">
        <f t="shared" si="9"/>
        <v/>
      </c>
      <c r="F53" s="6" t="str">
        <f>IF($B53="","",IF($K53&lt;&gt;"",$K53,IF($H53="","— اختر النوع —",IF(AND($H53&lt;&gt;"FIN",$I53=""),"— اختر الحالة —",$H53&amp;"-"&amp;$I53&amp;"-"&amp;TEXT(SUMPRODUCT(MAX(($H$157:$H$590=$H53)*($I$157:$I$590=$I53)*$J$157:$J$590))+SUMPRODUCT(($H$5:$H53=$H53)*($I$5:$I53=$I53)*($L$5:$L53=1)),"000")))))</f>
        <v/>
      </c>
      <c r="G53" s="5"/>
      <c r="H53" t="str">
        <f>IFERROR(VLOOKUP($D53,القوائم!$A$2:$B$4,2,0),"")</f>
        <v/>
      </c>
      <c r="I53" t="str">
        <f t="shared" si="5"/>
        <v/>
      </c>
      <c r="K53" t="str">
        <f t="shared" si="6"/>
        <v/>
      </c>
      <c r="L53" t="str">
        <f t="shared" si="7"/>
        <v/>
      </c>
      <c r="M53" t="str">
        <f>IF($I53="","",COUNTIF($I$5:$I53,$I53))</f>
        <v/>
      </c>
      <c r="R53" s="23"/>
      <c r="S53" s="23"/>
      <c r="T53" s="24" t="str">
        <f t="shared" si="8"/>
        <v/>
      </c>
    </row>
    <row r="54" spans="1:20" ht="15.75" customHeight="1" x14ac:dyDescent="0.15">
      <c r="A54" s="2" t="str">
        <f>IF($B54="","",COUNTA($B$5:$B54))</f>
        <v/>
      </c>
      <c r="B54" s="3"/>
      <c r="C54" s="4" t="str">
        <f>IF($B54="","",IFERROR(VLOOKUP($B54,'قاموس الترجمة'!$A$2:$B$979,2,0),""))</f>
        <v/>
      </c>
      <c r="D54" s="3"/>
      <c r="E54" s="5" t="str">
        <f t="shared" si="9"/>
        <v/>
      </c>
      <c r="F54" s="6" t="str">
        <f>IF($B54="","",IF($K54&lt;&gt;"",$K54,IF($H54="","— اختر النوع —",IF(AND($H54&lt;&gt;"FIN",$I54=""),"— اختر الحالة —",$H54&amp;"-"&amp;$I54&amp;"-"&amp;TEXT(SUMPRODUCT(MAX(($H$157:$H$590=$H54)*($I$157:$I$590=$I54)*$J$157:$J$590))+SUMPRODUCT(($H$5:$H54=$H54)*($I$5:$I54=$I54)*($L$5:$L54=1)),"000")))))</f>
        <v/>
      </c>
      <c r="G54" s="5"/>
      <c r="H54" t="str">
        <f>IFERROR(VLOOKUP($D54,القوائم!$A$2:$B$4,2,0),"")</f>
        <v/>
      </c>
      <c r="I54" t="str">
        <f t="shared" si="5"/>
        <v/>
      </c>
      <c r="K54" t="str">
        <f t="shared" si="6"/>
        <v/>
      </c>
      <c r="L54" t="str">
        <f t="shared" si="7"/>
        <v/>
      </c>
      <c r="M54" t="str">
        <f>IF($I54="","",COUNTIF($I$5:$I54,$I54))</f>
        <v/>
      </c>
      <c r="R54" s="23"/>
      <c r="S54" s="23"/>
      <c r="T54" s="24" t="str">
        <f t="shared" si="8"/>
        <v/>
      </c>
    </row>
    <row r="55" spans="1:20" ht="15.75" customHeight="1" x14ac:dyDescent="0.15">
      <c r="A55" s="2" t="str">
        <f>IF($B55="","",COUNTA($B$5:$B55))</f>
        <v/>
      </c>
      <c r="B55" s="3"/>
      <c r="C55" s="4" t="str">
        <f>IF($B55="","",IFERROR(VLOOKUP($B55,'قاموس الترجمة'!$A$2:$B$979,2,0),""))</f>
        <v/>
      </c>
      <c r="D55" s="3"/>
      <c r="E55" s="5" t="str">
        <f t="shared" si="9"/>
        <v/>
      </c>
      <c r="F55" s="6" t="str">
        <f>IF($B55="","",IF($K55&lt;&gt;"",$K55,IF($H55="","— اختر النوع —",IF(AND($H55&lt;&gt;"FIN",$I55=""),"— اختر الحالة —",$H55&amp;"-"&amp;$I55&amp;"-"&amp;TEXT(SUMPRODUCT(MAX(($H$157:$H$590=$H55)*($I$157:$I$590=$I55)*$J$157:$J$590))+SUMPRODUCT(($H$5:$H55=$H55)*($I$5:$I55=$I55)*($L$5:$L55=1)),"000")))))</f>
        <v/>
      </c>
      <c r="G55" s="5"/>
      <c r="H55" t="str">
        <f>IFERROR(VLOOKUP($D55,القوائم!$A$2:$B$4,2,0),"")</f>
        <v/>
      </c>
      <c r="I55" t="str">
        <f t="shared" si="5"/>
        <v/>
      </c>
      <c r="K55" t="str">
        <f t="shared" si="6"/>
        <v/>
      </c>
      <c r="L55" t="str">
        <f t="shared" si="7"/>
        <v/>
      </c>
      <c r="M55" t="str">
        <f>IF($I55="","",COUNTIF($I$5:$I55,$I55))</f>
        <v/>
      </c>
      <c r="R55" s="23"/>
      <c r="S55" s="23"/>
      <c r="T55" s="24" t="str">
        <f t="shared" si="8"/>
        <v/>
      </c>
    </row>
    <row r="56" spans="1:20" ht="15.75" customHeight="1" x14ac:dyDescent="0.15">
      <c r="A56" s="2" t="str">
        <f>IF($B56="","",COUNTA($B$5:$B56))</f>
        <v/>
      </c>
      <c r="B56" s="3"/>
      <c r="C56" s="4" t="str">
        <f>IF($B56="","",IFERROR(VLOOKUP($B56,'قاموس الترجمة'!$A$2:$B$979,2,0),""))</f>
        <v/>
      </c>
      <c r="D56" s="3"/>
      <c r="E56" s="5" t="str">
        <f t="shared" si="9"/>
        <v/>
      </c>
      <c r="F56" s="6" t="str">
        <f>IF($B56="","",IF($K56&lt;&gt;"",$K56,IF($H56="","— اختر النوع —",IF(AND($H56&lt;&gt;"FIN",$I56=""),"— اختر الحالة —",$H56&amp;"-"&amp;$I56&amp;"-"&amp;TEXT(SUMPRODUCT(MAX(($H$157:$H$590=$H56)*($I$157:$I$590=$I56)*$J$157:$J$590))+SUMPRODUCT(($H$5:$H56=$H56)*($I$5:$I56=$I56)*($L$5:$L56=1)),"000")))))</f>
        <v/>
      </c>
      <c r="G56" s="5"/>
      <c r="H56" t="str">
        <f>IFERROR(VLOOKUP($D56,القوائم!$A$2:$B$4,2,0),"")</f>
        <v/>
      </c>
      <c r="I56" t="str">
        <f t="shared" si="5"/>
        <v/>
      </c>
      <c r="K56" t="str">
        <f t="shared" si="6"/>
        <v/>
      </c>
      <c r="L56" t="str">
        <f t="shared" si="7"/>
        <v/>
      </c>
      <c r="M56" t="str">
        <f>IF($I56="","",COUNTIF($I$5:$I56,$I56))</f>
        <v/>
      </c>
      <c r="R56" s="23"/>
      <c r="S56" s="23"/>
      <c r="T56" s="24" t="str">
        <f t="shared" si="8"/>
        <v/>
      </c>
    </row>
    <row r="57" spans="1:20" ht="15.75" customHeight="1" x14ac:dyDescent="0.15">
      <c r="A57" s="2" t="str">
        <f>IF($B57="","",COUNTA($B$5:$B57))</f>
        <v/>
      </c>
      <c r="B57" s="3"/>
      <c r="C57" s="4" t="str">
        <f>IF($B57="","",IFERROR(VLOOKUP($B57,'قاموس الترجمة'!$A$2:$B$979,2,0),""))</f>
        <v/>
      </c>
      <c r="D57" s="3"/>
      <c r="E57" s="5" t="str">
        <f t="shared" si="9"/>
        <v/>
      </c>
      <c r="F57" s="6" t="str">
        <f>IF($B57="","",IF($K57&lt;&gt;"",$K57,IF($H57="","— اختر النوع —",IF(AND($H57&lt;&gt;"FIN",$I57=""),"— اختر الحالة —",$H57&amp;"-"&amp;$I57&amp;"-"&amp;TEXT(SUMPRODUCT(MAX(($H$157:$H$590=$H57)*($I$157:$I$590=$I57)*$J$157:$J$590))+SUMPRODUCT(($H$5:$H57=$H57)*($I$5:$I57=$I57)*($L$5:$L57=1)),"000")))))</f>
        <v/>
      </c>
      <c r="G57" s="5"/>
      <c r="H57" t="str">
        <f>IFERROR(VLOOKUP($D57,القوائم!$A$2:$B$4,2,0),"")</f>
        <v/>
      </c>
      <c r="I57" t="str">
        <f t="shared" si="5"/>
        <v/>
      </c>
      <c r="K57" t="str">
        <f t="shared" si="6"/>
        <v/>
      </c>
      <c r="L57" t="str">
        <f t="shared" si="7"/>
        <v/>
      </c>
      <c r="M57" t="str">
        <f>IF($I57="","",COUNTIF($I$5:$I57,$I57))</f>
        <v/>
      </c>
      <c r="R57" s="23"/>
      <c r="S57" s="23"/>
      <c r="T57" s="24" t="str">
        <f t="shared" si="8"/>
        <v/>
      </c>
    </row>
    <row r="58" spans="1:20" ht="15.75" customHeight="1" x14ac:dyDescent="0.15">
      <c r="A58" s="2" t="str">
        <f>IF($B58="","",COUNTA($B$5:$B58))</f>
        <v/>
      </c>
      <c r="B58" s="3"/>
      <c r="C58" s="4" t="str">
        <f>IF($B58="","",IFERROR(VLOOKUP($B58,'قاموس الترجمة'!$A$2:$B$979,2,0),""))</f>
        <v/>
      </c>
      <c r="D58" s="3"/>
      <c r="E58" s="5" t="str">
        <f t="shared" si="9"/>
        <v/>
      </c>
      <c r="F58" s="6" t="str">
        <f>IF($B58="","",IF($K58&lt;&gt;"",$K58,IF($H58="","— اختر النوع —",IF(AND($H58&lt;&gt;"FIN",$I58=""),"— اختر الحالة —",$H58&amp;"-"&amp;$I58&amp;"-"&amp;TEXT(SUMPRODUCT(MAX(($H$157:$H$590=$H58)*($I$157:$I$590=$I58)*$J$157:$J$590))+SUMPRODUCT(($H$5:$H58=$H58)*($I$5:$I58=$I58)*($L$5:$L58=1)),"000")))))</f>
        <v/>
      </c>
      <c r="G58" s="5"/>
      <c r="H58" t="str">
        <f>IFERROR(VLOOKUP($D58,القوائم!$A$2:$B$4,2,0),"")</f>
        <v/>
      </c>
      <c r="I58" t="str">
        <f t="shared" si="5"/>
        <v/>
      </c>
      <c r="K58" t="str">
        <f t="shared" si="6"/>
        <v/>
      </c>
      <c r="L58" t="str">
        <f t="shared" si="7"/>
        <v/>
      </c>
      <c r="M58" t="str">
        <f>IF($I58="","",COUNTIF($I$5:$I58,$I58))</f>
        <v/>
      </c>
      <c r="R58" s="23"/>
      <c r="S58" s="23"/>
      <c r="T58" s="24" t="str">
        <f t="shared" si="8"/>
        <v/>
      </c>
    </row>
    <row r="59" spans="1:20" ht="15.75" customHeight="1" x14ac:dyDescent="0.15">
      <c r="A59" s="2" t="str">
        <f>IF($B59="","",COUNTA($B$5:$B59))</f>
        <v/>
      </c>
      <c r="B59" s="3"/>
      <c r="C59" s="4" t="str">
        <f>IF($B59="","",IFERROR(VLOOKUP($B59,'قاموس الترجمة'!$A$2:$B$979,2,0),""))</f>
        <v/>
      </c>
      <c r="D59" s="3"/>
      <c r="E59" s="5" t="str">
        <f t="shared" si="9"/>
        <v/>
      </c>
      <c r="F59" s="6" t="str">
        <f>IF($B59="","",IF($K59&lt;&gt;"",$K59,IF($H59="","— اختر النوع —",IF(AND($H59&lt;&gt;"FIN",$I59=""),"— اختر الحالة —",$H59&amp;"-"&amp;$I59&amp;"-"&amp;TEXT(SUMPRODUCT(MAX(($H$157:$H$590=$H59)*($I$157:$I$590=$I59)*$J$157:$J$590))+SUMPRODUCT(($H$5:$H59=$H59)*($I$5:$I59=$I59)*($L$5:$L59=1)),"000")))))</f>
        <v/>
      </c>
      <c r="G59" s="5"/>
      <c r="H59" t="str">
        <f>IFERROR(VLOOKUP($D59,القوائم!$A$2:$B$4,2,0),"")</f>
        <v/>
      </c>
      <c r="I59" t="str">
        <f t="shared" si="5"/>
        <v/>
      </c>
      <c r="K59" t="str">
        <f t="shared" si="6"/>
        <v/>
      </c>
      <c r="L59" t="str">
        <f t="shared" si="7"/>
        <v/>
      </c>
      <c r="M59" t="str">
        <f>IF($I59="","",COUNTIF($I$5:$I59,$I59))</f>
        <v/>
      </c>
      <c r="R59" s="23"/>
      <c r="S59" s="23"/>
      <c r="T59" s="24" t="str">
        <f t="shared" si="8"/>
        <v/>
      </c>
    </row>
    <row r="60" spans="1:20" ht="15.75" customHeight="1" x14ac:dyDescent="0.15">
      <c r="A60" s="2" t="str">
        <f>IF($B60="","",COUNTA($B$5:$B60))</f>
        <v/>
      </c>
      <c r="B60" s="3"/>
      <c r="C60" s="4" t="str">
        <f>IF($B60="","",IFERROR(VLOOKUP($B60,'قاموس الترجمة'!$A$2:$B$979,2,0),""))</f>
        <v/>
      </c>
      <c r="D60" s="3"/>
      <c r="E60" s="5" t="str">
        <f t="shared" si="9"/>
        <v/>
      </c>
      <c r="F60" s="6" t="str">
        <f>IF($B60="","",IF($K60&lt;&gt;"",$K60,IF($H60="","— اختر النوع —",IF(AND($H60&lt;&gt;"FIN",$I60=""),"— اختر الحالة —",$H60&amp;"-"&amp;$I60&amp;"-"&amp;TEXT(SUMPRODUCT(MAX(($H$157:$H$590=$H60)*($I$157:$I$590=$I60)*$J$157:$J$590))+SUMPRODUCT(($H$5:$H60=$H60)*($I$5:$I60=$I60)*($L$5:$L60=1)),"000")))))</f>
        <v/>
      </c>
      <c r="G60" s="5"/>
      <c r="H60" t="str">
        <f>IFERROR(VLOOKUP($D60,القوائم!$A$2:$B$4,2,0),"")</f>
        <v/>
      </c>
      <c r="I60" t="str">
        <f t="shared" si="5"/>
        <v/>
      </c>
      <c r="K60" t="str">
        <f t="shared" si="6"/>
        <v/>
      </c>
      <c r="L60" t="str">
        <f t="shared" si="7"/>
        <v/>
      </c>
      <c r="M60" t="str">
        <f>IF($I60="","",COUNTIF($I$5:$I60,$I60))</f>
        <v/>
      </c>
      <c r="R60" s="23"/>
      <c r="S60" s="23"/>
      <c r="T60" s="24" t="str">
        <f t="shared" si="8"/>
        <v/>
      </c>
    </row>
    <row r="61" spans="1:20" ht="15.75" customHeight="1" x14ac:dyDescent="0.15">
      <c r="A61" s="2" t="str">
        <f>IF($B61="","",COUNTA($B$5:$B61))</f>
        <v/>
      </c>
      <c r="B61" s="3"/>
      <c r="C61" s="4" t="str">
        <f>IF($B61="","",IFERROR(VLOOKUP($B61,'قاموس الترجمة'!$A$2:$B$979,2,0),""))</f>
        <v/>
      </c>
      <c r="D61" s="3"/>
      <c r="E61" s="5" t="str">
        <f t="shared" si="9"/>
        <v/>
      </c>
      <c r="F61" s="6" t="str">
        <f>IF($B61="","",IF($K61&lt;&gt;"",$K61,IF($H61="","— اختر النوع —",IF(AND($H61&lt;&gt;"FIN",$I61=""),"— اختر الحالة —",$H61&amp;"-"&amp;$I61&amp;"-"&amp;TEXT(SUMPRODUCT(MAX(($H$157:$H$590=$H61)*($I$157:$I$590=$I61)*$J$157:$J$590))+SUMPRODUCT(($H$5:$H61=$H61)*($I$5:$I61=$I61)*($L$5:$L61=1)),"000")))))</f>
        <v/>
      </c>
      <c r="G61" s="5"/>
      <c r="H61" t="str">
        <f>IFERROR(VLOOKUP($D61,القوائم!$A$2:$B$4,2,0),"")</f>
        <v/>
      </c>
      <c r="I61" t="str">
        <f t="shared" si="5"/>
        <v/>
      </c>
      <c r="K61" t="str">
        <f t="shared" si="6"/>
        <v/>
      </c>
      <c r="L61" t="str">
        <f t="shared" si="7"/>
        <v/>
      </c>
      <c r="M61" t="str">
        <f>IF($I61="","",COUNTIF($I$5:$I61,$I61))</f>
        <v/>
      </c>
      <c r="R61" s="23"/>
      <c r="S61" s="23"/>
      <c r="T61" s="24" t="str">
        <f t="shared" si="8"/>
        <v/>
      </c>
    </row>
    <row r="62" spans="1:20" ht="15.75" customHeight="1" x14ac:dyDescent="0.15">
      <c r="A62" s="2" t="str">
        <f>IF($B62="","",COUNTA($B$5:$B62))</f>
        <v/>
      </c>
      <c r="B62" s="3"/>
      <c r="C62" s="4" t="str">
        <f>IF($B62="","",IFERROR(VLOOKUP($B62,'قاموس الترجمة'!$A$2:$B$979,2,0),""))</f>
        <v/>
      </c>
      <c r="D62" s="3"/>
      <c r="E62" s="5" t="str">
        <f t="shared" si="9"/>
        <v/>
      </c>
      <c r="F62" s="6" t="str">
        <f>IF($B62="","",IF($K62&lt;&gt;"",$K62,IF($H62="","— اختر النوع —",IF(AND($H62&lt;&gt;"FIN",$I62=""),"— اختر الحالة —",$H62&amp;"-"&amp;$I62&amp;"-"&amp;TEXT(SUMPRODUCT(MAX(($H$157:$H$590=$H62)*($I$157:$I$590=$I62)*$J$157:$J$590))+SUMPRODUCT(($H$5:$H62=$H62)*($I$5:$I62=$I62)*($L$5:$L62=1)),"000")))))</f>
        <v/>
      </c>
      <c r="G62" s="5"/>
      <c r="H62" t="str">
        <f>IFERROR(VLOOKUP($D62,القوائم!$A$2:$B$4,2,0),"")</f>
        <v/>
      </c>
      <c r="I62" t="str">
        <f t="shared" si="5"/>
        <v/>
      </c>
      <c r="K62" t="str">
        <f t="shared" si="6"/>
        <v/>
      </c>
      <c r="L62" t="str">
        <f t="shared" si="7"/>
        <v/>
      </c>
      <c r="M62" t="str">
        <f>IF($I62="","",COUNTIF($I$5:$I62,$I62))</f>
        <v/>
      </c>
      <c r="R62" s="23"/>
      <c r="S62" s="23"/>
      <c r="T62" s="24" t="str">
        <f t="shared" si="8"/>
        <v/>
      </c>
    </row>
    <row r="63" spans="1:20" ht="15.75" customHeight="1" x14ac:dyDescent="0.15">
      <c r="A63" s="2" t="str">
        <f>IF($B63="","",COUNTA($B$5:$B63))</f>
        <v/>
      </c>
      <c r="B63" s="3"/>
      <c r="C63" s="4" t="str">
        <f>IF($B63="","",IFERROR(VLOOKUP($B63,'قاموس الترجمة'!$A$2:$B$979,2,0),""))</f>
        <v/>
      </c>
      <c r="D63" s="3"/>
      <c r="E63" s="5" t="str">
        <f t="shared" si="9"/>
        <v/>
      </c>
      <c r="F63" s="6" t="str">
        <f>IF($B63="","",IF($K63&lt;&gt;"",$K63,IF($H63="","— اختر النوع —",IF(AND($H63&lt;&gt;"FIN",$I63=""),"— اختر الحالة —",$H63&amp;"-"&amp;$I63&amp;"-"&amp;TEXT(SUMPRODUCT(MAX(($H$157:$H$590=$H63)*($I$157:$I$590=$I63)*$J$157:$J$590))+SUMPRODUCT(($H$5:$H63=$H63)*($I$5:$I63=$I63)*($L$5:$L63=1)),"000")))))</f>
        <v/>
      </c>
      <c r="G63" s="5"/>
      <c r="H63" t="str">
        <f>IFERROR(VLOOKUP($D63,القوائم!$A$2:$B$4,2,0),"")</f>
        <v/>
      </c>
      <c r="I63" t="str">
        <f t="shared" si="5"/>
        <v/>
      </c>
      <c r="K63" t="str">
        <f t="shared" si="6"/>
        <v/>
      </c>
      <c r="L63" t="str">
        <f t="shared" si="7"/>
        <v/>
      </c>
      <c r="M63" t="str">
        <f>IF($I63="","",COUNTIF($I$5:$I63,$I63))</f>
        <v/>
      </c>
      <c r="R63" s="23"/>
      <c r="S63" s="23"/>
      <c r="T63" s="24" t="str">
        <f t="shared" si="8"/>
        <v/>
      </c>
    </row>
    <row r="64" spans="1:20" ht="15.75" customHeight="1" x14ac:dyDescent="0.15">
      <c r="A64" s="2" t="str">
        <f>IF($B64="","",COUNTA($B$5:$B64))</f>
        <v/>
      </c>
      <c r="B64" s="3"/>
      <c r="C64" s="4" t="str">
        <f>IF($B64="","",IFERROR(VLOOKUP($B64,'قاموس الترجمة'!$A$2:$B$979,2,0),""))</f>
        <v/>
      </c>
      <c r="D64" s="3"/>
      <c r="E64" s="5" t="str">
        <f t="shared" si="9"/>
        <v/>
      </c>
      <c r="F64" s="6" t="str">
        <f>IF($B64="","",IF($K64&lt;&gt;"",$K64,IF($H64="","— اختر النوع —",IF(AND($H64&lt;&gt;"FIN",$I64=""),"— اختر الحالة —",$H64&amp;"-"&amp;$I64&amp;"-"&amp;TEXT(SUMPRODUCT(MAX(($H$157:$H$590=$H64)*($I$157:$I$590=$I64)*$J$157:$J$590))+SUMPRODUCT(($H$5:$H64=$H64)*($I$5:$I64=$I64)*($L$5:$L64=1)),"000")))))</f>
        <v/>
      </c>
      <c r="G64" s="5"/>
      <c r="H64" t="str">
        <f>IFERROR(VLOOKUP($D64,القوائم!$A$2:$B$4,2,0),"")</f>
        <v/>
      </c>
      <c r="I64" t="str">
        <f t="shared" si="5"/>
        <v/>
      </c>
      <c r="K64" t="str">
        <f t="shared" si="6"/>
        <v/>
      </c>
      <c r="L64" t="str">
        <f t="shared" si="7"/>
        <v/>
      </c>
      <c r="M64" t="str">
        <f>IF($I64="","",COUNTIF($I$5:$I64,$I64))</f>
        <v/>
      </c>
      <c r="R64" s="23"/>
      <c r="S64" s="23"/>
      <c r="T64" s="24" t="str">
        <f t="shared" si="8"/>
        <v/>
      </c>
    </row>
    <row r="65" spans="1:20" ht="15.75" customHeight="1" x14ac:dyDescent="0.15">
      <c r="A65" s="2" t="str">
        <f>IF($B65="","",COUNTA($B$5:$B65))</f>
        <v/>
      </c>
      <c r="B65" s="3"/>
      <c r="C65" s="4" t="str">
        <f>IF($B65="","",IFERROR(VLOOKUP($B65,'قاموس الترجمة'!$A$2:$B$979,2,0),""))</f>
        <v/>
      </c>
      <c r="D65" s="3"/>
      <c r="E65" s="5" t="str">
        <f t="shared" si="9"/>
        <v/>
      </c>
      <c r="F65" s="6" t="str">
        <f>IF($B65="","",IF($K65&lt;&gt;"",$K65,IF($H65="","— اختر النوع —",IF(AND($H65&lt;&gt;"FIN",$I65=""),"— اختر الحالة —",$H65&amp;"-"&amp;$I65&amp;"-"&amp;TEXT(SUMPRODUCT(MAX(($H$157:$H$590=$H65)*($I$157:$I$590=$I65)*$J$157:$J$590))+SUMPRODUCT(($H$5:$H65=$H65)*($I$5:$I65=$I65)*($L$5:$L65=1)),"000")))))</f>
        <v/>
      </c>
      <c r="G65" s="5"/>
      <c r="H65" t="str">
        <f>IFERROR(VLOOKUP($D65,القوائم!$A$2:$B$4,2,0),"")</f>
        <v/>
      </c>
      <c r="I65" t="str">
        <f t="shared" si="5"/>
        <v/>
      </c>
      <c r="K65" t="str">
        <f t="shared" si="6"/>
        <v/>
      </c>
      <c r="L65" t="str">
        <f t="shared" si="7"/>
        <v/>
      </c>
      <c r="M65" t="str">
        <f>IF($I65="","",COUNTIF($I$5:$I65,$I65))</f>
        <v/>
      </c>
      <c r="R65" s="23"/>
      <c r="S65" s="23"/>
      <c r="T65" s="24" t="str">
        <f t="shared" si="8"/>
        <v/>
      </c>
    </row>
    <row r="66" spans="1:20" ht="15.75" customHeight="1" x14ac:dyDescent="0.15">
      <c r="A66" s="2" t="str">
        <f>IF($B66="","",COUNTA($B$5:$B66))</f>
        <v/>
      </c>
      <c r="B66" s="3"/>
      <c r="C66" s="4" t="str">
        <f>IF($B66="","",IFERROR(VLOOKUP($B66,'قاموس الترجمة'!$A$2:$B$979,2,0),""))</f>
        <v/>
      </c>
      <c r="D66" s="3"/>
      <c r="E66" s="5" t="str">
        <f t="shared" si="9"/>
        <v/>
      </c>
      <c r="F66" s="6" t="str">
        <f>IF($B66="","",IF($K66&lt;&gt;"",$K66,IF($H66="","— اختر النوع —",IF(AND($H66&lt;&gt;"FIN",$I66=""),"— اختر الحالة —",$H66&amp;"-"&amp;$I66&amp;"-"&amp;TEXT(SUMPRODUCT(MAX(($H$157:$H$590=$H66)*($I$157:$I$590=$I66)*$J$157:$J$590))+SUMPRODUCT(($H$5:$H66=$H66)*($I$5:$I66=$I66)*($L$5:$L66=1)),"000")))))</f>
        <v/>
      </c>
      <c r="G66" s="5"/>
      <c r="H66" t="str">
        <f>IFERROR(VLOOKUP($D66,القوائم!$A$2:$B$4,2,0),"")</f>
        <v/>
      </c>
      <c r="I66" t="str">
        <f t="shared" si="5"/>
        <v/>
      </c>
      <c r="K66" t="str">
        <f t="shared" si="6"/>
        <v/>
      </c>
      <c r="L66" t="str">
        <f t="shared" si="7"/>
        <v/>
      </c>
      <c r="M66" t="str">
        <f>IF($I66="","",COUNTIF($I$5:$I66,$I66))</f>
        <v/>
      </c>
      <c r="R66" s="23"/>
      <c r="S66" s="23"/>
      <c r="T66" s="24" t="str">
        <f t="shared" si="8"/>
        <v/>
      </c>
    </row>
    <row r="67" spans="1:20" ht="15.75" customHeight="1" x14ac:dyDescent="0.15">
      <c r="A67" s="2" t="str">
        <f>IF($B67="","",COUNTA($B$5:$B67))</f>
        <v/>
      </c>
      <c r="B67" s="3"/>
      <c r="C67" s="4" t="str">
        <f>IF($B67="","",IFERROR(VLOOKUP($B67,'قاموس الترجمة'!$A$2:$B$979,2,0),""))</f>
        <v/>
      </c>
      <c r="D67" s="3"/>
      <c r="E67" s="5" t="str">
        <f t="shared" si="9"/>
        <v/>
      </c>
      <c r="F67" s="6" t="str">
        <f>IF($B67="","",IF($K67&lt;&gt;"",$K67,IF($H67="","— اختر النوع —",IF(AND($H67&lt;&gt;"FIN",$I67=""),"— اختر الحالة —",$H67&amp;"-"&amp;$I67&amp;"-"&amp;TEXT(SUMPRODUCT(MAX(($H$157:$H$590=$H67)*($I$157:$I$590=$I67)*$J$157:$J$590))+SUMPRODUCT(($H$5:$H67=$H67)*($I$5:$I67=$I67)*($L$5:$L67=1)),"000")))))</f>
        <v/>
      </c>
      <c r="G67" s="5"/>
      <c r="H67" t="str">
        <f>IFERROR(VLOOKUP($D67,القوائم!$A$2:$B$4,2,0),"")</f>
        <v/>
      </c>
      <c r="I67" t="str">
        <f t="shared" si="5"/>
        <v/>
      </c>
      <c r="K67" t="str">
        <f t="shared" si="6"/>
        <v/>
      </c>
      <c r="L67" t="str">
        <f t="shared" si="7"/>
        <v/>
      </c>
      <c r="M67" t="str">
        <f>IF($I67="","",COUNTIF($I$5:$I67,$I67))</f>
        <v/>
      </c>
      <c r="R67" s="23"/>
      <c r="S67" s="23"/>
      <c r="T67" s="24" t="str">
        <f t="shared" si="8"/>
        <v/>
      </c>
    </row>
    <row r="68" spans="1:20" ht="15.75" customHeight="1" x14ac:dyDescent="0.15">
      <c r="A68" s="2" t="str">
        <f>IF($B68="","",COUNTA($B$5:$B68))</f>
        <v/>
      </c>
      <c r="B68" s="3"/>
      <c r="C68" s="4" t="str">
        <f>IF($B68="","",IFERROR(VLOOKUP($B68,'قاموس الترجمة'!$A$2:$B$979,2,0),""))</f>
        <v/>
      </c>
      <c r="D68" s="3"/>
      <c r="E68" s="5" t="str">
        <f t="shared" si="9"/>
        <v/>
      </c>
      <c r="F68" s="6" t="str">
        <f>IF($B68="","",IF($K68&lt;&gt;"",$K68,IF($H68="","— اختر النوع —",IF(AND($H68&lt;&gt;"FIN",$I68=""),"— اختر الحالة —",$H68&amp;"-"&amp;$I68&amp;"-"&amp;TEXT(SUMPRODUCT(MAX(($H$157:$H$590=$H68)*($I$157:$I$590=$I68)*$J$157:$J$590))+SUMPRODUCT(($H$5:$H68=$H68)*($I$5:$I68=$I68)*($L$5:$L68=1)),"000")))))</f>
        <v/>
      </c>
      <c r="G68" s="5"/>
      <c r="H68" t="str">
        <f>IFERROR(VLOOKUP($D68,القوائم!$A$2:$B$4,2,0),"")</f>
        <v/>
      </c>
      <c r="I68" t="str">
        <f t="shared" si="5"/>
        <v/>
      </c>
      <c r="K68" t="str">
        <f t="shared" si="6"/>
        <v/>
      </c>
      <c r="L68" t="str">
        <f t="shared" si="7"/>
        <v/>
      </c>
      <c r="M68" t="str">
        <f>IF($I68="","",COUNTIF($I$5:$I68,$I68))</f>
        <v/>
      </c>
      <c r="R68" s="23"/>
      <c r="S68" s="23"/>
      <c r="T68" s="24" t="str">
        <f t="shared" si="8"/>
        <v/>
      </c>
    </row>
    <row r="69" spans="1:20" ht="15.75" customHeight="1" x14ac:dyDescent="0.15">
      <c r="A69" s="2" t="str">
        <f>IF($B69="","",COUNTA($B$5:$B69))</f>
        <v/>
      </c>
      <c r="B69" s="3"/>
      <c r="C69" s="4" t="str">
        <f>IF($B69="","",IFERROR(VLOOKUP($B69,'قاموس الترجمة'!$A$2:$B$979,2,0),""))</f>
        <v/>
      </c>
      <c r="D69" s="3"/>
      <c r="E69" s="5" t="str">
        <f t="shared" si="9"/>
        <v/>
      </c>
      <c r="F69" s="6" t="str">
        <f>IF($B69="","",IF($K69&lt;&gt;"",$K69,IF($H69="","— اختر النوع —",IF(AND($H69&lt;&gt;"FIN",$I69=""),"— اختر الحالة —",$H69&amp;"-"&amp;$I69&amp;"-"&amp;TEXT(SUMPRODUCT(MAX(($H$157:$H$590=$H69)*($I$157:$I$590=$I69)*$J$157:$J$590))+SUMPRODUCT(($H$5:$H69=$H69)*($I$5:$I69=$I69)*($L$5:$L69=1)),"000")))))</f>
        <v/>
      </c>
      <c r="G69" s="5"/>
      <c r="H69" t="str">
        <f>IFERROR(VLOOKUP($D69,القوائم!$A$2:$B$4,2,0),"")</f>
        <v/>
      </c>
      <c r="I69" t="str">
        <f t="shared" ref="I69:I100" si="10">IF($H69="FIN","RTS",IF(ISNUMBER(SEARCH("مجمد",$E69)),"FRZ",IF(ISNUMBER(SEARCH("مبرد",$E69)),"CHL",IF(ISNUMBER(SEARCH("جاف",$E69)),"DRY",IF(ISNUMBER(SEARCH("استهلاك",$E69)),"CNS",IF(ISNUMBER(SEARCH("بيع",$E69)),"RTS",""))))))</f>
        <v/>
      </c>
      <c r="K69" t="str">
        <f t="shared" ref="K69:K100" si="11">IF($B69="","",IFERROR(INDEX($F$157:$F$590,MATCH($B69,$B$157:$B$590,0)),""))</f>
        <v/>
      </c>
      <c r="L69" t="str">
        <f t="shared" ref="L69:L100" si="12">IF($B69="","",IF($K69="",1,0))</f>
        <v/>
      </c>
      <c r="M69" t="str">
        <f>IF($I69="","",COUNTIF($I$5:$I69,$I69))</f>
        <v/>
      </c>
      <c r="R69" s="23"/>
      <c r="S69" s="23"/>
      <c r="T69" s="24" t="str">
        <f t="shared" ref="T69:T100" si="13">IF(OR($R69="",$S69="",$S69=0),"",ROUND($R69/$S69,2))</f>
        <v/>
      </c>
    </row>
    <row r="70" spans="1:20" ht="15.75" customHeight="1" x14ac:dyDescent="0.15">
      <c r="A70" s="2" t="str">
        <f>IF($B70="","",COUNTA($B$5:$B70))</f>
        <v/>
      </c>
      <c r="B70" s="3"/>
      <c r="C70" s="4" t="str">
        <f>IF($B70="","",IFERROR(VLOOKUP($B70,'قاموس الترجمة'!$A$2:$B$979,2,0),""))</f>
        <v/>
      </c>
      <c r="D70" s="3"/>
      <c r="E70" s="5" t="str">
        <f t="shared" si="9"/>
        <v/>
      </c>
      <c r="F70" s="6" t="str">
        <f>IF($B70="","",IF($K70&lt;&gt;"",$K70,IF($H70="","— اختر النوع —",IF(AND($H70&lt;&gt;"FIN",$I70=""),"— اختر الحالة —",$H70&amp;"-"&amp;$I70&amp;"-"&amp;TEXT(SUMPRODUCT(MAX(($H$157:$H$590=$H70)*($I$157:$I$590=$I70)*$J$157:$J$590))+SUMPRODUCT(($H$5:$H70=$H70)*($I$5:$I70=$I70)*($L$5:$L70=1)),"000")))))</f>
        <v/>
      </c>
      <c r="G70" s="5"/>
      <c r="H70" t="str">
        <f>IFERROR(VLOOKUP($D70,القوائم!$A$2:$B$4,2,0),"")</f>
        <v/>
      </c>
      <c r="I70" t="str">
        <f t="shared" si="10"/>
        <v/>
      </c>
      <c r="K70" t="str">
        <f t="shared" si="11"/>
        <v/>
      </c>
      <c r="L70" t="str">
        <f t="shared" si="12"/>
        <v/>
      </c>
      <c r="M70" t="str">
        <f>IF($I70="","",COUNTIF($I$5:$I70,$I70))</f>
        <v/>
      </c>
      <c r="R70" s="23"/>
      <c r="S70" s="23"/>
      <c r="T70" s="24" t="str">
        <f t="shared" si="13"/>
        <v/>
      </c>
    </row>
    <row r="71" spans="1:20" ht="15.75" customHeight="1" x14ac:dyDescent="0.15">
      <c r="A71" s="2" t="str">
        <f>IF($B71="","",COUNTA($B$5:$B71))</f>
        <v/>
      </c>
      <c r="B71" s="3"/>
      <c r="C71" s="4" t="str">
        <f>IF($B71="","",IFERROR(VLOOKUP($B71,'قاموس الترجمة'!$A$2:$B$979,2,0),""))</f>
        <v/>
      </c>
      <c r="D71" s="3"/>
      <c r="E71" s="5" t="str">
        <f t="shared" ref="E71:E102" si="14">IF($D71="منتج نهائي","جاهز للبيع","")</f>
        <v/>
      </c>
      <c r="F71" s="6" t="str">
        <f>IF($B71="","",IF($K71&lt;&gt;"",$K71,IF($H71="","— اختر النوع —",IF(AND($H71&lt;&gt;"FIN",$I71=""),"— اختر الحالة —",$H71&amp;"-"&amp;$I71&amp;"-"&amp;TEXT(SUMPRODUCT(MAX(($H$157:$H$590=$H71)*($I$157:$I$590=$I71)*$J$157:$J$590))+SUMPRODUCT(($H$5:$H71=$H71)*($I$5:$I71=$I71)*($L$5:$L71=1)),"000")))))</f>
        <v/>
      </c>
      <c r="G71" s="5"/>
      <c r="H71" t="str">
        <f>IFERROR(VLOOKUP($D71,القوائم!$A$2:$B$4,2,0),"")</f>
        <v/>
      </c>
      <c r="I71" t="str">
        <f t="shared" si="10"/>
        <v/>
      </c>
      <c r="K71" t="str">
        <f t="shared" si="11"/>
        <v/>
      </c>
      <c r="L71" t="str">
        <f t="shared" si="12"/>
        <v/>
      </c>
      <c r="M71" t="str">
        <f>IF($I71="","",COUNTIF($I$5:$I71,$I71))</f>
        <v/>
      </c>
      <c r="R71" s="23"/>
      <c r="S71" s="23"/>
      <c r="T71" s="24" t="str">
        <f t="shared" si="13"/>
        <v/>
      </c>
    </row>
    <row r="72" spans="1:20" ht="15.75" customHeight="1" x14ac:dyDescent="0.15">
      <c r="A72" s="2" t="str">
        <f>IF($B72="","",COUNTA($B$5:$B72))</f>
        <v/>
      </c>
      <c r="B72" s="3"/>
      <c r="C72" s="4" t="str">
        <f>IF($B72="","",IFERROR(VLOOKUP($B72,'قاموس الترجمة'!$A$2:$B$979,2,0),""))</f>
        <v/>
      </c>
      <c r="D72" s="3"/>
      <c r="E72" s="5" t="str">
        <f t="shared" si="14"/>
        <v/>
      </c>
      <c r="F72" s="6" t="str">
        <f>IF($B72="","",IF($K72&lt;&gt;"",$K72,IF($H72="","— اختر النوع —",IF(AND($H72&lt;&gt;"FIN",$I72=""),"— اختر الحالة —",$H72&amp;"-"&amp;$I72&amp;"-"&amp;TEXT(SUMPRODUCT(MAX(($H$157:$H$590=$H72)*($I$157:$I$590=$I72)*$J$157:$J$590))+SUMPRODUCT(($H$5:$H72=$H72)*($I$5:$I72=$I72)*($L$5:$L72=1)),"000")))))</f>
        <v/>
      </c>
      <c r="G72" s="5"/>
      <c r="H72" t="str">
        <f>IFERROR(VLOOKUP($D72,القوائم!$A$2:$B$4,2,0),"")</f>
        <v/>
      </c>
      <c r="I72" t="str">
        <f t="shared" si="10"/>
        <v/>
      </c>
      <c r="K72" t="str">
        <f t="shared" si="11"/>
        <v/>
      </c>
      <c r="L72" t="str">
        <f t="shared" si="12"/>
        <v/>
      </c>
      <c r="M72" t="str">
        <f>IF($I72="","",COUNTIF($I$5:$I72,$I72))</f>
        <v/>
      </c>
      <c r="R72" s="23"/>
      <c r="S72" s="23"/>
      <c r="T72" s="24" t="str">
        <f t="shared" si="13"/>
        <v/>
      </c>
    </row>
    <row r="73" spans="1:20" ht="15.75" customHeight="1" x14ac:dyDescent="0.15">
      <c r="A73" s="2" t="str">
        <f>IF($B73="","",COUNTA($B$5:$B73))</f>
        <v/>
      </c>
      <c r="B73" s="3"/>
      <c r="C73" s="4" t="str">
        <f>IF($B73="","",IFERROR(VLOOKUP($B73,'قاموس الترجمة'!$A$2:$B$979,2,0),""))</f>
        <v/>
      </c>
      <c r="D73" s="3"/>
      <c r="E73" s="5" t="str">
        <f t="shared" si="14"/>
        <v/>
      </c>
      <c r="F73" s="6" t="str">
        <f>IF($B73="","",IF($K73&lt;&gt;"",$K73,IF($H73="","— اختر النوع —",IF(AND($H73&lt;&gt;"FIN",$I73=""),"— اختر الحالة —",$H73&amp;"-"&amp;$I73&amp;"-"&amp;TEXT(SUMPRODUCT(MAX(($H$157:$H$590=$H73)*($I$157:$I$590=$I73)*$J$157:$J$590))+SUMPRODUCT(($H$5:$H73=$H73)*($I$5:$I73=$I73)*($L$5:$L73=1)),"000")))))</f>
        <v/>
      </c>
      <c r="G73" s="5"/>
      <c r="H73" t="str">
        <f>IFERROR(VLOOKUP($D73,القوائم!$A$2:$B$4,2,0),"")</f>
        <v/>
      </c>
      <c r="I73" t="str">
        <f t="shared" si="10"/>
        <v/>
      </c>
      <c r="K73" t="str">
        <f t="shared" si="11"/>
        <v/>
      </c>
      <c r="L73" t="str">
        <f t="shared" si="12"/>
        <v/>
      </c>
      <c r="M73" t="str">
        <f>IF($I73="","",COUNTIF($I$5:$I73,$I73))</f>
        <v/>
      </c>
      <c r="R73" s="23"/>
      <c r="S73" s="23"/>
      <c r="T73" s="24" t="str">
        <f t="shared" si="13"/>
        <v/>
      </c>
    </row>
    <row r="74" spans="1:20" ht="15.75" customHeight="1" x14ac:dyDescent="0.15">
      <c r="A74" s="2" t="str">
        <f>IF($B74="","",COUNTA($B$5:$B74))</f>
        <v/>
      </c>
      <c r="B74" s="3"/>
      <c r="C74" s="4" t="str">
        <f>IF($B74="","",IFERROR(VLOOKUP($B74,'قاموس الترجمة'!$A$2:$B$979,2,0),""))</f>
        <v/>
      </c>
      <c r="D74" s="3"/>
      <c r="E74" s="5" t="str">
        <f t="shared" si="14"/>
        <v/>
      </c>
      <c r="F74" s="6" t="str">
        <f>IF($B74="","",IF($K74&lt;&gt;"",$K74,IF($H74="","— اختر النوع —",IF(AND($H74&lt;&gt;"FIN",$I74=""),"— اختر الحالة —",$H74&amp;"-"&amp;$I74&amp;"-"&amp;TEXT(SUMPRODUCT(MAX(($H$157:$H$590=$H74)*($I$157:$I$590=$I74)*$J$157:$J$590))+SUMPRODUCT(($H$5:$H74=$H74)*($I$5:$I74=$I74)*($L$5:$L74=1)),"000")))))</f>
        <v/>
      </c>
      <c r="G74" s="5"/>
      <c r="H74" t="str">
        <f>IFERROR(VLOOKUP($D74,القوائم!$A$2:$B$4,2,0),"")</f>
        <v/>
      </c>
      <c r="I74" t="str">
        <f t="shared" si="10"/>
        <v/>
      </c>
      <c r="K74" t="str">
        <f t="shared" si="11"/>
        <v/>
      </c>
      <c r="L74" t="str">
        <f t="shared" si="12"/>
        <v/>
      </c>
      <c r="M74" t="str">
        <f>IF($I74="","",COUNTIF($I$5:$I74,$I74))</f>
        <v/>
      </c>
      <c r="R74" s="23"/>
      <c r="S74" s="23"/>
      <c r="T74" s="24" t="str">
        <f t="shared" si="13"/>
        <v/>
      </c>
    </row>
    <row r="75" spans="1:20" ht="15.75" customHeight="1" x14ac:dyDescent="0.15">
      <c r="A75" s="2" t="str">
        <f>IF($B75="","",COUNTA($B$5:$B75))</f>
        <v/>
      </c>
      <c r="B75" s="3"/>
      <c r="C75" s="4" t="str">
        <f>IF($B75="","",IFERROR(VLOOKUP($B75,'قاموس الترجمة'!$A$2:$B$979,2,0),""))</f>
        <v/>
      </c>
      <c r="D75" s="3"/>
      <c r="E75" s="5" t="str">
        <f t="shared" si="14"/>
        <v/>
      </c>
      <c r="F75" s="6" t="str">
        <f>IF($B75="","",IF($K75&lt;&gt;"",$K75,IF($H75="","— اختر النوع —",IF(AND($H75&lt;&gt;"FIN",$I75=""),"— اختر الحالة —",$H75&amp;"-"&amp;$I75&amp;"-"&amp;TEXT(SUMPRODUCT(MAX(($H$157:$H$590=$H75)*($I$157:$I$590=$I75)*$J$157:$J$590))+SUMPRODUCT(($H$5:$H75=$H75)*($I$5:$I75=$I75)*($L$5:$L75=1)),"000")))))</f>
        <v/>
      </c>
      <c r="G75" s="5"/>
      <c r="H75" t="str">
        <f>IFERROR(VLOOKUP($D75,القوائم!$A$2:$B$4,2,0),"")</f>
        <v/>
      </c>
      <c r="I75" t="str">
        <f t="shared" si="10"/>
        <v/>
      </c>
      <c r="K75" t="str">
        <f t="shared" si="11"/>
        <v/>
      </c>
      <c r="L75" t="str">
        <f t="shared" si="12"/>
        <v/>
      </c>
      <c r="M75" t="str">
        <f>IF($I75="","",COUNTIF($I$5:$I75,$I75))</f>
        <v/>
      </c>
      <c r="R75" s="23"/>
      <c r="S75" s="23"/>
      <c r="T75" s="24" t="str">
        <f t="shared" si="13"/>
        <v/>
      </c>
    </row>
    <row r="76" spans="1:20" ht="15.75" customHeight="1" x14ac:dyDescent="0.15">
      <c r="A76" s="2" t="str">
        <f>IF($B76="","",COUNTA($B$5:$B76))</f>
        <v/>
      </c>
      <c r="B76" s="3"/>
      <c r="C76" s="4" t="str">
        <f>IF($B76="","",IFERROR(VLOOKUP($B76,'قاموس الترجمة'!$A$2:$B$979,2,0),""))</f>
        <v/>
      </c>
      <c r="D76" s="3"/>
      <c r="E76" s="5" t="str">
        <f t="shared" si="14"/>
        <v/>
      </c>
      <c r="F76" s="6" t="str">
        <f>IF($B76="","",IF($K76&lt;&gt;"",$K76,IF($H76="","— اختر النوع —",IF(AND($H76&lt;&gt;"FIN",$I76=""),"— اختر الحالة —",$H76&amp;"-"&amp;$I76&amp;"-"&amp;TEXT(SUMPRODUCT(MAX(($H$157:$H$590=$H76)*($I$157:$I$590=$I76)*$J$157:$J$590))+SUMPRODUCT(($H$5:$H76=$H76)*($I$5:$I76=$I76)*($L$5:$L76=1)),"000")))))</f>
        <v/>
      </c>
      <c r="G76" s="5"/>
      <c r="H76" t="str">
        <f>IFERROR(VLOOKUP($D76,القوائم!$A$2:$B$4,2,0),"")</f>
        <v/>
      </c>
      <c r="I76" t="str">
        <f t="shared" si="10"/>
        <v/>
      </c>
      <c r="K76" t="str">
        <f t="shared" si="11"/>
        <v/>
      </c>
      <c r="L76" t="str">
        <f t="shared" si="12"/>
        <v/>
      </c>
      <c r="M76" t="str">
        <f>IF($I76="","",COUNTIF($I$5:$I76,$I76))</f>
        <v/>
      </c>
      <c r="R76" s="23"/>
      <c r="S76" s="23"/>
      <c r="T76" s="24" t="str">
        <f t="shared" si="13"/>
        <v/>
      </c>
    </row>
    <row r="77" spans="1:20" ht="15.75" customHeight="1" x14ac:dyDescent="0.15">
      <c r="A77" s="2" t="str">
        <f>IF($B77="","",COUNTA($B$5:$B77))</f>
        <v/>
      </c>
      <c r="B77" s="3"/>
      <c r="C77" s="4" t="str">
        <f>IF($B77="","",IFERROR(VLOOKUP($B77,'قاموس الترجمة'!$A$2:$B$979,2,0),""))</f>
        <v/>
      </c>
      <c r="D77" s="3"/>
      <c r="E77" s="5" t="str">
        <f t="shared" si="14"/>
        <v/>
      </c>
      <c r="F77" s="6" t="str">
        <f>IF($B77="","",IF($K77&lt;&gt;"",$K77,IF($H77="","— اختر النوع —",IF(AND($H77&lt;&gt;"FIN",$I77=""),"— اختر الحالة —",$H77&amp;"-"&amp;$I77&amp;"-"&amp;TEXT(SUMPRODUCT(MAX(($H$157:$H$590=$H77)*($I$157:$I$590=$I77)*$J$157:$J$590))+SUMPRODUCT(($H$5:$H77=$H77)*($I$5:$I77=$I77)*($L$5:$L77=1)),"000")))))</f>
        <v/>
      </c>
      <c r="G77" s="5"/>
      <c r="H77" t="str">
        <f>IFERROR(VLOOKUP($D77,القوائم!$A$2:$B$4,2,0),"")</f>
        <v/>
      </c>
      <c r="I77" t="str">
        <f t="shared" si="10"/>
        <v/>
      </c>
      <c r="K77" t="str">
        <f t="shared" si="11"/>
        <v/>
      </c>
      <c r="L77" t="str">
        <f t="shared" si="12"/>
        <v/>
      </c>
      <c r="M77" t="str">
        <f>IF($I77="","",COUNTIF($I$5:$I77,$I77))</f>
        <v/>
      </c>
      <c r="R77" s="23"/>
      <c r="S77" s="23"/>
      <c r="T77" s="24" t="str">
        <f t="shared" si="13"/>
        <v/>
      </c>
    </row>
    <row r="78" spans="1:20" ht="15.75" customHeight="1" x14ac:dyDescent="0.15">
      <c r="A78" s="2" t="str">
        <f>IF($B78="","",COUNTA($B$5:$B78))</f>
        <v/>
      </c>
      <c r="B78" s="3"/>
      <c r="C78" s="4" t="str">
        <f>IF($B78="","",IFERROR(VLOOKUP($B78,'قاموس الترجمة'!$A$2:$B$979,2,0),""))</f>
        <v/>
      </c>
      <c r="D78" s="3"/>
      <c r="E78" s="5" t="str">
        <f t="shared" si="14"/>
        <v/>
      </c>
      <c r="F78" s="6" t="str">
        <f>IF($B78="","",IF($K78&lt;&gt;"",$K78,IF($H78="","— اختر النوع —",IF(AND($H78&lt;&gt;"FIN",$I78=""),"— اختر الحالة —",$H78&amp;"-"&amp;$I78&amp;"-"&amp;TEXT(SUMPRODUCT(MAX(($H$157:$H$590=$H78)*($I$157:$I$590=$I78)*$J$157:$J$590))+SUMPRODUCT(($H$5:$H78=$H78)*($I$5:$I78=$I78)*($L$5:$L78=1)),"000")))))</f>
        <v/>
      </c>
      <c r="G78" s="5"/>
      <c r="H78" t="str">
        <f>IFERROR(VLOOKUP($D78,القوائم!$A$2:$B$4,2,0),"")</f>
        <v/>
      </c>
      <c r="I78" t="str">
        <f t="shared" si="10"/>
        <v/>
      </c>
      <c r="K78" t="str">
        <f t="shared" si="11"/>
        <v/>
      </c>
      <c r="L78" t="str">
        <f t="shared" si="12"/>
        <v/>
      </c>
      <c r="M78" t="str">
        <f>IF($I78="","",COUNTIF($I$5:$I78,$I78))</f>
        <v/>
      </c>
      <c r="R78" s="23"/>
      <c r="S78" s="23"/>
      <c r="T78" s="24" t="str">
        <f t="shared" si="13"/>
        <v/>
      </c>
    </row>
    <row r="79" spans="1:20" ht="15.75" customHeight="1" x14ac:dyDescent="0.15">
      <c r="A79" s="2" t="str">
        <f>IF($B79="","",COUNTA($B$5:$B79))</f>
        <v/>
      </c>
      <c r="B79" s="3"/>
      <c r="C79" s="4" t="str">
        <f>IF($B79="","",IFERROR(VLOOKUP($B79,'قاموس الترجمة'!$A$2:$B$979,2,0),""))</f>
        <v/>
      </c>
      <c r="D79" s="3"/>
      <c r="E79" s="5" t="str">
        <f t="shared" si="14"/>
        <v/>
      </c>
      <c r="F79" s="6" t="str">
        <f>IF($B79="","",IF($K79&lt;&gt;"",$K79,IF($H79="","— اختر النوع —",IF(AND($H79&lt;&gt;"FIN",$I79=""),"— اختر الحالة —",$H79&amp;"-"&amp;$I79&amp;"-"&amp;TEXT(SUMPRODUCT(MAX(($H$157:$H$590=$H79)*($I$157:$I$590=$I79)*$J$157:$J$590))+SUMPRODUCT(($H$5:$H79=$H79)*($I$5:$I79=$I79)*($L$5:$L79=1)),"000")))))</f>
        <v/>
      </c>
      <c r="G79" s="5"/>
      <c r="H79" t="str">
        <f>IFERROR(VLOOKUP($D79,القوائم!$A$2:$B$4,2,0),"")</f>
        <v/>
      </c>
      <c r="I79" t="str">
        <f t="shared" si="10"/>
        <v/>
      </c>
      <c r="K79" t="str">
        <f t="shared" si="11"/>
        <v/>
      </c>
      <c r="L79" t="str">
        <f t="shared" si="12"/>
        <v/>
      </c>
      <c r="M79" t="str">
        <f>IF($I79="","",COUNTIF($I$5:$I79,$I79))</f>
        <v/>
      </c>
      <c r="R79" s="23"/>
      <c r="S79" s="23"/>
      <c r="T79" s="24" t="str">
        <f t="shared" si="13"/>
        <v/>
      </c>
    </row>
    <row r="80" spans="1:20" ht="15.75" customHeight="1" x14ac:dyDescent="0.15">
      <c r="A80" s="2" t="str">
        <f>IF($B80="","",COUNTA($B$5:$B80))</f>
        <v/>
      </c>
      <c r="B80" s="3"/>
      <c r="C80" s="4" t="str">
        <f>IF($B80="","",IFERROR(VLOOKUP($B80,'قاموس الترجمة'!$A$2:$B$979,2,0),""))</f>
        <v/>
      </c>
      <c r="D80" s="3"/>
      <c r="E80" s="5" t="str">
        <f t="shared" si="14"/>
        <v/>
      </c>
      <c r="F80" s="6" t="str">
        <f>IF($B80="","",IF($K80&lt;&gt;"",$K80,IF($H80="","— اختر النوع —",IF(AND($H80&lt;&gt;"FIN",$I80=""),"— اختر الحالة —",$H80&amp;"-"&amp;$I80&amp;"-"&amp;TEXT(SUMPRODUCT(MAX(($H$157:$H$590=$H80)*($I$157:$I$590=$I80)*$J$157:$J$590))+SUMPRODUCT(($H$5:$H80=$H80)*($I$5:$I80=$I80)*($L$5:$L80=1)),"000")))))</f>
        <v/>
      </c>
      <c r="G80" s="5"/>
      <c r="H80" t="str">
        <f>IFERROR(VLOOKUP($D80,القوائم!$A$2:$B$4,2,0),"")</f>
        <v/>
      </c>
      <c r="I80" t="str">
        <f t="shared" si="10"/>
        <v/>
      </c>
      <c r="K80" t="str">
        <f t="shared" si="11"/>
        <v/>
      </c>
      <c r="L80" t="str">
        <f t="shared" si="12"/>
        <v/>
      </c>
      <c r="M80" t="str">
        <f>IF($I80="","",COUNTIF($I$5:$I80,$I80))</f>
        <v/>
      </c>
      <c r="R80" s="23"/>
      <c r="S80" s="23"/>
      <c r="T80" s="24" t="str">
        <f t="shared" si="13"/>
        <v/>
      </c>
    </row>
    <row r="81" spans="1:20" ht="15.75" customHeight="1" x14ac:dyDescent="0.15">
      <c r="A81" s="2" t="str">
        <f>IF($B81="","",COUNTA($B$5:$B81))</f>
        <v/>
      </c>
      <c r="B81" s="3"/>
      <c r="C81" s="4" t="str">
        <f>IF($B81="","",IFERROR(VLOOKUP($B81,'قاموس الترجمة'!$A$2:$B$979,2,0),""))</f>
        <v/>
      </c>
      <c r="D81" s="3"/>
      <c r="E81" s="5" t="str">
        <f t="shared" si="14"/>
        <v/>
      </c>
      <c r="F81" s="6" t="str">
        <f>IF($B81="","",IF($K81&lt;&gt;"",$K81,IF($H81="","— اختر النوع —",IF(AND($H81&lt;&gt;"FIN",$I81=""),"— اختر الحالة —",$H81&amp;"-"&amp;$I81&amp;"-"&amp;TEXT(SUMPRODUCT(MAX(($H$157:$H$590=$H81)*($I$157:$I$590=$I81)*$J$157:$J$590))+SUMPRODUCT(($H$5:$H81=$H81)*($I$5:$I81=$I81)*($L$5:$L81=1)),"000")))))</f>
        <v/>
      </c>
      <c r="G81" s="5"/>
      <c r="H81" t="str">
        <f>IFERROR(VLOOKUP($D81,القوائم!$A$2:$B$4,2,0),"")</f>
        <v/>
      </c>
      <c r="I81" t="str">
        <f t="shared" si="10"/>
        <v/>
      </c>
      <c r="K81" t="str">
        <f t="shared" si="11"/>
        <v/>
      </c>
      <c r="L81" t="str">
        <f t="shared" si="12"/>
        <v/>
      </c>
      <c r="M81" t="str">
        <f>IF($I81="","",COUNTIF($I$5:$I81,$I81))</f>
        <v/>
      </c>
      <c r="R81" s="23"/>
      <c r="S81" s="23"/>
      <c r="T81" s="24" t="str">
        <f t="shared" si="13"/>
        <v/>
      </c>
    </row>
    <row r="82" spans="1:20" ht="15.75" customHeight="1" x14ac:dyDescent="0.15">
      <c r="A82" s="2" t="str">
        <f>IF($B82="","",COUNTA($B$5:$B82))</f>
        <v/>
      </c>
      <c r="B82" s="3"/>
      <c r="C82" s="4" t="str">
        <f>IF($B82="","",IFERROR(VLOOKUP($B82,'قاموس الترجمة'!$A$2:$B$979,2,0),""))</f>
        <v/>
      </c>
      <c r="D82" s="3"/>
      <c r="E82" s="5" t="str">
        <f t="shared" si="14"/>
        <v/>
      </c>
      <c r="F82" s="6" t="str">
        <f>IF($B82="","",IF($K82&lt;&gt;"",$K82,IF($H82="","— اختر النوع —",IF(AND($H82&lt;&gt;"FIN",$I82=""),"— اختر الحالة —",$H82&amp;"-"&amp;$I82&amp;"-"&amp;TEXT(SUMPRODUCT(MAX(($H$157:$H$590=$H82)*($I$157:$I$590=$I82)*$J$157:$J$590))+SUMPRODUCT(($H$5:$H82=$H82)*($I$5:$I82=$I82)*($L$5:$L82=1)),"000")))))</f>
        <v/>
      </c>
      <c r="G82" s="5"/>
      <c r="H82" t="str">
        <f>IFERROR(VLOOKUP($D82,القوائم!$A$2:$B$4,2,0),"")</f>
        <v/>
      </c>
      <c r="I82" t="str">
        <f t="shared" si="10"/>
        <v/>
      </c>
      <c r="K82" t="str">
        <f t="shared" si="11"/>
        <v/>
      </c>
      <c r="L82" t="str">
        <f t="shared" si="12"/>
        <v/>
      </c>
      <c r="M82" t="str">
        <f>IF($I82="","",COUNTIF($I$5:$I82,$I82))</f>
        <v/>
      </c>
      <c r="R82" s="23"/>
      <c r="S82" s="23"/>
      <c r="T82" s="24" t="str">
        <f t="shared" si="13"/>
        <v/>
      </c>
    </row>
    <row r="83" spans="1:20" ht="15.75" customHeight="1" x14ac:dyDescent="0.15">
      <c r="A83" s="2" t="str">
        <f>IF($B83="","",COUNTA($B$5:$B83))</f>
        <v/>
      </c>
      <c r="B83" s="3"/>
      <c r="C83" s="4" t="str">
        <f>IF($B83="","",IFERROR(VLOOKUP($B83,'قاموس الترجمة'!$A$2:$B$979,2,0),""))</f>
        <v/>
      </c>
      <c r="D83" s="3"/>
      <c r="E83" s="5" t="str">
        <f t="shared" si="14"/>
        <v/>
      </c>
      <c r="F83" s="6" t="str">
        <f>IF($B83="","",IF($K83&lt;&gt;"",$K83,IF($H83="","— اختر النوع —",IF(AND($H83&lt;&gt;"FIN",$I83=""),"— اختر الحالة —",$H83&amp;"-"&amp;$I83&amp;"-"&amp;TEXT(SUMPRODUCT(MAX(($H$157:$H$590=$H83)*($I$157:$I$590=$I83)*$J$157:$J$590))+SUMPRODUCT(($H$5:$H83=$H83)*($I$5:$I83=$I83)*($L$5:$L83=1)),"000")))))</f>
        <v/>
      </c>
      <c r="G83" s="5"/>
      <c r="H83" t="str">
        <f>IFERROR(VLOOKUP($D83,القوائم!$A$2:$B$4,2,0),"")</f>
        <v/>
      </c>
      <c r="I83" t="str">
        <f t="shared" si="10"/>
        <v/>
      </c>
      <c r="K83" t="str">
        <f t="shared" si="11"/>
        <v/>
      </c>
      <c r="L83" t="str">
        <f t="shared" si="12"/>
        <v/>
      </c>
      <c r="M83" t="str">
        <f>IF($I83="","",COUNTIF($I$5:$I83,$I83))</f>
        <v/>
      </c>
      <c r="R83" s="23"/>
      <c r="S83" s="23"/>
      <c r="T83" s="24" t="str">
        <f t="shared" si="13"/>
        <v/>
      </c>
    </row>
    <row r="84" spans="1:20" ht="15.75" customHeight="1" x14ac:dyDescent="0.15">
      <c r="A84" s="2" t="str">
        <f>IF($B84="","",COUNTA($B$5:$B84))</f>
        <v/>
      </c>
      <c r="B84" s="3"/>
      <c r="C84" s="4" t="str">
        <f>IF($B84="","",IFERROR(VLOOKUP($B84,'قاموس الترجمة'!$A$2:$B$979,2,0),""))</f>
        <v/>
      </c>
      <c r="D84" s="3"/>
      <c r="E84" s="5" t="str">
        <f t="shared" si="14"/>
        <v/>
      </c>
      <c r="F84" s="6" t="str">
        <f>IF($B84="","",IF($K84&lt;&gt;"",$K84,IF($H84="","— اختر النوع —",IF(AND($H84&lt;&gt;"FIN",$I84=""),"— اختر الحالة —",$H84&amp;"-"&amp;$I84&amp;"-"&amp;TEXT(SUMPRODUCT(MAX(($H$157:$H$590=$H84)*($I$157:$I$590=$I84)*$J$157:$J$590))+SUMPRODUCT(($H$5:$H84=$H84)*($I$5:$I84=$I84)*($L$5:$L84=1)),"000")))))</f>
        <v/>
      </c>
      <c r="G84" s="5"/>
      <c r="H84" t="str">
        <f>IFERROR(VLOOKUP($D84,القوائم!$A$2:$B$4,2,0),"")</f>
        <v/>
      </c>
      <c r="I84" t="str">
        <f t="shared" si="10"/>
        <v/>
      </c>
      <c r="K84" t="str">
        <f t="shared" si="11"/>
        <v/>
      </c>
      <c r="L84" t="str">
        <f t="shared" si="12"/>
        <v/>
      </c>
      <c r="M84" t="str">
        <f>IF($I84="","",COUNTIF($I$5:$I84,$I84))</f>
        <v/>
      </c>
      <c r="R84" s="23"/>
      <c r="S84" s="23"/>
      <c r="T84" s="24" t="str">
        <f t="shared" si="13"/>
        <v/>
      </c>
    </row>
    <row r="85" spans="1:20" ht="15.75" customHeight="1" x14ac:dyDescent="0.15">
      <c r="A85" s="2" t="str">
        <f>IF($B85="","",COUNTA($B$5:$B85))</f>
        <v/>
      </c>
      <c r="B85" s="3"/>
      <c r="C85" s="4" t="str">
        <f>IF($B85="","",IFERROR(VLOOKUP($B85,'قاموس الترجمة'!$A$2:$B$979,2,0),""))</f>
        <v/>
      </c>
      <c r="D85" s="3"/>
      <c r="E85" s="5" t="str">
        <f t="shared" si="14"/>
        <v/>
      </c>
      <c r="F85" s="6" t="str">
        <f>IF($B85="","",IF($K85&lt;&gt;"",$K85,IF($H85="","— اختر النوع —",IF(AND($H85&lt;&gt;"FIN",$I85=""),"— اختر الحالة —",$H85&amp;"-"&amp;$I85&amp;"-"&amp;TEXT(SUMPRODUCT(MAX(($H$157:$H$590=$H85)*($I$157:$I$590=$I85)*$J$157:$J$590))+SUMPRODUCT(($H$5:$H85=$H85)*($I$5:$I85=$I85)*($L$5:$L85=1)),"000")))))</f>
        <v/>
      </c>
      <c r="G85" s="5"/>
      <c r="H85" t="str">
        <f>IFERROR(VLOOKUP($D85,القوائم!$A$2:$B$4,2,0),"")</f>
        <v/>
      </c>
      <c r="I85" t="str">
        <f t="shared" si="10"/>
        <v/>
      </c>
      <c r="K85" t="str">
        <f t="shared" si="11"/>
        <v/>
      </c>
      <c r="L85" t="str">
        <f t="shared" si="12"/>
        <v/>
      </c>
      <c r="M85" t="str">
        <f>IF($I85="","",COUNTIF($I$5:$I85,$I85))</f>
        <v/>
      </c>
      <c r="R85" s="23"/>
      <c r="S85" s="23"/>
      <c r="T85" s="24" t="str">
        <f t="shared" si="13"/>
        <v/>
      </c>
    </row>
    <row r="86" spans="1:20" ht="15.75" customHeight="1" x14ac:dyDescent="0.15">
      <c r="A86" s="2" t="str">
        <f>IF($B86="","",COUNTA($B$5:$B86))</f>
        <v/>
      </c>
      <c r="B86" s="3"/>
      <c r="C86" s="4" t="str">
        <f>IF($B86="","",IFERROR(VLOOKUP($B86,'قاموس الترجمة'!$A$2:$B$979,2,0),""))</f>
        <v/>
      </c>
      <c r="D86" s="3"/>
      <c r="E86" s="5" t="str">
        <f t="shared" si="14"/>
        <v/>
      </c>
      <c r="F86" s="6" t="str">
        <f>IF($B86="","",IF($K86&lt;&gt;"",$K86,IF($H86="","— اختر النوع —",IF(AND($H86&lt;&gt;"FIN",$I86=""),"— اختر الحالة —",$H86&amp;"-"&amp;$I86&amp;"-"&amp;TEXT(SUMPRODUCT(MAX(($H$157:$H$590=$H86)*($I$157:$I$590=$I86)*$J$157:$J$590))+SUMPRODUCT(($H$5:$H86=$H86)*($I$5:$I86=$I86)*($L$5:$L86=1)),"000")))))</f>
        <v/>
      </c>
      <c r="G86" s="5"/>
      <c r="H86" t="str">
        <f>IFERROR(VLOOKUP($D86,القوائم!$A$2:$B$4,2,0),"")</f>
        <v/>
      </c>
      <c r="I86" t="str">
        <f t="shared" si="10"/>
        <v/>
      </c>
      <c r="K86" t="str">
        <f t="shared" si="11"/>
        <v/>
      </c>
      <c r="L86" t="str">
        <f t="shared" si="12"/>
        <v/>
      </c>
      <c r="M86" t="str">
        <f>IF($I86="","",COUNTIF($I$5:$I86,$I86))</f>
        <v/>
      </c>
      <c r="R86" s="23"/>
      <c r="S86" s="23"/>
      <c r="T86" s="24" t="str">
        <f t="shared" si="13"/>
        <v/>
      </c>
    </row>
    <row r="87" spans="1:20" ht="15.75" customHeight="1" x14ac:dyDescent="0.15">
      <c r="A87" s="2" t="str">
        <f>IF($B87="","",COUNTA($B$5:$B87))</f>
        <v/>
      </c>
      <c r="B87" s="3"/>
      <c r="C87" s="4" t="str">
        <f>IF($B87="","",IFERROR(VLOOKUP($B87,'قاموس الترجمة'!$A$2:$B$979,2,0),""))</f>
        <v/>
      </c>
      <c r="D87" s="3"/>
      <c r="E87" s="5" t="str">
        <f t="shared" si="14"/>
        <v/>
      </c>
      <c r="F87" s="6" t="str">
        <f>IF($B87="","",IF($K87&lt;&gt;"",$K87,IF($H87="","— اختر النوع —",IF(AND($H87&lt;&gt;"FIN",$I87=""),"— اختر الحالة —",$H87&amp;"-"&amp;$I87&amp;"-"&amp;TEXT(SUMPRODUCT(MAX(($H$157:$H$590=$H87)*($I$157:$I$590=$I87)*$J$157:$J$590))+SUMPRODUCT(($H$5:$H87=$H87)*($I$5:$I87=$I87)*($L$5:$L87=1)),"000")))))</f>
        <v/>
      </c>
      <c r="G87" s="5"/>
      <c r="H87" t="str">
        <f>IFERROR(VLOOKUP($D87,القوائم!$A$2:$B$4,2,0),"")</f>
        <v/>
      </c>
      <c r="I87" t="str">
        <f t="shared" si="10"/>
        <v/>
      </c>
      <c r="K87" t="str">
        <f t="shared" si="11"/>
        <v/>
      </c>
      <c r="L87" t="str">
        <f t="shared" si="12"/>
        <v/>
      </c>
      <c r="M87" t="str">
        <f>IF($I87="","",COUNTIF($I$5:$I87,$I87))</f>
        <v/>
      </c>
      <c r="R87" s="23"/>
      <c r="S87" s="23"/>
      <c r="T87" s="24" t="str">
        <f t="shared" si="13"/>
        <v/>
      </c>
    </row>
    <row r="88" spans="1:20" ht="15.75" customHeight="1" x14ac:dyDescent="0.15">
      <c r="A88" s="2" t="str">
        <f>IF($B88="","",COUNTA($B$5:$B88))</f>
        <v/>
      </c>
      <c r="B88" s="3"/>
      <c r="C88" s="4" t="str">
        <f>IF($B88="","",IFERROR(VLOOKUP($B88,'قاموس الترجمة'!$A$2:$B$979,2,0),""))</f>
        <v/>
      </c>
      <c r="D88" s="3"/>
      <c r="E88" s="5" t="str">
        <f t="shared" si="14"/>
        <v/>
      </c>
      <c r="F88" s="6" t="str">
        <f>IF($B88="","",IF($K88&lt;&gt;"",$K88,IF($H88="","— اختر النوع —",IF(AND($H88&lt;&gt;"FIN",$I88=""),"— اختر الحالة —",$H88&amp;"-"&amp;$I88&amp;"-"&amp;TEXT(SUMPRODUCT(MAX(($H$157:$H$590=$H88)*($I$157:$I$590=$I88)*$J$157:$J$590))+SUMPRODUCT(($H$5:$H88=$H88)*($I$5:$I88=$I88)*($L$5:$L88=1)),"000")))))</f>
        <v/>
      </c>
      <c r="G88" s="5"/>
      <c r="H88" t="str">
        <f>IFERROR(VLOOKUP($D88,القوائم!$A$2:$B$4,2,0),"")</f>
        <v/>
      </c>
      <c r="I88" t="str">
        <f t="shared" si="10"/>
        <v/>
      </c>
      <c r="K88" t="str">
        <f t="shared" si="11"/>
        <v/>
      </c>
      <c r="L88" t="str">
        <f t="shared" si="12"/>
        <v/>
      </c>
      <c r="M88" t="str">
        <f>IF($I88="","",COUNTIF($I$5:$I88,$I88))</f>
        <v/>
      </c>
      <c r="R88" s="23"/>
      <c r="S88" s="23"/>
      <c r="T88" s="24" t="str">
        <f t="shared" si="13"/>
        <v/>
      </c>
    </row>
    <row r="89" spans="1:20" ht="15.75" customHeight="1" x14ac:dyDescent="0.15">
      <c r="A89" s="2" t="str">
        <f>IF($B89="","",COUNTA($B$5:$B89))</f>
        <v/>
      </c>
      <c r="B89" s="3"/>
      <c r="C89" s="4" t="str">
        <f>IF($B89="","",IFERROR(VLOOKUP($B89,'قاموس الترجمة'!$A$2:$B$979,2,0),""))</f>
        <v/>
      </c>
      <c r="D89" s="3"/>
      <c r="E89" s="5" t="str">
        <f t="shared" si="14"/>
        <v/>
      </c>
      <c r="F89" s="6" t="str">
        <f>IF($B89="","",IF($K89&lt;&gt;"",$K89,IF($H89="","— اختر النوع —",IF(AND($H89&lt;&gt;"FIN",$I89=""),"— اختر الحالة —",$H89&amp;"-"&amp;$I89&amp;"-"&amp;TEXT(SUMPRODUCT(MAX(($H$157:$H$590=$H89)*($I$157:$I$590=$I89)*$J$157:$J$590))+SUMPRODUCT(($H$5:$H89=$H89)*($I$5:$I89=$I89)*($L$5:$L89=1)),"000")))))</f>
        <v/>
      </c>
      <c r="G89" s="5"/>
      <c r="H89" t="str">
        <f>IFERROR(VLOOKUP($D89,القوائم!$A$2:$B$4,2,0),"")</f>
        <v/>
      </c>
      <c r="I89" t="str">
        <f t="shared" si="10"/>
        <v/>
      </c>
      <c r="K89" t="str">
        <f t="shared" si="11"/>
        <v/>
      </c>
      <c r="L89" t="str">
        <f t="shared" si="12"/>
        <v/>
      </c>
      <c r="M89" t="str">
        <f>IF($I89="","",COUNTIF($I$5:$I89,$I89))</f>
        <v/>
      </c>
      <c r="R89" s="23"/>
      <c r="S89" s="23"/>
      <c r="T89" s="24" t="str">
        <f t="shared" si="13"/>
        <v/>
      </c>
    </row>
    <row r="90" spans="1:20" ht="15.75" customHeight="1" x14ac:dyDescent="0.15">
      <c r="A90" s="2" t="str">
        <f>IF($B90="","",COUNTA($B$5:$B90))</f>
        <v/>
      </c>
      <c r="B90" s="3"/>
      <c r="C90" s="4" t="str">
        <f>IF($B90="","",IFERROR(VLOOKUP($B90,'قاموس الترجمة'!$A$2:$B$979,2,0),""))</f>
        <v/>
      </c>
      <c r="D90" s="3"/>
      <c r="E90" s="5" t="str">
        <f t="shared" si="14"/>
        <v/>
      </c>
      <c r="F90" s="6" t="str">
        <f>IF($B90="","",IF($K90&lt;&gt;"",$K90,IF($H90="","— اختر النوع —",IF(AND($H90&lt;&gt;"FIN",$I90=""),"— اختر الحالة —",$H90&amp;"-"&amp;$I90&amp;"-"&amp;TEXT(SUMPRODUCT(MAX(($H$157:$H$590=$H90)*($I$157:$I$590=$I90)*$J$157:$J$590))+SUMPRODUCT(($H$5:$H90=$H90)*($I$5:$I90=$I90)*($L$5:$L90=1)),"000")))))</f>
        <v/>
      </c>
      <c r="G90" s="5"/>
      <c r="H90" t="str">
        <f>IFERROR(VLOOKUP($D90,القوائم!$A$2:$B$4,2,0),"")</f>
        <v/>
      </c>
      <c r="I90" t="str">
        <f t="shared" si="10"/>
        <v/>
      </c>
      <c r="K90" t="str">
        <f t="shared" si="11"/>
        <v/>
      </c>
      <c r="L90" t="str">
        <f t="shared" si="12"/>
        <v/>
      </c>
      <c r="M90" t="str">
        <f>IF($I90="","",COUNTIF($I$5:$I90,$I90))</f>
        <v/>
      </c>
      <c r="R90" s="23"/>
      <c r="S90" s="23"/>
      <c r="T90" s="24" t="str">
        <f t="shared" si="13"/>
        <v/>
      </c>
    </row>
    <row r="91" spans="1:20" ht="15.75" customHeight="1" x14ac:dyDescent="0.15">
      <c r="A91" s="2" t="str">
        <f>IF($B91="","",COUNTA($B$5:$B91))</f>
        <v/>
      </c>
      <c r="B91" s="3"/>
      <c r="C91" s="4" t="str">
        <f>IF($B91="","",IFERROR(VLOOKUP($B91,'قاموس الترجمة'!$A$2:$B$979,2,0),""))</f>
        <v/>
      </c>
      <c r="D91" s="3"/>
      <c r="E91" s="5" t="str">
        <f t="shared" si="14"/>
        <v/>
      </c>
      <c r="F91" s="6" t="str">
        <f>IF($B91="","",IF($K91&lt;&gt;"",$K91,IF($H91="","— اختر النوع —",IF(AND($H91&lt;&gt;"FIN",$I91=""),"— اختر الحالة —",$H91&amp;"-"&amp;$I91&amp;"-"&amp;TEXT(SUMPRODUCT(MAX(($H$157:$H$590=$H91)*($I$157:$I$590=$I91)*$J$157:$J$590))+SUMPRODUCT(($H$5:$H91=$H91)*($I$5:$I91=$I91)*($L$5:$L91=1)),"000")))))</f>
        <v/>
      </c>
      <c r="G91" s="5"/>
      <c r="H91" t="str">
        <f>IFERROR(VLOOKUP($D91,القوائم!$A$2:$B$4,2,0),"")</f>
        <v/>
      </c>
      <c r="I91" t="str">
        <f t="shared" si="10"/>
        <v/>
      </c>
      <c r="K91" t="str">
        <f t="shared" si="11"/>
        <v/>
      </c>
      <c r="L91" t="str">
        <f t="shared" si="12"/>
        <v/>
      </c>
      <c r="M91" t="str">
        <f>IF($I91="","",COUNTIF($I$5:$I91,$I91))</f>
        <v/>
      </c>
      <c r="R91" s="23"/>
      <c r="S91" s="23"/>
      <c r="T91" s="24" t="str">
        <f t="shared" si="13"/>
        <v/>
      </c>
    </row>
    <row r="92" spans="1:20" ht="15.75" customHeight="1" x14ac:dyDescent="0.15">
      <c r="A92" s="2" t="str">
        <f>IF($B92="","",COUNTA($B$5:$B92))</f>
        <v/>
      </c>
      <c r="B92" s="3"/>
      <c r="C92" s="4" t="str">
        <f>IF($B92="","",IFERROR(VLOOKUP($B92,'قاموس الترجمة'!$A$2:$B$979,2,0),""))</f>
        <v/>
      </c>
      <c r="D92" s="3"/>
      <c r="E92" s="5" t="str">
        <f t="shared" si="14"/>
        <v/>
      </c>
      <c r="F92" s="6" t="str">
        <f>IF($B92="","",IF($K92&lt;&gt;"",$K92,IF($H92="","— اختر النوع —",IF(AND($H92&lt;&gt;"FIN",$I92=""),"— اختر الحالة —",$H92&amp;"-"&amp;$I92&amp;"-"&amp;TEXT(SUMPRODUCT(MAX(($H$157:$H$590=$H92)*($I$157:$I$590=$I92)*$J$157:$J$590))+SUMPRODUCT(($H$5:$H92=$H92)*($I$5:$I92=$I92)*($L$5:$L92=1)),"000")))))</f>
        <v/>
      </c>
      <c r="G92" s="5"/>
      <c r="H92" t="str">
        <f>IFERROR(VLOOKUP($D92,القوائم!$A$2:$B$4,2,0),"")</f>
        <v/>
      </c>
      <c r="I92" t="str">
        <f t="shared" si="10"/>
        <v/>
      </c>
      <c r="K92" t="str">
        <f t="shared" si="11"/>
        <v/>
      </c>
      <c r="L92" t="str">
        <f t="shared" si="12"/>
        <v/>
      </c>
      <c r="M92" t="str">
        <f>IF($I92="","",COUNTIF($I$5:$I92,$I92))</f>
        <v/>
      </c>
      <c r="R92" s="23"/>
      <c r="S92" s="23"/>
      <c r="T92" s="24" t="str">
        <f t="shared" si="13"/>
        <v/>
      </c>
    </row>
    <row r="93" spans="1:20" ht="15.75" customHeight="1" x14ac:dyDescent="0.15">
      <c r="A93" s="2" t="str">
        <f>IF($B93="","",COUNTA($B$5:$B93))</f>
        <v/>
      </c>
      <c r="B93" s="3"/>
      <c r="C93" s="4" t="str">
        <f>IF($B93="","",IFERROR(VLOOKUP($B93,'قاموس الترجمة'!$A$2:$B$979,2,0),""))</f>
        <v/>
      </c>
      <c r="D93" s="3"/>
      <c r="E93" s="5" t="str">
        <f t="shared" si="14"/>
        <v/>
      </c>
      <c r="F93" s="6" t="str">
        <f>IF($B93="","",IF($K93&lt;&gt;"",$K93,IF($H93="","— اختر النوع —",IF(AND($H93&lt;&gt;"FIN",$I93=""),"— اختر الحالة —",$H93&amp;"-"&amp;$I93&amp;"-"&amp;TEXT(SUMPRODUCT(MAX(($H$157:$H$590=$H93)*($I$157:$I$590=$I93)*$J$157:$J$590))+SUMPRODUCT(($H$5:$H93=$H93)*($I$5:$I93=$I93)*($L$5:$L93=1)),"000")))))</f>
        <v/>
      </c>
      <c r="G93" s="5"/>
      <c r="H93" t="str">
        <f>IFERROR(VLOOKUP($D93,القوائم!$A$2:$B$4,2,0),"")</f>
        <v/>
      </c>
      <c r="I93" t="str">
        <f t="shared" si="10"/>
        <v/>
      </c>
      <c r="K93" t="str">
        <f t="shared" si="11"/>
        <v/>
      </c>
      <c r="L93" t="str">
        <f t="shared" si="12"/>
        <v/>
      </c>
      <c r="M93" t="str">
        <f>IF($I93="","",COUNTIF($I$5:$I93,$I93))</f>
        <v/>
      </c>
      <c r="R93" s="23"/>
      <c r="S93" s="23"/>
      <c r="T93" s="24" t="str">
        <f t="shared" si="13"/>
        <v/>
      </c>
    </row>
    <row r="94" spans="1:20" ht="15.75" customHeight="1" x14ac:dyDescent="0.15">
      <c r="A94" s="2" t="str">
        <f>IF($B94="","",COUNTA($B$5:$B94))</f>
        <v/>
      </c>
      <c r="B94" s="3"/>
      <c r="C94" s="4" t="str">
        <f>IF($B94="","",IFERROR(VLOOKUP($B94,'قاموس الترجمة'!$A$2:$B$979,2,0),""))</f>
        <v/>
      </c>
      <c r="D94" s="3"/>
      <c r="E94" s="5" t="str">
        <f t="shared" si="14"/>
        <v/>
      </c>
      <c r="F94" s="6" t="str">
        <f>IF($B94="","",IF($K94&lt;&gt;"",$K94,IF($H94="","— اختر النوع —",IF(AND($H94&lt;&gt;"FIN",$I94=""),"— اختر الحالة —",$H94&amp;"-"&amp;$I94&amp;"-"&amp;TEXT(SUMPRODUCT(MAX(($H$157:$H$590=$H94)*($I$157:$I$590=$I94)*$J$157:$J$590))+SUMPRODUCT(($H$5:$H94=$H94)*($I$5:$I94=$I94)*($L$5:$L94=1)),"000")))))</f>
        <v/>
      </c>
      <c r="G94" s="5"/>
      <c r="H94" t="str">
        <f>IFERROR(VLOOKUP($D94,القوائم!$A$2:$B$4,2,0),"")</f>
        <v/>
      </c>
      <c r="I94" t="str">
        <f t="shared" si="10"/>
        <v/>
      </c>
      <c r="K94" t="str">
        <f t="shared" si="11"/>
        <v/>
      </c>
      <c r="L94" t="str">
        <f t="shared" si="12"/>
        <v/>
      </c>
      <c r="M94" t="str">
        <f>IF($I94="","",COUNTIF($I$5:$I94,$I94))</f>
        <v/>
      </c>
      <c r="R94" s="23"/>
      <c r="S94" s="23"/>
      <c r="T94" s="24" t="str">
        <f t="shared" si="13"/>
        <v/>
      </c>
    </row>
    <row r="95" spans="1:20" ht="15.75" customHeight="1" x14ac:dyDescent="0.15">
      <c r="A95" s="2" t="str">
        <f>IF($B95="","",COUNTA($B$5:$B95))</f>
        <v/>
      </c>
      <c r="B95" s="3"/>
      <c r="C95" s="4" t="str">
        <f>IF($B95="","",IFERROR(VLOOKUP($B95,'قاموس الترجمة'!$A$2:$B$979,2,0),""))</f>
        <v/>
      </c>
      <c r="D95" s="3"/>
      <c r="E95" s="5" t="str">
        <f t="shared" si="14"/>
        <v/>
      </c>
      <c r="F95" s="6" t="str">
        <f>IF($B95="","",IF($K95&lt;&gt;"",$K95,IF($H95="","— اختر النوع —",IF(AND($H95&lt;&gt;"FIN",$I95=""),"— اختر الحالة —",$H95&amp;"-"&amp;$I95&amp;"-"&amp;TEXT(SUMPRODUCT(MAX(($H$157:$H$590=$H95)*($I$157:$I$590=$I95)*$J$157:$J$590))+SUMPRODUCT(($H$5:$H95=$H95)*($I$5:$I95=$I95)*($L$5:$L95=1)),"000")))))</f>
        <v/>
      </c>
      <c r="G95" s="5"/>
      <c r="H95" t="str">
        <f>IFERROR(VLOOKUP($D95,القوائم!$A$2:$B$4,2,0),"")</f>
        <v/>
      </c>
      <c r="I95" t="str">
        <f t="shared" si="10"/>
        <v/>
      </c>
      <c r="K95" t="str">
        <f t="shared" si="11"/>
        <v/>
      </c>
      <c r="L95" t="str">
        <f t="shared" si="12"/>
        <v/>
      </c>
      <c r="M95" t="str">
        <f>IF($I95="","",COUNTIF($I$5:$I95,$I95))</f>
        <v/>
      </c>
      <c r="R95" s="23"/>
      <c r="S95" s="23"/>
      <c r="T95" s="24" t="str">
        <f t="shared" si="13"/>
        <v/>
      </c>
    </row>
    <row r="96" spans="1:20" ht="15.75" customHeight="1" x14ac:dyDescent="0.15">
      <c r="A96" s="2" t="str">
        <f>IF($B96="","",COUNTA($B$5:$B96))</f>
        <v/>
      </c>
      <c r="B96" s="3"/>
      <c r="C96" s="4" t="str">
        <f>IF($B96="","",IFERROR(VLOOKUP($B96,'قاموس الترجمة'!$A$2:$B$979,2,0),""))</f>
        <v/>
      </c>
      <c r="D96" s="3"/>
      <c r="E96" s="5" t="str">
        <f t="shared" si="14"/>
        <v/>
      </c>
      <c r="F96" s="6" t="str">
        <f>IF($B96="","",IF($K96&lt;&gt;"",$K96,IF($H96="","— اختر النوع —",IF(AND($H96&lt;&gt;"FIN",$I96=""),"— اختر الحالة —",$H96&amp;"-"&amp;$I96&amp;"-"&amp;TEXT(SUMPRODUCT(MAX(($H$157:$H$590=$H96)*($I$157:$I$590=$I96)*$J$157:$J$590))+SUMPRODUCT(($H$5:$H96=$H96)*($I$5:$I96=$I96)*($L$5:$L96=1)),"000")))))</f>
        <v/>
      </c>
      <c r="G96" s="5"/>
      <c r="H96" t="str">
        <f>IFERROR(VLOOKUP($D96,القوائم!$A$2:$B$4,2,0),"")</f>
        <v/>
      </c>
      <c r="I96" t="str">
        <f t="shared" si="10"/>
        <v/>
      </c>
      <c r="K96" t="str">
        <f t="shared" si="11"/>
        <v/>
      </c>
      <c r="L96" t="str">
        <f t="shared" si="12"/>
        <v/>
      </c>
      <c r="M96" t="str">
        <f>IF($I96="","",COUNTIF($I$5:$I96,$I96))</f>
        <v/>
      </c>
      <c r="R96" s="23"/>
      <c r="S96" s="23"/>
      <c r="T96" s="24" t="str">
        <f t="shared" si="13"/>
        <v/>
      </c>
    </row>
    <row r="97" spans="1:20" ht="15.75" customHeight="1" x14ac:dyDescent="0.15">
      <c r="A97" s="2" t="str">
        <f>IF($B97="","",COUNTA($B$5:$B97))</f>
        <v/>
      </c>
      <c r="B97" s="3"/>
      <c r="C97" s="4" t="str">
        <f>IF($B97="","",IFERROR(VLOOKUP($B97,'قاموس الترجمة'!$A$2:$B$979,2,0),""))</f>
        <v/>
      </c>
      <c r="D97" s="3"/>
      <c r="E97" s="5" t="str">
        <f t="shared" si="14"/>
        <v/>
      </c>
      <c r="F97" s="6" t="str">
        <f>IF($B97="","",IF($K97&lt;&gt;"",$K97,IF($H97="","— اختر النوع —",IF(AND($H97&lt;&gt;"FIN",$I97=""),"— اختر الحالة —",$H97&amp;"-"&amp;$I97&amp;"-"&amp;TEXT(SUMPRODUCT(MAX(($H$157:$H$590=$H97)*($I$157:$I$590=$I97)*$J$157:$J$590))+SUMPRODUCT(($H$5:$H97=$H97)*($I$5:$I97=$I97)*($L$5:$L97=1)),"000")))))</f>
        <v/>
      </c>
      <c r="G97" s="5"/>
      <c r="H97" t="str">
        <f>IFERROR(VLOOKUP($D97,القوائم!$A$2:$B$4,2,0),"")</f>
        <v/>
      </c>
      <c r="I97" t="str">
        <f t="shared" si="10"/>
        <v/>
      </c>
      <c r="K97" t="str">
        <f t="shared" si="11"/>
        <v/>
      </c>
      <c r="L97" t="str">
        <f t="shared" si="12"/>
        <v/>
      </c>
      <c r="M97" t="str">
        <f>IF($I97="","",COUNTIF($I$5:$I97,$I97))</f>
        <v/>
      </c>
      <c r="R97" s="23"/>
      <c r="S97" s="23"/>
      <c r="T97" s="24" t="str">
        <f t="shared" si="13"/>
        <v/>
      </c>
    </row>
    <row r="98" spans="1:20" ht="15.75" customHeight="1" x14ac:dyDescent="0.15">
      <c r="A98" s="2" t="str">
        <f>IF($B98="","",COUNTA($B$5:$B98))</f>
        <v/>
      </c>
      <c r="B98" s="3"/>
      <c r="C98" s="4" t="str">
        <f>IF($B98="","",IFERROR(VLOOKUP($B98,'قاموس الترجمة'!$A$2:$B$979,2,0),""))</f>
        <v/>
      </c>
      <c r="D98" s="3"/>
      <c r="E98" s="5" t="str">
        <f t="shared" si="14"/>
        <v/>
      </c>
      <c r="F98" s="6" t="str">
        <f>IF($B98="","",IF($K98&lt;&gt;"",$K98,IF($H98="","— اختر النوع —",IF(AND($H98&lt;&gt;"FIN",$I98=""),"— اختر الحالة —",$H98&amp;"-"&amp;$I98&amp;"-"&amp;TEXT(SUMPRODUCT(MAX(($H$157:$H$590=$H98)*($I$157:$I$590=$I98)*$J$157:$J$590))+SUMPRODUCT(($H$5:$H98=$H98)*($I$5:$I98=$I98)*($L$5:$L98=1)),"000")))))</f>
        <v/>
      </c>
      <c r="G98" s="5"/>
      <c r="H98" t="str">
        <f>IFERROR(VLOOKUP($D98,القوائم!$A$2:$B$4,2,0),"")</f>
        <v/>
      </c>
      <c r="I98" t="str">
        <f t="shared" si="10"/>
        <v/>
      </c>
      <c r="K98" t="str">
        <f t="shared" si="11"/>
        <v/>
      </c>
      <c r="L98" t="str">
        <f t="shared" si="12"/>
        <v/>
      </c>
      <c r="M98" t="str">
        <f>IF($I98="","",COUNTIF($I$5:$I98,$I98))</f>
        <v/>
      </c>
      <c r="R98" s="23"/>
      <c r="S98" s="23"/>
      <c r="T98" s="24" t="str">
        <f t="shared" si="13"/>
        <v/>
      </c>
    </row>
    <row r="99" spans="1:20" ht="15.75" customHeight="1" x14ac:dyDescent="0.15">
      <c r="A99" s="2" t="str">
        <f>IF($B99="","",COUNTA($B$5:$B99))</f>
        <v/>
      </c>
      <c r="B99" s="3"/>
      <c r="C99" s="4" t="str">
        <f>IF($B99="","",IFERROR(VLOOKUP($B99,'قاموس الترجمة'!$A$2:$B$979,2,0),""))</f>
        <v/>
      </c>
      <c r="D99" s="3"/>
      <c r="E99" s="5" t="str">
        <f t="shared" si="14"/>
        <v/>
      </c>
      <c r="F99" s="6" t="str">
        <f>IF($B99="","",IF($K99&lt;&gt;"",$K99,IF($H99="","— اختر النوع —",IF(AND($H99&lt;&gt;"FIN",$I99=""),"— اختر الحالة —",$H99&amp;"-"&amp;$I99&amp;"-"&amp;TEXT(SUMPRODUCT(MAX(($H$157:$H$590=$H99)*($I$157:$I$590=$I99)*$J$157:$J$590))+SUMPRODUCT(($H$5:$H99=$H99)*($I$5:$I99=$I99)*($L$5:$L99=1)),"000")))))</f>
        <v/>
      </c>
      <c r="G99" s="5"/>
      <c r="H99" t="str">
        <f>IFERROR(VLOOKUP($D99,القوائم!$A$2:$B$4,2,0),"")</f>
        <v/>
      </c>
      <c r="I99" t="str">
        <f t="shared" si="10"/>
        <v/>
      </c>
      <c r="K99" t="str">
        <f t="shared" si="11"/>
        <v/>
      </c>
      <c r="L99" t="str">
        <f t="shared" si="12"/>
        <v/>
      </c>
      <c r="M99" t="str">
        <f>IF($I99="","",COUNTIF($I$5:$I99,$I99))</f>
        <v/>
      </c>
      <c r="R99" s="23"/>
      <c r="S99" s="23"/>
      <c r="T99" s="24" t="str">
        <f t="shared" si="13"/>
        <v/>
      </c>
    </row>
    <row r="100" spans="1:20" ht="15.75" customHeight="1" x14ac:dyDescent="0.15">
      <c r="A100" s="2" t="str">
        <f>IF($B100="","",COUNTA($B$5:$B100))</f>
        <v/>
      </c>
      <c r="B100" s="3"/>
      <c r="C100" s="4" t="str">
        <f>IF($B100="","",IFERROR(VLOOKUP($B100,'قاموس الترجمة'!$A$2:$B$979,2,0),""))</f>
        <v/>
      </c>
      <c r="D100" s="3"/>
      <c r="E100" s="5" t="str">
        <f t="shared" si="14"/>
        <v/>
      </c>
      <c r="F100" s="6" t="str">
        <f>IF($B100="","",IF($K100&lt;&gt;"",$K100,IF($H100="","— اختر النوع —",IF(AND($H100&lt;&gt;"FIN",$I100=""),"— اختر الحالة —",$H100&amp;"-"&amp;$I100&amp;"-"&amp;TEXT(SUMPRODUCT(MAX(($H$157:$H$590=$H100)*($I$157:$I$590=$I100)*$J$157:$J$590))+SUMPRODUCT(($H$5:$H100=$H100)*($I$5:$I100=$I100)*($L$5:$L100=1)),"000")))))</f>
        <v/>
      </c>
      <c r="G100" s="5"/>
      <c r="H100" t="str">
        <f>IFERROR(VLOOKUP($D100,القوائم!$A$2:$B$4,2,0),"")</f>
        <v/>
      </c>
      <c r="I100" t="str">
        <f t="shared" si="10"/>
        <v/>
      </c>
      <c r="K100" t="str">
        <f t="shared" si="11"/>
        <v/>
      </c>
      <c r="L100" t="str">
        <f t="shared" si="12"/>
        <v/>
      </c>
      <c r="M100" t="str">
        <f>IF($I100="","",COUNTIF($I$5:$I100,$I100))</f>
        <v/>
      </c>
      <c r="R100" s="23"/>
      <c r="S100" s="23"/>
      <c r="T100" s="24" t="str">
        <f t="shared" si="13"/>
        <v/>
      </c>
    </row>
    <row r="101" spans="1:20" ht="15.75" customHeight="1" x14ac:dyDescent="0.15">
      <c r="A101" s="2" t="str">
        <f>IF($B101="","",COUNTA($B$5:$B101))</f>
        <v/>
      </c>
      <c r="B101" s="3"/>
      <c r="C101" s="4" t="str">
        <f>IF($B101="","",IFERROR(VLOOKUP($B101,'قاموس الترجمة'!$A$2:$B$979,2,0),""))</f>
        <v/>
      </c>
      <c r="D101" s="3"/>
      <c r="E101" s="5" t="str">
        <f t="shared" si="14"/>
        <v/>
      </c>
      <c r="F101" s="6" t="str">
        <f>IF($B101="","",IF($K101&lt;&gt;"",$K101,IF($H101="","— اختر النوع —",IF(AND($H101&lt;&gt;"FIN",$I101=""),"— اختر الحالة —",$H101&amp;"-"&amp;$I101&amp;"-"&amp;TEXT(SUMPRODUCT(MAX(($H$157:$H$590=$H101)*($I$157:$I$590=$I101)*$J$157:$J$590))+SUMPRODUCT(($H$5:$H101=$H101)*($I$5:$I101=$I101)*($L$5:$L101=1)),"000")))))</f>
        <v/>
      </c>
      <c r="G101" s="5"/>
      <c r="H101" t="str">
        <f>IFERROR(VLOOKUP($D101,القوائم!$A$2:$B$4,2,0),"")</f>
        <v/>
      </c>
      <c r="I101" t="str">
        <f t="shared" ref="I101:I132" si="15">IF($H101="FIN","RTS",IF(ISNUMBER(SEARCH("مجمد",$E101)),"FRZ",IF(ISNUMBER(SEARCH("مبرد",$E101)),"CHL",IF(ISNUMBER(SEARCH("جاف",$E101)),"DRY",IF(ISNUMBER(SEARCH("استهلاك",$E101)),"CNS",IF(ISNUMBER(SEARCH("بيع",$E101)),"RTS",""))))))</f>
        <v/>
      </c>
      <c r="K101" t="str">
        <f t="shared" ref="K101:K132" si="16">IF($B101="","",IFERROR(INDEX($F$157:$F$590,MATCH($B101,$B$157:$B$590,0)),""))</f>
        <v/>
      </c>
      <c r="L101" t="str">
        <f t="shared" ref="L101:L132" si="17">IF($B101="","",IF($K101="",1,0))</f>
        <v/>
      </c>
      <c r="M101" t="str">
        <f>IF($I101="","",COUNTIF($I$5:$I101,$I101))</f>
        <v/>
      </c>
      <c r="R101" s="23"/>
      <c r="S101" s="23"/>
      <c r="T101" s="24" t="str">
        <f t="shared" ref="T101:T132" si="18">IF(OR($R101="",$S101="",$S101=0),"",ROUND($R101/$S101,2))</f>
        <v/>
      </c>
    </row>
    <row r="102" spans="1:20" ht="15.75" customHeight="1" x14ac:dyDescent="0.15">
      <c r="A102" s="2" t="str">
        <f>IF($B102="","",COUNTA($B$5:$B102))</f>
        <v/>
      </c>
      <c r="B102" s="3"/>
      <c r="C102" s="4" t="str">
        <f>IF($B102="","",IFERROR(VLOOKUP($B102,'قاموس الترجمة'!$A$2:$B$979,2,0),""))</f>
        <v/>
      </c>
      <c r="D102" s="3"/>
      <c r="E102" s="5" t="str">
        <f t="shared" si="14"/>
        <v/>
      </c>
      <c r="F102" s="6" t="str">
        <f>IF($B102="","",IF($K102&lt;&gt;"",$K102,IF($H102="","— اختر النوع —",IF(AND($H102&lt;&gt;"FIN",$I102=""),"— اختر الحالة —",$H102&amp;"-"&amp;$I102&amp;"-"&amp;TEXT(SUMPRODUCT(MAX(($H$157:$H$590=$H102)*($I$157:$I$590=$I102)*$J$157:$J$590))+SUMPRODUCT(($H$5:$H102=$H102)*($I$5:$I102=$I102)*($L$5:$L102=1)),"000")))))</f>
        <v/>
      </c>
      <c r="G102" s="5"/>
      <c r="H102" t="str">
        <f>IFERROR(VLOOKUP($D102,القوائم!$A$2:$B$4,2,0),"")</f>
        <v/>
      </c>
      <c r="I102" t="str">
        <f t="shared" si="15"/>
        <v/>
      </c>
      <c r="K102" t="str">
        <f t="shared" si="16"/>
        <v/>
      </c>
      <c r="L102" t="str">
        <f t="shared" si="17"/>
        <v/>
      </c>
      <c r="M102" t="str">
        <f>IF($I102="","",COUNTIF($I$5:$I102,$I102))</f>
        <v/>
      </c>
      <c r="R102" s="23"/>
      <c r="S102" s="23"/>
      <c r="T102" s="24" t="str">
        <f t="shared" si="18"/>
        <v/>
      </c>
    </row>
    <row r="103" spans="1:20" ht="15.75" customHeight="1" x14ac:dyDescent="0.15">
      <c r="A103" s="2" t="str">
        <f>IF($B103="","",COUNTA($B$5:$B103))</f>
        <v/>
      </c>
      <c r="B103" s="3"/>
      <c r="C103" s="4" t="str">
        <f>IF($B103="","",IFERROR(VLOOKUP($B103,'قاموس الترجمة'!$A$2:$B$979,2,0),""))</f>
        <v/>
      </c>
      <c r="D103" s="3"/>
      <c r="E103" s="5" t="str">
        <f t="shared" ref="E103:E134" si="19">IF($D103="منتج نهائي","جاهز للبيع","")</f>
        <v/>
      </c>
      <c r="F103" s="6" t="str">
        <f>IF($B103="","",IF($K103&lt;&gt;"",$K103,IF($H103="","— اختر النوع —",IF(AND($H103&lt;&gt;"FIN",$I103=""),"— اختر الحالة —",$H103&amp;"-"&amp;$I103&amp;"-"&amp;TEXT(SUMPRODUCT(MAX(($H$157:$H$590=$H103)*($I$157:$I$590=$I103)*$J$157:$J$590))+SUMPRODUCT(($H$5:$H103=$H103)*($I$5:$I103=$I103)*($L$5:$L103=1)),"000")))))</f>
        <v/>
      </c>
      <c r="G103" s="5"/>
      <c r="H103" t="str">
        <f>IFERROR(VLOOKUP($D103,القوائم!$A$2:$B$4,2,0),"")</f>
        <v/>
      </c>
      <c r="I103" t="str">
        <f t="shared" si="15"/>
        <v/>
      </c>
      <c r="K103" t="str">
        <f t="shared" si="16"/>
        <v/>
      </c>
      <c r="L103" t="str">
        <f t="shared" si="17"/>
        <v/>
      </c>
      <c r="M103" t="str">
        <f>IF($I103="","",COUNTIF($I$5:$I103,$I103))</f>
        <v/>
      </c>
      <c r="R103" s="23"/>
      <c r="S103" s="23"/>
      <c r="T103" s="24" t="str">
        <f t="shared" si="18"/>
        <v/>
      </c>
    </row>
    <row r="104" spans="1:20" ht="15.75" customHeight="1" x14ac:dyDescent="0.15">
      <c r="A104" s="2" t="str">
        <f>IF($B104="","",COUNTA($B$5:$B104))</f>
        <v/>
      </c>
      <c r="B104" s="3"/>
      <c r="C104" s="4" t="str">
        <f>IF($B104="","",IFERROR(VLOOKUP($B104,'قاموس الترجمة'!$A$2:$B$979,2,0),""))</f>
        <v/>
      </c>
      <c r="D104" s="3"/>
      <c r="E104" s="5" t="str">
        <f t="shared" si="19"/>
        <v/>
      </c>
      <c r="F104" s="6" t="str">
        <f>IF($B104="","",IF($K104&lt;&gt;"",$K104,IF($H104="","— اختر النوع —",IF(AND($H104&lt;&gt;"FIN",$I104=""),"— اختر الحالة —",$H104&amp;"-"&amp;$I104&amp;"-"&amp;TEXT(SUMPRODUCT(MAX(($H$157:$H$590=$H104)*($I$157:$I$590=$I104)*$J$157:$J$590))+SUMPRODUCT(($H$5:$H104=$H104)*($I$5:$I104=$I104)*($L$5:$L104=1)),"000")))))</f>
        <v/>
      </c>
      <c r="G104" s="5"/>
      <c r="H104" t="str">
        <f>IFERROR(VLOOKUP($D104,القوائم!$A$2:$B$4,2,0),"")</f>
        <v/>
      </c>
      <c r="I104" t="str">
        <f t="shared" si="15"/>
        <v/>
      </c>
      <c r="K104" t="str">
        <f t="shared" si="16"/>
        <v/>
      </c>
      <c r="L104" t="str">
        <f t="shared" si="17"/>
        <v/>
      </c>
      <c r="M104" t="str">
        <f>IF($I104="","",COUNTIF($I$5:$I104,$I104))</f>
        <v/>
      </c>
      <c r="R104" s="23"/>
      <c r="S104" s="23"/>
      <c r="T104" s="24" t="str">
        <f t="shared" si="18"/>
        <v/>
      </c>
    </row>
    <row r="105" spans="1:20" ht="15.75" customHeight="1" x14ac:dyDescent="0.15">
      <c r="A105" s="2" t="str">
        <f>IF($B105="","",COUNTA($B$5:$B105))</f>
        <v/>
      </c>
      <c r="B105" s="3"/>
      <c r="C105" s="4" t="str">
        <f>IF($B105="","",IFERROR(VLOOKUP($B105,'قاموس الترجمة'!$A$2:$B$979,2,0),""))</f>
        <v/>
      </c>
      <c r="D105" s="3"/>
      <c r="E105" s="5" t="str">
        <f t="shared" si="19"/>
        <v/>
      </c>
      <c r="F105" s="6" t="str">
        <f>IF($B105="","",IF($K105&lt;&gt;"",$K105,IF($H105="","— اختر النوع —",IF(AND($H105&lt;&gt;"FIN",$I105=""),"— اختر الحالة —",$H105&amp;"-"&amp;$I105&amp;"-"&amp;TEXT(SUMPRODUCT(MAX(($H$157:$H$590=$H105)*($I$157:$I$590=$I105)*$J$157:$J$590))+SUMPRODUCT(($H$5:$H105=$H105)*($I$5:$I105=$I105)*($L$5:$L105=1)),"000")))))</f>
        <v/>
      </c>
      <c r="G105" s="5"/>
      <c r="H105" t="str">
        <f>IFERROR(VLOOKUP($D105,القوائم!$A$2:$B$4,2,0),"")</f>
        <v/>
      </c>
      <c r="I105" t="str">
        <f t="shared" si="15"/>
        <v/>
      </c>
      <c r="K105" t="str">
        <f t="shared" si="16"/>
        <v/>
      </c>
      <c r="L105" t="str">
        <f t="shared" si="17"/>
        <v/>
      </c>
      <c r="M105" t="str">
        <f>IF($I105="","",COUNTIF($I$5:$I105,$I105))</f>
        <v/>
      </c>
      <c r="R105" s="23"/>
      <c r="S105" s="23"/>
      <c r="T105" s="24" t="str">
        <f t="shared" si="18"/>
        <v/>
      </c>
    </row>
    <row r="106" spans="1:20" ht="15.75" customHeight="1" x14ac:dyDescent="0.15">
      <c r="A106" s="2" t="str">
        <f>IF($B106="","",COUNTA($B$5:$B106))</f>
        <v/>
      </c>
      <c r="B106" s="3"/>
      <c r="C106" s="4" t="str">
        <f>IF($B106="","",IFERROR(VLOOKUP($B106,'قاموس الترجمة'!$A$2:$B$979,2,0),""))</f>
        <v/>
      </c>
      <c r="D106" s="3"/>
      <c r="E106" s="5" t="str">
        <f t="shared" si="19"/>
        <v/>
      </c>
      <c r="F106" s="6" t="str">
        <f>IF($B106="","",IF($K106&lt;&gt;"",$K106,IF($H106="","— اختر النوع —",IF(AND($H106&lt;&gt;"FIN",$I106=""),"— اختر الحالة —",$H106&amp;"-"&amp;$I106&amp;"-"&amp;TEXT(SUMPRODUCT(MAX(($H$157:$H$590=$H106)*($I$157:$I$590=$I106)*$J$157:$J$590))+SUMPRODUCT(($H$5:$H106=$H106)*($I$5:$I106=$I106)*($L$5:$L106=1)),"000")))))</f>
        <v/>
      </c>
      <c r="G106" s="5"/>
      <c r="H106" t="str">
        <f>IFERROR(VLOOKUP($D106,القوائم!$A$2:$B$4,2,0),"")</f>
        <v/>
      </c>
      <c r="I106" t="str">
        <f t="shared" si="15"/>
        <v/>
      </c>
      <c r="K106" t="str">
        <f t="shared" si="16"/>
        <v/>
      </c>
      <c r="L106" t="str">
        <f t="shared" si="17"/>
        <v/>
      </c>
      <c r="M106" t="str">
        <f>IF($I106="","",COUNTIF($I$5:$I106,$I106))</f>
        <v/>
      </c>
      <c r="R106" s="23"/>
      <c r="S106" s="23"/>
      <c r="T106" s="24" t="str">
        <f t="shared" si="18"/>
        <v/>
      </c>
    </row>
    <row r="107" spans="1:20" ht="15.75" customHeight="1" x14ac:dyDescent="0.15">
      <c r="A107" s="2" t="str">
        <f>IF($B107="","",COUNTA($B$5:$B107))</f>
        <v/>
      </c>
      <c r="B107" s="3"/>
      <c r="C107" s="4" t="str">
        <f>IF($B107="","",IFERROR(VLOOKUP($B107,'قاموس الترجمة'!$A$2:$B$979,2,0),""))</f>
        <v/>
      </c>
      <c r="D107" s="3"/>
      <c r="E107" s="5" t="str">
        <f t="shared" si="19"/>
        <v/>
      </c>
      <c r="F107" s="6" t="str">
        <f>IF($B107="","",IF($K107&lt;&gt;"",$K107,IF($H107="","— اختر النوع —",IF(AND($H107&lt;&gt;"FIN",$I107=""),"— اختر الحالة —",$H107&amp;"-"&amp;$I107&amp;"-"&amp;TEXT(SUMPRODUCT(MAX(($H$157:$H$590=$H107)*($I$157:$I$590=$I107)*$J$157:$J$590))+SUMPRODUCT(($H$5:$H107=$H107)*($I$5:$I107=$I107)*($L$5:$L107=1)),"000")))))</f>
        <v/>
      </c>
      <c r="G107" s="5"/>
      <c r="H107" t="str">
        <f>IFERROR(VLOOKUP($D107,القوائم!$A$2:$B$4,2,0),"")</f>
        <v/>
      </c>
      <c r="I107" t="str">
        <f t="shared" si="15"/>
        <v/>
      </c>
      <c r="K107" t="str">
        <f t="shared" si="16"/>
        <v/>
      </c>
      <c r="L107" t="str">
        <f t="shared" si="17"/>
        <v/>
      </c>
      <c r="M107" t="str">
        <f>IF($I107="","",COUNTIF($I$5:$I107,$I107))</f>
        <v/>
      </c>
      <c r="R107" s="23"/>
      <c r="S107" s="23"/>
      <c r="T107" s="24" t="str">
        <f t="shared" si="18"/>
        <v/>
      </c>
    </row>
    <row r="108" spans="1:20" ht="15.75" customHeight="1" x14ac:dyDescent="0.15">
      <c r="A108" s="2" t="str">
        <f>IF($B108="","",COUNTA($B$5:$B108))</f>
        <v/>
      </c>
      <c r="B108" s="3"/>
      <c r="C108" s="4" t="str">
        <f>IF($B108="","",IFERROR(VLOOKUP($B108,'قاموس الترجمة'!$A$2:$B$979,2,0),""))</f>
        <v/>
      </c>
      <c r="D108" s="3"/>
      <c r="E108" s="5" t="str">
        <f t="shared" si="19"/>
        <v/>
      </c>
      <c r="F108" s="6" t="str">
        <f>IF($B108="","",IF($K108&lt;&gt;"",$K108,IF($H108="","— اختر النوع —",IF(AND($H108&lt;&gt;"FIN",$I108=""),"— اختر الحالة —",$H108&amp;"-"&amp;$I108&amp;"-"&amp;TEXT(SUMPRODUCT(MAX(($H$157:$H$590=$H108)*($I$157:$I$590=$I108)*$J$157:$J$590))+SUMPRODUCT(($H$5:$H108=$H108)*($I$5:$I108=$I108)*($L$5:$L108=1)),"000")))))</f>
        <v/>
      </c>
      <c r="G108" s="5"/>
      <c r="H108" t="str">
        <f>IFERROR(VLOOKUP($D108,القوائم!$A$2:$B$4,2,0),"")</f>
        <v/>
      </c>
      <c r="I108" t="str">
        <f t="shared" si="15"/>
        <v/>
      </c>
      <c r="K108" t="str">
        <f t="shared" si="16"/>
        <v/>
      </c>
      <c r="L108" t="str">
        <f t="shared" si="17"/>
        <v/>
      </c>
      <c r="M108" t="str">
        <f>IF($I108="","",COUNTIF($I$5:$I108,$I108))</f>
        <v/>
      </c>
      <c r="R108" s="23"/>
      <c r="S108" s="23"/>
      <c r="T108" s="24" t="str">
        <f t="shared" si="18"/>
        <v/>
      </c>
    </row>
    <row r="109" spans="1:20" ht="15.75" customHeight="1" x14ac:dyDescent="0.15">
      <c r="A109" s="2" t="str">
        <f>IF($B109="","",COUNTA($B$5:$B109))</f>
        <v/>
      </c>
      <c r="B109" s="3"/>
      <c r="C109" s="4" t="str">
        <f>IF($B109="","",IFERROR(VLOOKUP($B109,'قاموس الترجمة'!$A$2:$B$979,2,0),""))</f>
        <v/>
      </c>
      <c r="D109" s="3"/>
      <c r="E109" s="5" t="str">
        <f t="shared" si="19"/>
        <v/>
      </c>
      <c r="F109" s="6" t="str">
        <f>IF($B109="","",IF($K109&lt;&gt;"",$K109,IF($H109="","— اختر النوع —",IF(AND($H109&lt;&gt;"FIN",$I109=""),"— اختر الحالة —",$H109&amp;"-"&amp;$I109&amp;"-"&amp;TEXT(SUMPRODUCT(MAX(($H$157:$H$590=$H109)*($I$157:$I$590=$I109)*$J$157:$J$590))+SUMPRODUCT(($H$5:$H109=$H109)*($I$5:$I109=$I109)*($L$5:$L109=1)),"000")))))</f>
        <v/>
      </c>
      <c r="G109" s="5"/>
      <c r="H109" t="str">
        <f>IFERROR(VLOOKUP($D109,القوائم!$A$2:$B$4,2,0),"")</f>
        <v/>
      </c>
      <c r="I109" t="str">
        <f t="shared" si="15"/>
        <v/>
      </c>
      <c r="K109" t="str">
        <f t="shared" si="16"/>
        <v/>
      </c>
      <c r="L109" t="str">
        <f t="shared" si="17"/>
        <v/>
      </c>
      <c r="M109" t="str">
        <f>IF($I109="","",COUNTIF($I$5:$I109,$I109))</f>
        <v/>
      </c>
      <c r="R109" s="23"/>
      <c r="S109" s="23"/>
      <c r="T109" s="24" t="str">
        <f t="shared" si="18"/>
        <v/>
      </c>
    </row>
    <row r="110" spans="1:20" ht="15.75" customHeight="1" x14ac:dyDescent="0.15">
      <c r="A110" s="2" t="str">
        <f>IF($B110="","",COUNTA($B$5:$B110))</f>
        <v/>
      </c>
      <c r="B110" s="3"/>
      <c r="C110" s="4" t="str">
        <f>IF($B110="","",IFERROR(VLOOKUP($B110,'قاموس الترجمة'!$A$2:$B$979,2,0),""))</f>
        <v/>
      </c>
      <c r="D110" s="3"/>
      <c r="E110" s="5" t="str">
        <f t="shared" si="19"/>
        <v/>
      </c>
      <c r="F110" s="6" t="str">
        <f>IF($B110="","",IF($K110&lt;&gt;"",$K110,IF($H110="","— اختر النوع —",IF(AND($H110&lt;&gt;"FIN",$I110=""),"— اختر الحالة —",$H110&amp;"-"&amp;$I110&amp;"-"&amp;TEXT(SUMPRODUCT(MAX(($H$157:$H$590=$H110)*($I$157:$I$590=$I110)*$J$157:$J$590))+SUMPRODUCT(($H$5:$H110=$H110)*($I$5:$I110=$I110)*($L$5:$L110=1)),"000")))))</f>
        <v/>
      </c>
      <c r="G110" s="5"/>
      <c r="H110" t="str">
        <f>IFERROR(VLOOKUP($D110,القوائم!$A$2:$B$4,2,0),"")</f>
        <v/>
      </c>
      <c r="I110" t="str">
        <f t="shared" si="15"/>
        <v/>
      </c>
      <c r="K110" t="str">
        <f t="shared" si="16"/>
        <v/>
      </c>
      <c r="L110" t="str">
        <f t="shared" si="17"/>
        <v/>
      </c>
      <c r="M110" t="str">
        <f>IF($I110="","",COUNTIF($I$5:$I110,$I110))</f>
        <v/>
      </c>
      <c r="R110" s="23"/>
      <c r="S110" s="23"/>
      <c r="T110" s="24" t="str">
        <f t="shared" si="18"/>
        <v/>
      </c>
    </row>
    <row r="111" spans="1:20" ht="15.75" customHeight="1" x14ac:dyDescent="0.15">
      <c r="A111" s="2" t="str">
        <f>IF($B111="","",COUNTA($B$5:$B111))</f>
        <v/>
      </c>
      <c r="B111" s="3"/>
      <c r="C111" s="4" t="str">
        <f>IF($B111="","",IFERROR(VLOOKUP($B111,'قاموس الترجمة'!$A$2:$B$979,2,0),""))</f>
        <v/>
      </c>
      <c r="D111" s="3"/>
      <c r="E111" s="5" t="str">
        <f t="shared" si="19"/>
        <v/>
      </c>
      <c r="F111" s="6" t="str">
        <f>IF($B111="","",IF($K111&lt;&gt;"",$K111,IF($H111="","— اختر النوع —",IF(AND($H111&lt;&gt;"FIN",$I111=""),"— اختر الحالة —",$H111&amp;"-"&amp;$I111&amp;"-"&amp;TEXT(SUMPRODUCT(MAX(($H$157:$H$590=$H111)*($I$157:$I$590=$I111)*$J$157:$J$590))+SUMPRODUCT(($H$5:$H111=$H111)*($I$5:$I111=$I111)*($L$5:$L111=1)),"000")))))</f>
        <v/>
      </c>
      <c r="G111" s="5"/>
      <c r="H111" t="str">
        <f>IFERROR(VLOOKUP($D111,القوائم!$A$2:$B$4,2,0),"")</f>
        <v/>
      </c>
      <c r="I111" t="str">
        <f t="shared" si="15"/>
        <v/>
      </c>
      <c r="K111" t="str">
        <f t="shared" si="16"/>
        <v/>
      </c>
      <c r="L111" t="str">
        <f t="shared" si="17"/>
        <v/>
      </c>
      <c r="M111" t="str">
        <f>IF($I111="","",COUNTIF($I$5:$I111,$I111))</f>
        <v/>
      </c>
      <c r="R111" s="23"/>
      <c r="S111" s="23"/>
      <c r="T111" s="24" t="str">
        <f t="shared" si="18"/>
        <v/>
      </c>
    </row>
    <row r="112" spans="1:20" ht="15.75" customHeight="1" x14ac:dyDescent="0.15">
      <c r="A112" s="2" t="str">
        <f>IF($B112="","",COUNTA($B$5:$B112))</f>
        <v/>
      </c>
      <c r="B112" s="3"/>
      <c r="C112" s="4" t="str">
        <f>IF($B112="","",IFERROR(VLOOKUP($B112,'قاموس الترجمة'!$A$2:$B$979,2,0),""))</f>
        <v/>
      </c>
      <c r="D112" s="3"/>
      <c r="E112" s="5" t="str">
        <f t="shared" si="19"/>
        <v/>
      </c>
      <c r="F112" s="6" t="str">
        <f>IF($B112="","",IF($K112&lt;&gt;"",$K112,IF($H112="","— اختر النوع —",IF(AND($H112&lt;&gt;"FIN",$I112=""),"— اختر الحالة —",$H112&amp;"-"&amp;$I112&amp;"-"&amp;TEXT(SUMPRODUCT(MAX(($H$157:$H$590=$H112)*($I$157:$I$590=$I112)*$J$157:$J$590))+SUMPRODUCT(($H$5:$H112=$H112)*($I$5:$I112=$I112)*($L$5:$L112=1)),"000")))))</f>
        <v/>
      </c>
      <c r="G112" s="5"/>
      <c r="H112" t="str">
        <f>IFERROR(VLOOKUP($D112,القوائم!$A$2:$B$4,2,0),"")</f>
        <v/>
      </c>
      <c r="I112" t="str">
        <f t="shared" si="15"/>
        <v/>
      </c>
      <c r="K112" t="str">
        <f t="shared" si="16"/>
        <v/>
      </c>
      <c r="L112" t="str">
        <f t="shared" si="17"/>
        <v/>
      </c>
      <c r="M112" t="str">
        <f>IF($I112="","",COUNTIF($I$5:$I112,$I112))</f>
        <v/>
      </c>
      <c r="R112" s="23"/>
      <c r="S112" s="23"/>
      <c r="T112" s="24" t="str">
        <f t="shared" si="18"/>
        <v/>
      </c>
    </row>
    <row r="113" spans="1:20" ht="15.75" customHeight="1" x14ac:dyDescent="0.15">
      <c r="A113" s="2" t="str">
        <f>IF($B113="","",COUNTA($B$5:$B113))</f>
        <v/>
      </c>
      <c r="B113" s="3"/>
      <c r="C113" s="4" t="str">
        <f>IF($B113="","",IFERROR(VLOOKUP($B113,'قاموس الترجمة'!$A$2:$B$979,2,0),""))</f>
        <v/>
      </c>
      <c r="D113" s="3"/>
      <c r="E113" s="5" t="str">
        <f t="shared" si="19"/>
        <v/>
      </c>
      <c r="F113" s="6" t="str">
        <f>IF($B113="","",IF($K113&lt;&gt;"",$K113,IF($H113="","— اختر النوع —",IF(AND($H113&lt;&gt;"FIN",$I113=""),"— اختر الحالة —",$H113&amp;"-"&amp;$I113&amp;"-"&amp;TEXT(SUMPRODUCT(MAX(($H$157:$H$590=$H113)*($I$157:$I$590=$I113)*$J$157:$J$590))+SUMPRODUCT(($H$5:$H113=$H113)*($I$5:$I113=$I113)*($L$5:$L113=1)),"000")))))</f>
        <v/>
      </c>
      <c r="G113" s="5"/>
      <c r="H113" t="str">
        <f>IFERROR(VLOOKUP($D113,القوائم!$A$2:$B$4,2,0),"")</f>
        <v/>
      </c>
      <c r="I113" t="str">
        <f t="shared" si="15"/>
        <v/>
      </c>
      <c r="K113" t="str">
        <f t="shared" si="16"/>
        <v/>
      </c>
      <c r="L113" t="str">
        <f t="shared" si="17"/>
        <v/>
      </c>
      <c r="M113" t="str">
        <f>IF($I113="","",COUNTIF($I$5:$I113,$I113))</f>
        <v/>
      </c>
      <c r="R113" s="23"/>
      <c r="S113" s="23"/>
      <c r="T113" s="24" t="str">
        <f t="shared" si="18"/>
        <v/>
      </c>
    </row>
    <row r="114" spans="1:20" ht="15.75" customHeight="1" x14ac:dyDescent="0.15">
      <c r="A114" s="2" t="str">
        <f>IF($B114="","",COUNTA($B$5:$B114))</f>
        <v/>
      </c>
      <c r="B114" s="3"/>
      <c r="C114" s="4" t="str">
        <f>IF($B114="","",IFERROR(VLOOKUP($B114,'قاموس الترجمة'!$A$2:$B$979,2,0),""))</f>
        <v/>
      </c>
      <c r="D114" s="3"/>
      <c r="E114" s="5" t="str">
        <f t="shared" si="19"/>
        <v/>
      </c>
      <c r="F114" s="6" t="str">
        <f>IF($B114="","",IF($K114&lt;&gt;"",$K114,IF($H114="","— اختر النوع —",IF(AND($H114&lt;&gt;"FIN",$I114=""),"— اختر الحالة —",$H114&amp;"-"&amp;$I114&amp;"-"&amp;TEXT(SUMPRODUCT(MAX(($H$157:$H$590=$H114)*($I$157:$I$590=$I114)*$J$157:$J$590))+SUMPRODUCT(($H$5:$H114=$H114)*($I$5:$I114=$I114)*($L$5:$L114=1)),"000")))))</f>
        <v/>
      </c>
      <c r="G114" s="5"/>
      <c r="H114" t="str">
        <f>IFERROR(VLOOKUP($D114,القوائم!$A$2:$B$4,2,0),"")</f>
        <v/>
      </c>
      <c r="I114" t="str">
        <f t="shared" si="15"/>
        <v/>
      </c>
      <c r="K114" t="str">
        <f t="shared" si="16"/>
        <v/>
      </c>
      <c r="L114" t="str">
        <f t="shared" si="17"/>
        <v/>
      </c>
      <c r="M114" t="str">
        <f>IF($I114="","",COUNTIF($I$5:$I114,$I114))</f>
        <v/>
      </c>
      <c r="R114" s="23"/>
      <c r="S114" s="23"/>
      <c r="T114" s="24" t="str">
        <f t="shared" si="18"/>
        <v/>
      </c>
    </row>
    <row r="115" spans="1:20" ht="15.75" customHeight="1" x14ac:dyDescent="0.15">
      <c r="A115" s="2" t="str">
        <f>IF($B115="","",COUNTA($B$5:$B115))</f>
        <v/>
      </c>
      <c r="B115" s="3"/>
      <c r="C115" s="4" t="str">
        <f>IF($B115="","",IFERROR(VLOOKUP($B115,'قاموس الترجمة'!$A$2:$B$979,2,0),""))</f>
        <v/>
      </c>
      <c r="D115" s="3"/>
      <c r="E115" s="5" t="str">
        <f t="shared" si="19"/>
        <v/>
      </c>
      <c r="F115" s="6" t="str">
        <f>IF($B115="","",IF($K115&lt;&gt;"",$K115,IF($H115="","— اختر النوع —",IF(AND($H115&lt;&gt;"FIN",$I115=""),"— اختر الحالة —",$H115&amp;"-"&amp;$I115&amp;"-"&amp;TEXT(SUMPRODUCT(MAX(($H$157:$H$590=$H115)*($I$157:$I$590=$I115)*$J$157:$J$590))+SUMPRODUCT(($H$5:$H115=$H115)*($I$5:$I115=$I115)*($L$5:$L115=1)),"000")))))</f>
        <v/>
      </c>
      <c r="G115" s="5"/>
      <c r="H115" t="str">
        <f>IFERROR(VLOOKUP($D115,القوائم!$A$2:$B$4,2,0),"")</f>
        <v/>
      </c>
      <c r="I115" t="str">
        <f t="shared" si="15"/>
        <v/>
      </c>
      <c r="K115" t="str">
        <f t="shared" si="16"/>
        <v/>
      </c>
      <c r="L115" t="str">
        <f t="shared" si="17"/>
        <v/>
      </c>
      <c r="M115" t="str">
        <f>IF($I115="","",COUNTIF($I$5:$I115,$I115))</f>
        <v/>
      </c>
      <c r="R115" s="23"/>
      <c r="S115" s="23"/>
      <c r="T115" s="24" t="str">
        <f t="shared" si="18"/>
        <v/>
      </c>
    </row>
    <row r="116" spans="1:20" ht="15.75" customHeight="1" x14ac:dyDescent="0.15">
      <c r="A116" s="2" t="str">
        <f>IF($B116="","",COUNTA($B$5:$B116))</f>
        <v/>
      </c>
      <c r="B116" s="3"/>
      <c r="C116" s="4" t="str">
        <f>IF($B116="","",IFERROR(VLOOKUP($B116,'قاموس الترجمة'!$A$2:$B$979,2,0),""))</f>
        <v/>
      </c>
      <c r="D116" s="3"/>
      <c r="E116" s="5" t="str">
        <f t="shared" si="19"/>
        <v/>
      </c>
      <c r="F116" s="6" t="str">
        <f>IF($B116="","",IF($K116&lt;&gt;"",$K116,IF($H116="","— اختر النوع —",IF(AND($H116&lt;&gt;"FIN",$I116=""),"— اختر الحالة —",$H116&amp;"-"&amp;$I116&amp;"-"&amp;TEXT(SUMPRODUCT(MAX(($H$157:$H$590=$H116)*($I$157:$I$590=$I116)*$J$157:$J$590))+SUMPRODUCT(($H$5:$H116=$H116)*($I$5:$I116=$I116)*($L$5:$L116=1)),"000")))))</f>
        <v/>
      </c>
      <c r="G116" s="5"/>
      <c r="H116" t="str">
        <f>IFERROR(VLOOKUP($D116,القوائم!$A$2:$B$4,2,0),"")</f>
        <v/>
      </c>
      <c r="I116" t="str">
        <f t="shared" si="15"/>
        <v/>
      </c>
      <c r="K116" t="str">
        <f t="shared" si="16"/>
        <v/>
      </c>
      <c r="L116" t="str">
        <f t="shared" si="17"/>
        <v/>
      </c>
      <c r="M116" t="str">
        <f>IF($I116="","",COUNTIF($I$5:$I116,$I116))</f>
        <v/>
      </c>
      <c r="R116" s="23"/>
      <c r="S116" s="23"/>
      <c r="T116" s="24" t="str">
        <f t="shared" si="18"/>
        <v/>
      </c>
    </row>
    <row r="117" spans="1:20" ht="15.75" customHeight="1" x14ac:dyDescent="0.15">
      <c r="A117" s="2" t="str">
        <f>IF($B117="","",COUNTA($B$5:$B117))</f>
        <v/>
      </c>
      <c r="B117" s="3"/>
      <c r="C117" s="4" t="str">
        <f>IF($B117="","",IFERROR(VLOOKUP($B117,'قاموس الترجمة'!$A$2:$B$979,2,0),""))</f>
        <v/>
      </c>
      <c r="D117" s="3"/>
      <c r="E117" s="5" t="str">
        <f t="shared" si="19"/>
        <v/>
      </c>
      <c r="F117" s="6" t="str">
        <f>IF($B117="","",IF($K117&lt;&gt;"",$K117,IF($H117="","— اختر النوع —",IF(AND($H117&lt;&gt;"FIN",$I117=""),"— اختر الحالة —",$H117&amp;"-"&amp;$I117&amp;"-"&amp;TEXT(SUMPRODUCT(MAX(($H$157:$H$590=$H117)*($I$157:$I$590=$I117)*$J$157:$J$590))+SUMPRODUCT(($H$5:$H117=$H117)*($I$5:$I117=$I117)*($L$5:$L117=1)),"000")))))</f>
        <v/>
      </c>
      <c r="G117" s="5"/>
      <c r="H117" t="str">
        <f>IFERROR(VLOOKUP($D117,القوائم!$A$2:$B$4,2,0),"")</f>
        <v/>
      </c>
      <c r="I117" t="str">
        <f t="shared" si="15"/>
        <v/>
      </c>
      <c r="K117" t="str">
        <f t="shared" si="16"/>
        <v/>
      </c>
      <c r="L117" t="str">
        <f t="shared" si="17"/>
        <v/>
      </c>
      <c r="M117" t="str">
        <f>IF($I117="","",COUNTIF($I$5:$I117,$I117))</f>
        <v/>
      </c>
      <c r="R117" s="23"/>
      <c r="S117" s="23"/>
      <c r="T117" s="24" t="str">
        <f t="shared" si="18"/>
        <v/>
      </c>
    </row>
    <row r="118" spans="1:20" ht="15.75" customHeight="1" x14ac:dyDescent="0.15">
      <c r="A118" s="2" t="str">
        <f>IF($B118="","",COUNTA($B$5:$B118))</f>
        <v/>
      </c>
      <c r="B118" s="3"/>
      <c r="C118" s="4" t="str">
        <f>IF($B118="","",IFERROR(VLOOKUP($B118,'قاموس الترجمة'!$A$2:$B$979,2,0),""))</f>
        <v/>
      </c>
      <c r="D118" s="3"/>
      <c r="E118" s="5" t="str">
        <f t="shared" si="19"/>
        <v/>
      </c>
      <c r="F118" s="6" t="str">
        <f>IF($B118="","",IF($K118&lt;&gt;"",$K118,IF($H118="","— اختر النوع —",IF(AND($H118&lt;&gt;"FIN",$I118=""),"— اختر الحالة —",$H118&amp;"-"&amp;$I118&amp;"-"&amp;TEXT(SUMPRODUCT(MAX(($H$157:$H$590=$H118)*($I$157:$I$590=$I118)*$J$157:$J$590))+SUMPRODUCT(($H$5:$H118=$H118)*($I$5:$I118=$I118)*($L$5:$L118=1)),"000")))))</f>
        <v/>
      </c>
      <c r="G118" s="5"/>
      <c r="H118" t="str">
        <f>IFERROR(VLOOKUP($D118,القوائم!$A$2:$B$4,2,0),"")</f>
        <v/>
      </c>
      <c r="I118" t="str">
        <f t="shared" si="15"/>
        <v/>
      </c>
      <c r="K118" t="str">
        <f t="shared" si="16"/>
        <v/>
      </c>
      <c r="L118" t="str">
        <f t="shared" si="17"/>
        <v/>
      </c>
      <c r="M118" t="str">
        <f>IF($I118="","",COUNTIF($I$5:$I118,$I118))</f>
        <v/>
      </c>
      <c r="R118" s="23"/>
      <c r="S118" s="23"/>
      <c r="T118" s="24" t="str">
        <f t="shared" si="18"/>
        <v/>
      </c>
    </row>
    <row r="119" spans="1:20" ht="15.75" customHeight="1" x14ac:dyDescent="0.15">
      <c r="A119" s="2" t="str">
        <f>IF($B119="","",COUNTA($B$5:$B119))</f>
        <v/>
      </c>
      <c r="B119" s="3"/>
      <c r="C119" s="4" t="str">
        <f>IF($B119="","",IFERROR(VLOOKUP($B119,'قاموس الترجمة'!$A$2:$B$979,2,0),""))</f>
        <v/>
      </c>
      <c r="D119" s="3"/>
      <c r="E119" s="5" t="str">
        <f t="shared" si="19"/>
        <v/>
      </c>
      <c r="F119" s="6" t="str">
        <f>IF($B119="","",IF($K119&lt;&gt;"",$K119,IF($H119="","— اختر النوع —",IF(AND($H119&lt;&gt;"FIN",$I119=""),"— اختر الحالة —",$H119&amp;"-"&amp;$I119&amp;"-"&amp;TEXT(SUMPRODUCT(MAX(($H$157:$H$590=$H119)*($I$157:$I$590=$I119)*$J$157:$J$590))+SUMPRODUCT(($H$5:$H119=$H119)*($I$5:$I119=$I119)*($L$5:$L119=1)),"000")))))</f>
        <v/>
      </c>
      <c r="G119" s="5"/>
      <c r="H119" t="str">
        <f>IFERROR(VLOOKUP($D119,القوائم!$A$2:$B$4,2,0),"")</f>
        <v/>
      </c>
      <c r="I119" t="str">
        <f t="shared" si="15"/>
        <v/>
      </c>
      <c r="K119" t="str">
        <f t="shared" si="16"/>
        <v/>
      </c>
      <c r="L119" t="str">
        <f t="shared" si="17"/>
        <v/>
      </c>
      <c r="M119" t="str">
        <f>IF($I119="","",COUNTIF($I$5:$I119,$I119))</f>
        <v/>
      </c>
      <c r="R119" s="23"/>
      <c r="S119" s="23"/>
      <c r="T119" s="24" t="str">
        <f t="shared" si="18"/>
        <v/>
      </c>
    </row>
    <row r="120" spans="1:20" ht="15.75" customHeight="1" x14ac:dyDescent="0.15">
      <c r="A120" s="2" t="str">
        <f>IF($B120="","",COUNTA($B$5:$B120))</f>
        <v/>
      </c>
      <c r="B120" s="3"/>
      <c r="C120" s="4" t="str">
        <f>IF($B120="","",IFERROR(VLOOKUP($B120,'قاموس الترجمة'!$A$2:$B$979,2,0),""))</f>
        <v/>
      </c>
      <c r="D120" s="3"/>
      <c r="E120" s="5" t="str">
        <f t="shared" si="19"/>
        <v/>
      </c>
      <c r="F120" s="6" t="str">
        <f>IF($B120="","",IF($K120&lt;&gt;"",$K120,IF($H120="","— اختر النوع —",IF(AND($H120&lt;&gt;"FIN",$I120=""),"— اختر الحالة —",$H120&amp;"-"&amp;$I120&amp;"-"&amp;TEXT(SUMPRODUCT(MAX(($H$157:$H$590=$H120)*($I$157:$I$590=$I120)*$J$157:$J$590))+SUMPRODUCT(($H$5:$H120=$H120)*($I$5:$I120=$I120)*($L$5:$L120=1)),"000")))))</f>
        <v/>
      </c>
      <c r="G120" s="5"/>
      <c r="H120" t="str">
        <f>IFERROR(VLOOKUP($D120,القوائم!$A$2:$B$4,2,0),"")</f>
        <v/>
      </c>
      <c r="I120" t="str">
        <f t="shared" si="15"/>
        <v/>
      </c>
      <c r="K120" t="str">
        <f t="shared" si="16"/>
        <v/>
      </c>
      <c r="L120" t="str">
        <f t="shared" si="17"/>
        <v/>
      </c>
      <c r="M120" t="str">
        <f>IF($I120="","",COUNTIF($I$5:$I120,$I120))</f>
        <v/>
      </c>
      <c r="R120" s="23"/>
      <c r="S120" s="23"/>
      <c r="T120" s="24" t="str">
        <f t="shared" si="18"/>
        <v/>
      </c>
    </row>
    <row r="121" spans="1:20" ht="15.75" customHeight="1" x14ac:dyDescent="0.15">
      <c r="A121" s="2" t="str">
        <f>IF($B121="","",COUNTA($B$5:$B121))</f>
        <v/>
      </c>
      <c r="B121" s="3"/>
      <c r="C121" s="4" t="str">
        <f>IF($B121="","",IFERROR(VLOOKUP($B121,'قاموس الترجمة'!$A$2:$B$979,2,0),""))</f>
        <v/>
      </c>
      <c r="D121" s="3"/>
      <c r="E121" s="5" t="str">
        <f t="shared" si="19"/>
        <v/>
      </c>
      <c r="F121" s="6" t="str">
        <f>IF($B121="","",IF($K121&lt;&gt;"",$K121,IF($H121="","— اختر النوع —",IF(AND($H121&lt;&gt;"FIN",$I121=""),"— اختر الحالة —",$H121&amp;"-"&amp;$I121&amp;"-"&amp;TEXT(SUMPRODUCT(MAX(($H$157:$H$590=$H121)*($I$157:$I$590=$I121)*$J$157:$J$590))+SUMPRODUCT(($H$5:$H121=$H121)*($I$5:$I121=$I121)*($L$5:$L121=1)),"000")))))</f>
        <v/>
      </c>
      <c r="G121" s="5"/>
      <c r="H121" t="str">
        <f>IFERROR(VLOOKUP($D121,القوائم!$A$2:$B$4,2,0),"")</f>
        <v/>
      </c>
      <c r="I121" t="str">
        <f t="shared" si="15"/>
        <v/>
      </c>
      <c r="K121" t="str">
        <f t="shared" si="16"/>
        <v/>
      </c>
      <c r="L121" t="str">
        <f t="shared" si="17"/>
        <v/>
      </c>
      <c r="M121" t="str">
        <f>IF($I121="","",COUNTIF($I$5:$I121,$I121))</f>
        <v/>
      </c>
      <c r="R121" s="23"/>
      <c r="S121" s="23"/>
      <c r="T121" s="24" t="str">
        <f t="shared" si="18"/>
        <v/>
      </c>
    </row>
    <row r="122" spans="1:20" ht="15.75" customHeight="1" x14ac:dyDescent="0.15">
      <c r="A122" s="2" t="str">
        <f>IF($B122="","",COUNTA($B$5:$B122))</f>
        <v/>
      </c>
      <c r="B122" s="3"/>
      <c r="C122" s="4" t="str">
        <f>IF($B122="","",IFERROR(VLOOKUP($B122,'قاموس الترجمة'!$A$2:$B$979,2,0),""))</f>
        <v/>
      </c>
      <c r="D122" s="3"/>
      <c r="E122" s="5" t="str">
        <f t="shared" si="19"/>
        <v/>
      </c>
      <c r="F122" s="6" t="str">
        <f>IF($B122="","",IF($K122&lt;&gt;"",$K122,IF($H122="","— اختر النوع —",IF(AND($H122&lt;&gt;"FIN",$I122=""),"— اختر الحالة —",$H122&amp;"-"&amp;$I122&amp;"-"&amp;TEXT(SUMPRODUCT(MAX(($H$157:$H$590=$H122)*($I$157:$I$590=$I122)*$J$157:$J$590))+SUMPRODUCT(($H$5:$H122=$H122)*($I$5:$I122=$I122)*($L$5:$L122=1)),"000")))))</f>
        <v/>
      </c>
      <c r="G122" s="5"/>
      <c r="H122" t="str">
        <f>IFERROR(VLOOKUP($D122,القوائم!$A$2:$B$4,2,0),"")</f>
        <v/>
      </c>
      <c r="I122" t="str">
        <f t="shared" si="15"/>
        <v/>
      </c>
      <c r="K122" t="str">
        <f t="shared" si="16"/>
        <v/>
      </c>
      <c r="L122" t="str">
        <f t="shared" si="17"/>
        <v/>
      </c>
      <c r="M122" t="str">
        <f>IF($I122="","",COUNTIF($I$5:$I122,$I122))</f>
        <v/>
      </c>
      <c r="R122" s="23"/>
      <c r="S122" s="23"/>
      <c r="T122" s="24" t="str">
        <f t="shared" si="18"/>
        <v/>
      </c>
    </row>
    <row r="123" spans="1:20" ht="15.75" customHeight="1" x14ac:dyDescent="0.15">
      <c r="A123" s="2" t="str">
        <f>IF($B123="","",COUNTA($B$5:$B123))</f>
        <v/>
      </c>
      <c r="B123" s="3"/>
      <c r="C123" s="4" t="str">
        <f>IF($B123="","",IFERROR(VLOOKUP($B123,'قاموس الترجمة'!$A$2:$B$979,2,0),""))</f>
        <v/>
      </c>
      <c r="D123" s="3"/>
      <c r="E123" s="5" t="str">
        <f t="shared" si="19"/>
        <v/>
      </c>
      <c r="F123" s="6" t="str">
        <f>IF($B123="","",IF($K123&lt;&gt;"",$K123,IF($H123="","— اختر النوع —",IF(AND($H123&lt;&gt;"FIN",$I123=""),"— اختر الحالة —",$H123&amp;"-"&amp;$I123&amp;"-"&amp;TEXT(SUMPRODUCT(MAX(($H$157:$H$590=$H123)*($I$157:$I$590=$I123)*$J$157:$J$590))+SUMPRODUCT(($H$5:$H123=$H123)*($I$5:$I123=$I123)*($L$5:$L123=1)),"000")))))</f>
        <v/>
      </c>
      <c r="G123" s="5"/>
      <c r="H123" t="str">
        <f>IFERROR(VLOOKUP($D123,القوائم!$A$2:$B$4,2,0),"")</f>
        <v/>
      </c>
      <c r="I123" t="str">
        <f t="shared" si="15"/>
        <v/>
      </c>
      <c r="K123" t="str">
        <f t="shared" si="16"/>
        <v/>
      </c>
      <c r="L123" t="str">
        <f t="shared" si="17"/>
        <v/>
      </c>
      <c r="M123" t="str">
        <f>IF($I123="","",COUNTIF($I$5:$I123,$I123))</f>
        <v/>
      </c>
      <c r="R123" s="23"/>
      <c r="S123" s="23"/>
      <c r="T123" s="24" t="str">
        <f t="shared" si="18"/>
        <v/>
      </c>
    </row>
    <row r="124" spans="1:20" ht="15.75" customHeight="1" x14ac:dyDescent="0.15">
      <c r="A124" s="2" t="str">
        <f>IF($B124="","",COUNTA($B$5:$B124))</f>
        <v/>
      </c>
      <c r="B124" s="3"/>
      <c r="C124" s="4" t="str">
        <f>IF($B124="","",IFERROR(VLOOKUP($B124,'قاموس الترجمة'!$A$2:$B$979,2,0),""))</f>
        <v/>
      </c>
      <c r="D124" s="3"/>
      <c r="E124" s="5" t="str">
        <f t="shared" si="19"/>
        <v/>
      </c>
      <c r="F124" s="6" t="str">
        <f>IF($B124="","",IF($K124&lt;&gt;"",$K124,IF($H124="","— اختر النوع —",IF(AND($H124&lt;&gt;"FIN",$I124=""),"— اختر الحالة —",$H124&amp;"-"&amp;$I124&amp;"-"&amp;TEXT(SUMPRODUCT(MAX(($H$157:$H$590=$H124)*($I$157:$I$590=$I124)*$J$157:$J$590))+SUMPRODUCT(($H$5:$H124=$H124)*($I$5:$I124=$I124)*($L$5:$L124=1)),"000")))))</f>
        <v/>
      </c>
      <c r="G124" s="5"/>
      <c r="H124" t="str">
        <f>IFERROR(VLOOKUP($D124,القوائم!$A$2:$B$4,2,0),"")</f>
        <v/>
      </c>
      <c r="I124" t="str">
        <f t="shared" si="15"/>
        <v/>
      </c>
      <c r="K124" t="str">
        <f t="shared" si="16"/>
        <v/>
      </c>
      <c r="L124" t="str">
        <f t="shared" si="17"/>
        <v/>
      </c>
      <c r="M124" t="str">
        <f>IF($I124="","",COUNTIF($I$5:$I124,$I124))</f>
        <v/>
      </c>
      <c r="R124" s="23"/>
      <c r="S124" s="23"/>
      <c r="T124" s="24" t="str">
        <f t="shared" si="18"/>
        <v/>
      </c>
    </row>
    <row r="125" spans="1:20" ht="15.75" customHeight="1" x14ac:dyDescent="0.15">
      <c r="A125" s="2" t="str">
        <f>IF($B125="","",COUNTA($B$5:$B125))</f>
        <v/>
      </c>
      <c r="B125" s="3"/>
      <c r="C125" s="4" t="str">
        <f>IF($B125="","",IFERROR(VLOOKUP($B125,'قاموس الترجمة'!$A$2:$B$979,2,0),""))</f>
        <v/>
      </c>
      <c r="D125" s="3"/>
      <c r="E125" s="5" t="str">
        <f t="shared" si="19"/>
        <v/>
      </c>
      <c r="F125" s="6" t="str">
        <f>IF($B125="","",IF($K125&lt;&gt;"",$K125,IF($H125="","— اختر النوع —",IF(AND($H125&lt;&gt;"FIN",$I125=""),"— اختر الحالة —",$H125&amp;"-"&amp;$I125&amp;"-"&amp;TEXT(SUMPRODUCT(MAX(($H$157:$H$590=$H125)*($I$157:$I$590=$I125)*$J$157:$J$590))+SUMPRODUCT(($H$5:$H125=$H125)*($I$5:$I125=$I125)*($L$5:$L125=1)),"000")))))</f>
        <v/>
      </c>
      <c r="G125" s="5"/>
      <c r="H125" t="str">
        <f>IFERROR(VLOOKUP($D125,القوائم!$A$2:$B$4,2,0),"")</f>
        <v/>
      </c>
      <c r="I125" t="str">
        <f t="shared" si="15"/>
        <v/>
      </c>
      <c r="K125" t="str">
        <f t="shared" si="16"/>
        <v/>
      </c>
      <c r="L125" t="str">
        <f t="shared" si="17"/>
        <v/>
      </c>
      <c r="M125" t="str">
        <f>IF($I125="","",COUNTIF($I$5:$I125,$I125))</f>
        <v/>
      </c>
      <c r="R125" s="23"/>
      <c r="S125" s="23"/>
      <c r="T125" s="24" t="str">
        <f t="shared" si="18"/>
        <v/>
      </c>
    </row>
    <row r="126" spans="1:20" ht="15.75" customHeight="1" x14ac:dyDescent="0.15">
      <c r="A126" s="2" t="str">
        <f>IF($B126="","",COUNTA($B$5:$B126))</f>
        <v/>
      </c>
      <c r="B126" s="3"/>
      <c r="C126" s="4" t="str">
        <f>IF($B126="","",IFERROR(VLOOKUP($B126,'قاموس الترجمة'!$A$2:$B$979,2,0),""))</f>
        <v/>
      </c>
      <c r="D126" s="3"/>
      <c r="E126" s="5" t="str">
        <f t="shared" si="19"/>
        <v/>
      </c>
      <c r="F126" s="6" t="str">
        <f>IF($B126="","",IF($K126&lt;&gt;"",$K126,IF($H126="","— اختر النوع —",IF(AND($H126&lt;&gt;"FIN",$I126=""),"— اختر الحالة —",$H126&amp;"-"&amp;$I126&amp;"-"&amp;TEXT(SUMPRODUCT(MAX(($H$157:$H$590=$H126)*($I$157:$I$590=$I126)*$J$157:$J$590))+SUMPRODUCT(($H$5:$H126=$H126)*($I$5:$I126=$I126)*($L$5:$L126=1)),"000")))))</f>
        <v/>
      </c>
      <c r="G126" s="5"/>
      <c r="H126" t="str">
        <f>IFERROR(VLOOKUP($D126,القوائم!$A$2:$B$4,2,0),"")</f>
        <v/>
      </c>
      <c r="I126" t="str">
        <f t="shared" si="15"/>
        <v/>
      </c>
      <c r="K126" t="str">
        <f t="shared" si="16"/>
        <v/>
      </c>
      <c r="L126" t="str">
        <f t="shared" si="17"/>
        <v/>
      </c>
      <c r="M126" t="str">
        <f>IF($I126="","",COUNTIF($I$5:$I126,$I126))</f>
        <v/>
      </c>
      <c r="R126" s="23"/>
      <c r="S126" s="23"/>
      <c r="T126" s="24" t="str">
        <f t="shared" si="18"/>
        <v/>
      </c>
    </row>
    <row r="127" spans="1:20" ht="15.75" customHeight="1" x14ac:dyDescent="0.15">
      <c r="A127" s="2" t="str">
        <f>IF($B127="","",COUNTA($B$5:$B127))</f>
        <v/>
      </c>
      <c r="B127" s="3"/>
      <c r="C127" s="4" t="str">
        <f>IF($B127="","",IFERROR(VLOOKUP($B127,'قاموس الترجمة'!$A$2:$B$979,2,0),""))</f>
        <v/>
      </c>
      <c r="D127" s="3"/>
      <c r="E127" s="5" t="str">
        <f t="shared" si="19"/>
        <v/>
      </c>
      <c r="F127" s="6" t="str">
        <f>IF($B127="","",IF($K127&lt;&gt;"",$K127,IF($H127="","— اختر النوع —",IF(AND($H127&lt;&gt;"FIN",$I127=""),"— اختر الحالة —",$H127&amp;"-"&amp;$I127&amp;"-"&amp;TEXT(SUMPRODUCT(MAX(($H$157:$H$590=$H127)*($I$157:$I$590=$I127)*$J$157:$J$590))+SUMPRODUCT(($H$5:$H127=$H127)*($I$5:$I127=$I127)*($L$5:$L127=1)),"000")))))</f>
        <v/>
      </c>
      <c r="G127" s="5"/>
      <c r="H127" t="str">
        <f>IFERROR(VLOOKUP($D127,القوائم!$A$2:$B$4,2,0),"")</f>
        <v/>
      </c>
      <c r="I127" t="str">
        <f t="shared" si="15"/>
        <v/>
      </c>
      <c r="K127" t="str">
        <f t="shared" si="16"/>
        <v/>
      </c>
      <c r="L127" t="str">
        <f t="shared" si="17"/>
        <v/>
      </c>
      <c r="M127" t="str">
        <f>IF($I127="","",COUNTIF($I$5:$I127,$I127))</f>
        <v/>
      </c>
      <c r="R127" s="23"/>
      <c r="S127" s="23"/>
      <c r="T127" s="24" t="str">
        <f t="shared" si="18"/>
        <v/>
      </c>
    </row>
    <row r="128" spans="1:20" ht="15.75" customHeight="1" x14ac:dyDescent="0.15">
      <c r="A128" s="2" t="str">
        <f>IF($B128="","",COUNTA($B$5:$B128))</f>
        <v/>
      </c>
      <c r="B128" s="3"/>
      <c r="C128" s="4" t="str">
        <f>IF($B128="","",IFERROR(VLOOKUP($B128,'قاموس الترجمة'!$A$2:$B$979,2,0),""))</f>
        <v/>
      </c>
      <c r="D128" s="3"/>
      <c r="E128" s="5" t="str">
        <f t="shared" si="19"/>
        <v/>
      </c>
      <c r="F128" s="6" t="str">
        <f>IF($B128="","",IF($K128&lt;&gt;"",$K128,IF($H128="","— اختر النوع —",IF(AND($H128&lt;&gt;"FIN",$I128=""),"— اختر الحالة —",$H128&amp;"-"&amp;$I128&amp;"-"&amp;TEXT(SUMPRODUCT(MAX(($H$157:$H$590=$H128)*($I$157:$I$590=$I128)*$J$157:$J$590))+SUMPRODUCT(($H$5:$H128=$H128)*($I$5:$I128=$I128)*($L$5:$L128=1)),"000")))))</f>
        <v/>
      </c>
      <c r="G128" s="5"/>
      <c r="H128" t="str">
        <f>IFERROR(VLOOKUP($D128,القوائم!$A$2:$B$4,2,0),"")</f>
        <v/>
      </c>
      <c r="I128" t="str">
        <f t="shared" si="15"/>
        <v/>
      </c>
      <c r="K128" t="str">
        <f t="shared" si="16"/>
        <v/>
      </c>
      <c r="L128" t="str">
        <f t="shared" si="17"/>
        <v/>
      </c>
      <c r="M128" t="str">
        <f>IF($I128="","",COUNTIF($I$5:$I128,$I128))</f>
        <v/>
      </c>
      <c r="R128" s="23"/>
      <c r="S128" s="23"/>
      <c r="T128" s="24" t="str">
        <f t="shared" si="18"/>
        <v/>
      </c>
    </row>
    <row r="129" spans="1:20" ht="15.75" customHeight="1" x14ac:dyDescent="0.15">
      <c r="A129" s="2" t="str">
        <f>IF($B129="","",COUNTA($B$5:$B129))</f>
        <v/>
      </c>
      <c r="B129" s="3"/>
      <c r="C129" s="4" t="str">
        <f>IF($B129="","",IFERROR(VLOOKUP($B129,'قاموس الترجمة'!$A$2:$B$979,2,0),""))</f>
        <v/>
      </c>
      <c r="D129" s="3"/>
      <c r="E129" s="5" t="str">
        <f t="shared" si="19"/>
        <v/>
      </c>
      <c r="F129" s="6" t="str">
        <f>IF($B129="","",IF($K129&lt;&gt;"",$K129,IF($H129="","— اختر النوع —",IF(AND($H129&lt;&gt;"FIN",$I129=""),"— اختر الحالة —",$H129&amp;"-"&amp;$I129&amp;"-"&amp;TEXT(SUMPRODUCT(MAX(($H$157:$H$590=$H129)*($I$157:$I$590=$I129)*$J$157:$J$590))+SUMPRODUCT(($H$5:$H129=$H129)*($I$5:$I129=$I129)*($L$5:$L129=1)),"000")))))</f>
        <v/>
      </c>
      <c r="G129" s="5"/>
      <c r="H129" t="str">
        <f>IFERROR(VLOOKUP($D129,القوائم!$A$2:$B$4,2,0),"")</f>
        <v/>
      </c>
      <c r="I129" t="str">
        <f t="shared" si="15"/>
        <v/>
      </c>
      <c r="K129" t="str">
        <f t="shared" si="16"/>
        <v/>
      </c>
      <c r="L129" t="str">
        <f t="shared" si="17"/>
        <v/>
      </c>
      <c r="M129" t="str">
        <f>IF($I129="","",COUNTIF($I$5:$I129,$I129))</f>
        <v/>
      </c>
      <c r="R129" s="23"/>
      <c r="S129" s="23"/>
      <c r="T129" s="24" t="str">
        <f t="shared" si="18"/>
        <v/>
      </c>
    </row>
    <row r="130" spans="1:20" ht="15.75" customHeight="1" x14ac:dyDescent="0.15">
      <c r="A130" s="2" t="str">
        <f>IF($B130="","",COUNTA($B$5:$B130))</f>
        <v/>
      </c>
      <c r="B130" s="3"/>
      <c r="C130" s="4" t="str">
        <f>IF($B130="","",IFERROR(VLOOKUP($B130,'قاموس الترجمة'!$A$2:$B$979,2,0),""))</f>
        <v/>
      </c>
      <c r="D130" s="3"/>
      <c r="E130" s="5" t="str">
        <f t="shared" si="19"/>
        <v/>
      </c>
      <c r="F130" s="6" t="str">
        <f>IF($B130="","",IF($K130&lt;&gt;"",$K130,IF($H130="","— اختر النوع —",IF(AND($H130&lt;&gt;"FIN",$I130=""),"— اختر الحالة —",$H130&amp;"-"&amp;$I130&amp;"-"&amp;TEXT(SUMPRODUCT(MAX(($H$157:$H$590=$H130)*($I$157:$I$590=$I130)*$J$157:$J$590))+SUMPRODUCT(($H$5:$H130=$H130)*($I$5:$I130=$I130)*($L$5:$L130=1)),"000")))))</f>
        <v/>
      </c>
      <c r="G130" s="5"/>
      <c r="H130" t="str">
        <f>IFERROR(VLOOKUP($D130,القوائم!$A$2:$B$4,2,0),"")</f>
        <v/>
      </c>
      <c r="I130" t="str">
        <f t="shared" si="15"/>
        <v/>
      </c>
      <c r="K130" t="str">
        <f t="shared" si="16"/>
        <v/>
      </c>
      <c r="L130" t="str">
        <f t="shared" si="17"/>
        <v/>
      </c>
      <c r="M130" t="str">
        <f>IF($I130="","",COUNTIF($I$5:$I130,$I130))</f>
        <v/>
      </c>
      <c r="R130" s="23"/>
      <c r="S130" s="23"/>
      <c r="T130" s="24" t="str">
        <f t="shared" si="18"/>
        <v/>
      </c>
    </row>
    <row r="131" spans="1:20" ht="15.75" customHeight="1" x14ac:dyDescent="0.15">
      <c r="A131" s="2" t="str">
        <f>IF($B131="","",COUNTA($B$5:$B131))</f>
        <v/>
      </c>
      <c r="B131" s="3"/>
      <c r="C131" s="4" t="str">
        <f>IF($B131="","",IFERROR(VLOOKUP($B131,'قاموس الترجمة'!$A$2:$B$979,2,0),""))</f>
        <v/>
      </c>
      <c r="D131" s="3"/>
      <c r="E131" s="5" t="str">
        <f t="shared" si="19"/>
        <v/>
      </c>
      <c r="F131" s="6" t="str">
        <f>IF($B131="","",IF($K131&lt;&gt;"",$K131,IF($H131="","— اختر النوع —",IF(AND($H131&lt;&gt;"FIN",$I131=""),"— اختر الحالة —",$H131&amp;"-"&amp;$I131&amp;"-"&amp;TEXT(SUMPRODUCT(MAX(($H$157:$H$590=$H131)*($I$157:$I$590=$I131)*$J$157:$J$590))+SUMPRODUCT(($H$5:$H131=$H131)*($I$5:$I131=$I131)*($L$5:$L131=1)),"000")))))</f>
        <v/>
      </c>
      <c r="G131" s="5"/>
      <c r="H131" t="str">
        <f>IFERROR(VLOOKUP($D131,القوائم!$A$2:$B$4,2,0),"")</f>
        <v/>
      </c>
      <c r="I131" t="str">
        <f t="shared" si="15"/>
        <v/>
      </c>
      <c r="K131" t="str">
        <f t="shared" si="16"/>
        <v/>
      </c>
      <c r="L131" t="str">
        <f t="shared" si="17"/>
        <v/>
      </c>
      <c r="M131" t="str">
        <f>IF($I131="","",COUNTIF($I$5:$I131,$I131))</f>
        <v/>
      </c>
      <c r="R131" s="23"/>
      <c r="S131" s="23"/>
      <c r="T131" s="24" t="str">
        <f t="shared" si="18"/>
        <v/>
      </c>
    </row>
    <row r="132" spans="1:20" ht="15.75" customHeight="1" x14ac:dyDescent="0.15">
      <c r="A132" s="2" t="str">
        <f>IF($B132="","",COUNTA($B$5:$B132))</f>
        <v/>
      </c>
      <c r="B132" s="3"/>
      <c r="C132" s="4" t="str">
        <f>IF($B132="","",IFERROR(VLOOKUP($B132,'قاموس الترجمة'!$A$2:$B$979,2,0),""))</f>
        <v/>
      </c>
      <c r="D132" s="3"/>
      <c r="E132" s="5" t="str">
        <f t="shared" si="19"/>
        <v/>
      </c>
      <c r="F132" s="6" t="str">
        <f>IF($B132="","",IF($K132&lt;&gt;"",$K132,IF($H132="","— اختر النوع —",IF(AND($H132&lt;&gt;"FIN",$I132=""),"— اختر الحالة —",$H132&amp;"-"&amp;$I132&amp;"-"&amp;TEXT(SUMPRODUCT(MAX(($H$157:$H$590=$H132)*($I$157:$I$590=$I132)*$J$157:$J$590))+SUMPRODUCT(($H$5:$H132=$H132)*($I$5:$I132=$I132)*($L$5:$L132=1)),"000")))))</f>
        <v/>
      </c>
      <c r="G132" s="5"/>
      <c r="H132" t="str">
        <f>IFERROR(VLOOKUP($D132,القوائم!$A$2:$B$4,2,0),"")</f>
        <v/>
      </c>
      <c r="I132" t="str">
        <f t="shared" si="15"/>
        <v/>
      </c>
      <c r="K132" t="str">
        <f t="shared" si="16"/>
        <v/>
      </c>
      <c r="L132" t="str">
        <f t="shared" si="17"/>
        <v/>
      </c>
      <c r="M132" t="str">
        <f>IF($I132="","",COUNTIF($I$5:$I132,$I132))</f>
        <v/>
      </c>
      <c r="R132" s="23"/>
      <c r="S132" s="23"/>
      <c r="T132" s="24" t="str">
        <f t="shared" si="18"/>
        <v/>
      </c>
    </row>
    <row r="133" spans="1:20" ht="15.75" customHeight="1" x14ac:dyDescent="0.15">
      <c r="A133" s="2" t="str">
        <f>IF($B133="","",COUNTA($B$5:$B133))</f>
        <v/>
      </c>
      <c r="B133" s="3"/>
      <c r="C133" s="4" t="str">
        <f>IF($B133="","",IFERROR(VLOOKUP($B133,'قاموس الترجمة'!$A$2:$B$979,2,0),""))</f>
        <v/>
      </c>
      <c r="D133" s="3"/>
      <c r="E133" s="5" t="str">
        <f t="shared" si="19"/>
        <v/>
      </c>
      <c r="F133" s="6" t="str">
        <f>IF($B133="","",IF($K133&lt;&gt;"",$K133,IF($H133="","— اختر النوع —",IF(AND($H133&lt;&gt;"FIN",$I133=""),"— اختر الحالة —",$H133&amp;"-"&amp;$I133&amp;"-"&amp;TEXT(SUMPRODUCT(MAX(($H$157:$H$590=$H133)*($I$157:$I$590=$I133)*$J$157:$J$590))+SUMPRODUCT(($H$5:$H133=$H133)*($I$5:$I133=$I133)*($L$5:$L133=1)),"000")))))</f>
        <v/>
      </c>
      <c r="G133" s="5"/>
      <c r="H133" t="str">
        <f>IFERROR(VLOOKUP($D133,القوائم!$A$2:$B$4,2,0),"")</f>
        <v/>
      </c>
      <c r="I133" t="str">
        <f t="shared" ref="I133:I154" si="20">IF($H133="FIN","RTS",IF(ISNUMBER(SEARCH("مجمد",$E133)),"FRZ",IF(ISNUMBER(SEARCH("مبرد",$E133)),"CHL",IF(ISNUMBER(SEARCH("جاف",$E133)),"DRY",IF(ISNUMBER(SEARCH("استهلاك",$E133)),"CNS",IF(ISNUMBER(SEARCH("بيع",$E133)),"RTS",""))))))</f>
        <v/>
      </c>
      <c r="K133" t="str">
        <f t="shared" ref="K133:K154" si="21">IF($B133="","",IFERROR(INDEX($F$157:$F$590,MATCH($B133,$B$157:$B$590,0)),""))</f>
        <v/>
      </c>
      <c r="L133" t="str">
        <f t="shared" ref="L133:L154" si="22">IF($B133="","",IF($K133="",1,0))</f>
        <v/>
      </c>
      <c r="M133" t="str">
        <f>IF($I133="","",COUNTIF($I$5:$I133,$I133))</f>
        <v/>
      </c>
      <c r="R133" s="23"/>
      <c r="S133" s="23"/>
      <c r="T133" s="24" t="str">
        <f t="shared" ref="T133:T154" si="23">IF(OR($R133="",$S133="",$S133=0),"",ROUND($R133/$S133,2))</f>
        <v/>
      </c>
    </row>
    <row r="134" spans="1:20" ht="15.75" customHeight="1" x14ac:dyDescent="0.15">
      <c r="A134" s="2" t="str">
        <f>IF($B134="","",COUNTA($B$5:$B134))</f>
        <v/>
      </c>
      <c r="B134" s="3"/>
      <c r="C134" s="4" t="str">
        <f>IF($B134="","",IFERROR(VLOOKUP($B134,'قاموس الترجمة'!$A$2:$B$979,2,0),""))</f>
        <v/>
      </c>
      <c r="D134" s="3"/>
      <c r="E134" s="5" t="str">
        <f t="shared" si="19"/>
        <v/>
      </c>
      <c r="F134" s="6" t="str">
        <f>IF($B134="","",IF($K134&lt;&gt;"",$K134,IF($H134="","— اختر النوع —",IF(AND($H134&lt;&gt;"FIN",$I134=""),"— اختر الحالة —",$H134&amp;"-"&amp;$I134&amp;"-"&amp;TEXT(SUMPRODUCT(MAX(($H$157:$H$590=$H134)*($I$157:$I$590=$I134)*$J$157:$J$590))+SUMPRODUCT(($H$5:$H134=$H134)*($I$5:$I134=$I134)*($L$5:$L134=1)),"000")))))</f>
        <v/>
      </c>
      <c r="G134" s="5"/>
      <c r="H134" t="str">
        <f>IFERROR(VLOOKUP($D134,القوائم!$A$2:$B$4,2,0),"")</f>
        <v/>
      </c>
      <c r="I134" t="str">
        <f t="shared" si="20"/>
        <v/>
      </c>
      <c r="K134" t="str">
        <f t="shared" si="21"/>
        <v/>
      </c>
      <c r="L134" t="str">
        <f t="shared" si="22"/>
        <v/>
      </c>
      <c r="M134" t="str">
        <f>IF($I134="","",COUNTIF($I$5:$I134,$I134))</f>
        <v/>
      </c>
      <c r="R134" s="23"/>
      <c r="S134" s="23"/>
      <c r="T134" s="24" t="str">
        <f t="shared" si="23"/>
        <v/>
      </c>
    </row>
    <row r="135" spans="1:20" ht="15.75" customHeight="1" x14ac:dyDescent="0.15">
      <c r="A135" s="2" t="str">
        <f>IF($B135="","",COUNTA($B$5:$B135))</f>
        <v/>
      </c>
      <c r="B135" s="3"/>
      <c r="C135" s="4" t="str">
        <f>IF($B135="","",IFERROR(VLOOKUP($B135,'قاموس الترجمة'!$A$2:$B$979,2,0),""))</f>
        <v/>
      </c>
      <c r="D135" s="3"/>
      <c r="E135" s="5" t="str">
        <f t="shared" ref="E135:E154" si="24">IF($D135="منتج نهائي","جاهز للبيع","")</f>
        <v/>
      </c>
      <c r="F135" s="6" t="str">
        <f>IF($B135="","",IF($K135&lt;&gt;"",$K135,IF($H135="","— اختر النوع —",IF(AND($H135&lt;&gt;"FIN",$I135=""),"— اختر الحالة —",$H135&amp;"-"&amp;$I135&amp;"-"&amp;TEXT(SUMPRODUCT(MAX(($H$157:$H$590=$H135)*($I$157:$I$590=$I135)*$J$157:$J$590))+SUMPRODUCT(($H$5:$H135=$H135)*($I$5:$I135=$I135)*($L$5:$L135=1)),"000")))))</f>
        <v/>
      </c>
      <c r="G135" s="5"/>
      <c r="H135" t="str">
        <f>IFERROR(VLOOKUP($D135,القوائم!$A$2:$B$4,2,0),"")</f>
        <v/>
      </c>
      <c r="I135" t="str">
        <f t="shared" si="20"/>
        <v/>
      </c>
      <c r="K135" t="str">
        <f t="shared" si="21"/>
        <v/>
      </c>
      <c r="L135" t="str">
        <f t="shared" si="22"/>
        <v/>
      </c>
      <c r="M135" t="str">
        <f>IF($I135="","",COUNTIF($I$5:$I135,$I135))</f>
        <v/>
      </c>
      <c r="R135" s="23"/>
      <c r="S135" s="23"/>
      <c r="T135" s="24" t="str">
        <f t="shared" si="23"/>
        <v/>
      </c>
    </row>
    <row r="136" spans="1:20" ht="15.75" customHeight="1" x14ac:dyDescent="0.15">
      <c r="A136" s="2" t="str">
        <f>IF($B136="","",COUNTA($B$5:$B136))</f>
        <v/>
      </c>
      <c r="B136" s="3"/>
      <c r="C136" s="4" t="str">
        <f>IF($B136="","",IFERROR(VLOOKUP($B136,'قاموس الترجمة'!$A$2:$B$979,2,0),""))</f>
        <v/>
      </c>
      <c r="D136" s="3"/>
      <c r="E136" s="5" t="str">
        <f t="shared" si="24"/>
        <v/>
      </c>
      <c r="F136" s="6" t="str">
        <f>IF($B136="","",IF($K136&lt;&gt;"",$K136,IF($H136="","— اختر النوع —",IF(AND($H136&lt;&gt;"FIN",$I136=""),"— اختر الحالة —",$H136&amp;"-"&amp;$I136&amp;"-"&amp;TEXT(SUMPRODUCT(MAX(($H$157:$H$590=$H136)*($I$157:$I$590=$I136)*$J$157:$J$590))+SUMPRODUCT(($H$5:$H136=$H136)*($I$5:$I136=$I136)*($L$5:$L136=1)),"000")))))</f>
        <v/>
      </c>
      <c r="G136" s="5"/>
      <c r="H136" t="str">
        <f>IFERROR(VLOOKUP($D136,القوائم!$A$2:$B$4,2,0),"")</f>
        <v/>
      </c>
      <c r="I136" t="str">
        <f t="shared" si="20"/>
        <v/>
      </c>
      <c r="K136" t="str">
        <f t="shared" si="21"/>
        <v/>
      </c>
      <c r="L136" t="str">
        <f t="shared" si="22"/>
        <v/>
      </c>
      <c r="M136" t="str">
        <f>IF($I136="","",COUNTIF($I$5:$I136,$I136))</f>
        <v/>
      </c>
      <c r="R136" s="23"/>
      <c r="S136" s="23"/>
      <c r="T136" s="24" t="str">
        <f t="shared" si="23"/>
        <v/>
      </c>
    </row>
    <row r="137" spans="1:20" ht="15.75" customHeight="1" x14ac:dyDescent="0.15">
      <c r="A137" s="2" t="str">
        <f>IF($B137="","",COUNTA($B$5:$B137))</f>
        <v/>
      </c>
      <c r="B137" s="3"/>
      <c r="C137" s="4" t="str">
        <f>IF($B137="","",IFERROR(VLOOKUP($B137,'قاموس الترجمة'!$A$2:$B$979,2,0),""))</f>
        <v/>
      </c>
      <c r="D137" s="3"/>
      <c r="E137" s="5" t="str">
        <f t="shared" si="24"/>
        <v/>
      </c>
      <c r="F137" s="6" t="str">
        <f>IF($B137="","",IF($K137&lt;&gt;"",$K137,IF($H137="","— اختر النوع —",IF(AND($H137&lt;&gt;"FIN",$I137=""),"— اختر الحالة —",$H137&amp;"-"&amp;$I137&amp;"-"&amp;TEXT(SUMPRODUCT(MAX(($H$157:$H$590=$H137)*($I$157:$I$590=$I137)*$J$157:$J$590))+SUMPRODUCT(($H$5:$H137=$H137)*($I$5:$I137=$I137)*($L$5:$L137=1)),"000")))))</f>
        <v/>
      </c>
      <c r="G137" s="5"/>
      <c r="H137" t="str">
        <f>IFERROR(VLOOKUP($D137,القوائم!$A$2:$B$4,2,0),"")</f>
        <v/>
      </c>
      <c r="I137" t="str">
        <f t="shared" si="20"/>
        <v/>
      </c>
      <c r="K137" t="str">
        <f t="shared" si="21"/>
        <v/>
      </c>
      <c r="L137" t="str">
        <f t="shared" si="22"/>
        <v/>
      </c>
      <c r="M137" t="str">
        <f>IF($I137="","",COUNTIF($I$5:$I137,$I137))</f>
        <v/>
      </c>
      <c r="R137" s="23"/>
      <c r="S137" s="23"/>
      <c r="T137" s="24" t="str">
        <f t="shared" si="23"/>
        <v/>
      </c>
    </row>
    <row r="138" spans="1:20" ht="15.75" customHeight="1" x14ac:dyDescent="0.15">
      <c r="A138" s="2" t="str">
        <f>IF($B138="","",COUNTA($B$5:$B138))</f>
        <v/>
      </c>
      <c r="B138" s="3"/>
      <c r="C138" s="4" t="str">
        <f>IF($B138="","",IFERROR(VLOOKUP($B138,'قاموس الترجمة'!$A$2:$B$979,2,0),""))</f>
        <v/>
      </c>
      <c r="D138" s="3"/>
      <c r="E138" s="5" t="str">
        <f t="shared" si="24"/>
        <v/>
      </c>
      <c r="F138" s="6" t="str">
        <f>IF($B138="","",IF($K138&lt;&gt;"",$K138,IF($H138="","— اختر النوع —",IF(AND($H138&lt;&gt;"FIN",$I138=""),"— اختر الحالة —",$H138&amp;"-"&amp;$I138&amp;"-"&amp;TEXT(SUMPRODUCT(MAX(($H$157:$H$590=$H138)*($I$157:$I$590=$I138)*$J$157:$J$590))+SUMPRODUCT(($H$5:$H138=$H138)*($I$5:$I138=$I138)*($L$5:$L138=1)),"000")))))</f>
        <v/>
      </c>
      <c r="G138" s="5"/>
      <c r="H138" t="str">
        <f>IFERROR(VLOOKUP($D138,القوائم!$A$2:$B$4,2,0),"")</f>
        <v/>
      </c>
      <c r="I138" t="str">
        <f t="shared" si="20"/>
        <v/>
      </c>
      <c r="K138" t="str">
        <f t="shared" si="21"/>
        <v/>
      </c>
      <c r="L138" t="str">
        <f t="shared" si="22"/>
        <v/>
      </c>
      <c r="M138" t="str">
        <f>IF($I138="","",COUNTIF($I$5:$I138,$I138))</f>
        <v/>
      </c>
      <c r="R138" s="23"/>
      <c r="S138" s="23"/>
      <c r="T138" s="24" t="str">
        <f t="shared" si="23"/>
        <v/>
      </c>
    </row>
    <row r="139" spans="1:20" ht="15.75" customHeight="1" x14ac:dyDescent="0.15">
      <c r="A139" s="2" t="str">
        <f>IF($B139="","",COUNTA($B$5:$B139))</f>
        <v/>
      </c>
      <c r="B139" s="3"/>
      <c r="C139" s="4" t="str">
        <f>IF($B139="","",IFERROR(VLOOKUP($B139,'قاموس الترجمة'!$A$2:$B$979,2,0),""))</f>
        <v/>
      </c>
      <c r="D139" s="3"/>
      <c r="E139" s="5" t="str">
        <f t="shared" si="24"/>
        <v/>
      </c>
      <c r="F139" s="6" t="str">
        <f>IF($B139="","",IF($K139&lt;&gt;"",$K139,IF($H139="","— اختر النوع —",IF(AND($H139&lt;&gt;"FIN",$I139=""),"— اختر الحالة —",$H139&amp;"-"&amp;$I139&amp;"-"&amp;TEXT(SUMPRODUCT(MAX(($H$157:$H$590=$H139)*($I$157:$I$590=$I139)*$J$157:$J$590))+SUMPRODUCT(($H$5:$H139=$H139)*($I$5:$I139=$I139)*($L$5:$L139=1)),"000")))))</f>
        <v/>
      </c>
      <c r="G139" s="5"/>
      <c r="H139" t="str">
        <f>IFERROR(VLOOKUP($D139,القوائم!$A$2:$B$4,2,0),"")</f>
        <v/>
      </c>
      <c r="I139" t="str">
        <f t="shared" si="20"/>
        <v/>
      </c>
      <c r="K139" t="str">
        <f t="shared" si="21"/>
        <v/>
      </c>
      <c r="L139" t="str">
        <f t="shared" si="22"/>
        <v/>
      </c>
      <c r="M139" t="str">
        <f>IF($I139="","",COUNTIF($I$5:$I139,$I139))</f>
        <v/>
      </c>
      <c r="R139" s="23"/>
      <c r="S139" s="23"/>
      <c r="T139" s="24" t="str">
        <f t="shared" si="23"/>
        <v/>
      </c>
    </row>
    <row r="140" spans="1:20" ht="15.75" customHeight="1" x14ac:dyDescent="0.15">
      <c r="A140" s="2" t="str">
        <f>IF($B140="","",COUNTA($B$5:$B140))</f>
        <v/>
      </c>
      <c r="B140" s="3"/>
      <c r="C140" s="4" t="str">
        <f>IF($B140="","",IFERROR(VLOOKUP($B140,'قاموس الترجمة'!$A$2:$B$979,2,0),""))</f>
        <v/>
      </c>
      <c r="D140" s="3"/>
      <c r="E140" s="5" t="str">
        <f t="shared" si="24"/>
        <v/>
      </c>
      <c r="F140" s="6" t="str">
        <f>IF($B140="","",IF($K140&lt;&gt;"",$K140,IF($H140="","— اختر النوع —",IF(AND($H140&lt;&gt;"FIN",$I140=""),"— اختر الحالة —",$H140&amp;"-"&amp;$I140&amp;"-"&amp;TEXT(SUMPRODUCT(MAX(($H$157:$H$590=$H140)*($I$157:$I$590=$I140)*$J$157:$J$590))+SUMPRODUCT(($H$5:$H140=$H140)*($I$5:$I140=$I140)*($L$5:$L140=1)),"000")))))</f>
        <v/>
      </c>
      <c r="G140" s="5"/>
      <c r="H140" t="str">
        <f>IFERROR(VLOOKUP($D140,القوائم!$A$2:$B$4,2,0),"")</f>
        <v/>
      </c>
      <c r="I140" t="str">
        <f t="shared" si="20"/>
        <v/>
      </c>
      <c r="K140" t="str">
        <f t="shared" si="21"/>
        <v/>
      </c>
      <c r="L140" t="str">
        <f t="shared" si="22"/>
        <v/>
      </c>
      <c r="M140" t="str">
        <f>IF($I140="","",COUNTIF($I$5:$I140,$I140))</f>
        <v/>
      </c>
      <c r="R140" s="23"/>
      <c r="S140" s="23"/>
      <c r="T140" s="24" t="str">
        <f t="shared" si="23"/>
        <v/>
      </c>
    </row>
    <row r="141" spans="1:20" ht="15.75" customHeight="1" x14ac:dyDescent="0.15">
      <c r="A141" s="2" t="str">
        <f>IF($B141="","",COUNTA($B$5:$B141))</f>
        <v/>
      </c>
      <c r="B141" s="3"/>
      <c r="C141" s="4" t="str">
        <f>IF($B141="","",IFERROR(VLOOKUP($B141,'قاموس الترجمة'!$A$2:$B$979,2,0),""))</f>
        <v/>
      </c>
      <c r="D141" s="3"/>
      <c r="E141" s="5" t="str">
        <f t="shared" si="24"/>
        <v/>
      </c>
      <c r="F141" s="6" t="str">
        <f>IF($B141="","",IF($K141&lt;&gt;"",$K141,IF($H141="","— اختر النوع —",IF(AND($H141&lt;&gt;"FIN",$I141=""),"— اختر الحالة —",$H141&amp;"-"&amp;$I141&amp;"-"&amp;TEXT(SUMPRODUCT(MAX(($H$157:$H$590=$H141)*($I$157:$I$590=$I141)*$J$157:$J$590))+SUMPRODUCT(($H$5:$H141=$H141)*($I$5:$I141=$I141)*($L$5:$L141=1)),"000")))))</f>
        <v/>
      </c>
      <c r="G141" s="5"/>
      <c r="H141" t="str">
        <f>IFERROR(VLOOKUP($D141,القوائم!$A$2:$B$4,2,0),"")</f>
        <v/>
      </c>
      <c r="I141" t="str">
        <f t="shared" si="20"/>
        <v/>
      </c>
      <c r="K141" t="str">
        <f t="shared" si="21"/>
        <v/>
      </c>
      <c r="L141" t="str">
        <f t="shared" si="22"/>
        <v/>
      </c>
      <c r="M141" t="str">
        <f>IF($I141="","",COUNTIF($I$5:$I141,$I141))</f>
        <v/>
      </c>
      <c r="R141" s="23"/>
      <c r="S141" s="23"/>
      <c r="T141" s="24" t="str">
        <f t="shared" si="23"/>
        <v/>
      </c>
    </row>
    <row r="142" spans="1:20" ht="15.75" customHeight="1" x14ac:dyDescent="0.15">
      <c r="A142" s="2" t="str">
        <f>IF($B142="","",COUNTA($B$5:$B142))</f>
        <v/>
      </c>
      <c r="B142" s="3"/>
      <c r="C142" s="4" t="str">
        <f>IF($B142="","",IFERROR(VLOOKUP($B142,'قاموس الترجمة'!$A$2:$B$979,2,0),""))</f>
        <v/>
      </c>
      <c r="D142" s="3"/>
      <c r="E142" s="5" t="str">
        <f t="shared" si="24"/>
        <v/>
      </c>
      <c r="F142" s="6" t="str">
        <f>IF($B142="","",IF($K142&lt;&gt;"",$K142,IF($H142="","— اختر النوع —",IF(AND($H142&lt;&gt;"FIN",$I142=""),"— اختر الحالة —",$H142&amp;"-"&amp;$I142&amp;"-"&amp;TEXT(SUMPRODUCT(MAX(($H$157:$H$590=$H142)*($I$157:$I$590=$I142)*$J$157:$J$590))+SUMPRODUCT(($H$5:$H142=$H142)*($I$5:$I142=$I142)*($L$5:$L142=1)),"000")))))</f>
        <v/>
      </c>
      <c r="G142" s="5"/>
      <c r="H142" t="str">
        <f>IFERROR(VLOOKUP($D142,القوائم!$A$2:$B$4,2,0),"")</f>
        <v/>
      </c>
      <c r="I142" t="str">
        <f t="shared" si="20"/>
        <v/>
      </c>
      <c r="K142" t="str">
        <f t="shared" si="21"/>
        <v/>
      </c>
      <c r="L142" t="str">
        <f t="shared" si="22"/>
        <v/>
      </c>
      <c r="M142" t="str">
        <f>IF($I142="","",COUNTIF($I$5:$I142,$I142))</f>
        <v/>
      </c>
      <c r="R142" s="23"/>
      <c r="S142" s="23"/>
      <c r="T142" s="24" t="str">
        <f t="shared" si="23"/>
        <v/>
      </c>
    </row>
    <row r="143" spans="1:20" ht="15.75" customHeight="1" x14ac:dyDescent="0.15">
      <c r="A143" s="2" t="str">
        <f>IF($B143="","",COUNTA($B$5:$B143))</f>
        <v/>
      </c>
      <c r="B143" s="3"/>
      <c r="C143" s="4" t="str">
        <f>IF($B143="","",IFERROR(VLOOKUP($B143,'قاموس الترجمة'!$A$2:$B$979,2,0),""))</f>
        <v/>
      </c>
      <c r="D143" s="3"/>
      <c r="E143" s="5" t="str">
        <f t="shared" si="24"/>
        <v/>
      </c>
      <c r="F143" s="6" t="str">
        <f>IF($B143="","",IF($K143&lt;&gt;"",$K143,IF($H143="","— اختر النوع —",IF(AND($H143&lt;&gt;"FIN",$I143=""),"— اختر الحالة —",$H143&amp;"-"&amp;$I143&amp;"-"&amp;TEXT(SUMPRODUCT(MAX(($H$157:$H$590=$H143)*($I$157:$I$590=$I143)*$J$157:$J$590))+SUMPRODUCT(($H$5:$H143=$H143)*($I$5:$I143=$I143)*($L$5:$L143=1)),"000")))))</f>
        <v/>
      </c>
      <c r="G143" s="5"/>
      <c r="H143" t="str">
        <f>IFERROR(VLOOKUP($D143,القوائم!$A$2:$B$4,2,0),"")</f>
        <v/>
      </c>
      <c r="I143" t="str">
        <f t="shared" si="20"/>
        <v/>
      </c>
      <c r="K143" t="str">
        <f t="shared" si="21"/>
        <v/>
      </c>
      <c r="L143" t="str">
        <f t="shared" si="22"/>
        <v/>
      </c>
      <c r="M143" t="str">
        <f>IF($I143="","",COUNTIF($I$5:$I143,$I143))</f>
        <v/>
      </c>
      <c r="R143" s="23"/>
      <c r="S143" s="23"/>
      <c r="T143" s="24" t="str">
        <f t="shared" si="23"/>
        <v/>
      </c>
    </row>
    <row r="144" spans="1:20" ht="15.75" customHeight="1" x14ac:dyDescent="0.15">
      <c r="A144" s="2" t="str">
        <f>IF($B144="","",COUNTA($B$5:$B144))</f>
        <v/>
      </c>
      <c r="B144" s="3"/>
      <c r="C144" s="4" t="str">
        <f>IF($B144="","",IFERROR(VLOOKUP($B144,'قاموس الترجمة'!$A$2:$B$979,2,0),""))</f>
        <v/>
      </c>
      <c r="D144" s="3"/>
      <c r="E144" s="5" t="str">
        <f t="shared" si="24"/>
        <v/>
      </c>
      <c r="F144" s="6" t="str">
        <f>IF($B144="","",IF($K144&lt;&gt;"",$K144,IF($H144="","— اختر النوع —",IF(AND($H144&lt;&gt;"FIN",$I144=""),"— اختر الحالة —",$H144&amp;"-"&amp;$I144&amp;"-"&amp;TEXT(SUMPRODUCT(MAX(($H$157:$H$590=$H144)*($I$157:$I$590=$I144)*$J$157:$J$590))+SUMPRODUCT(($H$5:$H144=$H144)*($I$5:$I144=$I144)*($L$5:$L144=1)),"000")))))</f>
        <v/>
      </c>
      <c r="G144" s="5"/>
      <c r="H144" t="str">
        <f>IFERROR(VLOOKUP($D144,القوائم!$A$2:$B$4,2,0),"")</f>
        <v/>
      </c>
      <c r="I144" t="str">
        <f t="shared" si="20"/>
        <v/>
      </c>
      <c r="K144" t="str">
        <f t="shared" si="21"/>
        <v/>
      </c>
      <c r="L144" t="str">
        <f t="shared" si="22"/>
        <v/>
      </c>
      <c r="M144" t="str">
        <f>IF($I144="","",COUNTIF($I$5:$I144,$I144))</f>
        <v/>
      </c>
      <c r="R144" s="23"/>
      <c r="S144" s="23"/>
      <c r="T144" s="24" t="str">
        <f t="shared" si="23"/>
        <v/>
      </c>
    </row>
    <row r="145" spans="1:21" ht="15.75" customHeight="1" x14ac:dyDescent="0.15">
      <c r="A145" s="2" t="str">
        <f>IF($B145="","",COUNTA($B$5:$B145))</f>
        <v/>
      </c>
      <c r="B145" s="3"/>
      <c r="C145" s="4" t="str">
        <f>IF($B145="","",IFERROR(VLOOKUP($B145,'قاموس الترجمة'!$A$2:$B$979,2,0),""))</f>
        <v/>
      </c>
      <c r="D145" s="3"/>
      <c r="E145" s="5" t="str">
        <f t="shared" si="24"/>
        <v/>
      </c>
      <c r="F145" s="6" t="str">
        <f>IF($B145="","",IF($K145&lt;&gt;"",$K145,IF($H145="","— اختر النوع —",IF(AND($H145&lt;&gt;"FIN",$I145=""),"— اختر الحالة —",$H145&amp;"-"&amp;$I145&amp;"-"&amp;TEXT(SUMPRODUCT(MAX(($H$157:$H$590=$H145)*($I$157:$I$590=$I145)*$J$157:$J$590))+SUMPRODUCT(($H$5:$H145=$H145)*($I$5:$I145=$I145)*($L$5:$L145=1)),"000")))))</f>
        <v/>
      </c>
      <c r="G145" s="5"/>
      <c r="H145" t="str">
        <f>IFERROR(VLOOKUP($D145,القوائم!$A$2:$B$4,2,0),"")</f>
        <v/>
      </c>
      <c r="I145" t="str">
        <f t="shared" si="20"/>
        <v/>
      </c>
      <c r="K145" t="str">
        <f t="shared" si="21"/>
        <v/>
      </c>
      <c r="L145" t="str">
        <f t="shared" si="22"/>
        <v/>
      </c>
      <c r="M145" t="str">
        <f>IF($I145="","",COUNTIF($I$5:$I145,$I145))</f>
        <v/>
      </c>
      <c r="R145" s="23"/>
      <c r="S145" s="23"/>
      <c r="T145" s="24" t="str">
        <f t="shared" si="23"/>
        <v/>
      </c>
    </row>
    <row r="146" spans="1:21" ht="15.75" customHeight="1" x14ac:dyDescent="0.15">
      <c r="A146" s="2" t="str">
        <f>IF($B146="","",COUNTA($B$5:$B146))</f>
        <v/>
      </c>
      <c r="B146" s="3"/>
      <c r="C146" s="4" t="str">
        <f>IF($B146="","",IFERROR(VLOOKUP($B146,'قاموس الترجمة'!$A$2:$B$979,2,0),""))</f>
        <v/>
      </c>
      <c r="D146" s="3"/>
      <c r="E146" s="5" t="str">
        <f t="shared" si="24"/>
        <v/>
      </c>
      <c r="F146" s="6" t="str">
        <f>IF($B146="","",IF($K146&lt;&gt;"",$K146,IF($H146="","— اختر النوع —",IF(AND($H146&lt;&gt;"FIN",$I146=""),"— اختر الحالة —",$H146&amp;"-"&amp;$I146&amp;"-"&amp;TEXT(SUMPRODUCT(MAX(($H$157:$H$590=$H146)*($I$157:$I$590=$I146)*$J$157:$J$590))+SUMPRODUCT(($H$5:$H146=$H146)*($I$5:$I146=$I146)*($L$5:$L146=1)),"000")))))</f>
        <v/>
      </c>
      <c r="G146" s="5"/>
      <c r="H146" t="str">
        <f>IFERROR(VLOOKUP($D146,القوائم!$A$2:$B$4,2,0),"")</f>
        <v/>
      </c>
      <c r="I146" t="str">
        <f t="shared" si="20"/>
        <v/>
      </c>
      <c r="K146" t="str">
        <f t="shared" si="21"/>
        <v/>
      </c>
      <c r="L146" t="str">
        <f t="shared" si="22"/>
        <v/>
      </c>
      <c r="M146" t="str">
        <f>IF($I146="","",COUNTIF($I$5:$I146,$I146))</f>
        <v/>
      </c>
      <c r="R146" s="23"/>
      <c r="S146" s="23"/>
      <c r="T146" s="24" t="str">
        <f t="shared" si="23"/>
        <v/>
      </c>
    </row>
    <row r="147" spans="1:21" ht="15.75" customHeight="1" x14ac:dyDescent="0.15">
      <c r="A147" s="2" t="str">
        <f>IF($B147="","",COUNTA($B$5:$B147))</f>
        <v/>
      </c>
      <c r="B147" s="3"/>
      <c r="C147" s="4" t="str">
        <f>IF($B147="","",IFERROR(VLOOKUP($B147,'قاموس الترجمة'!$A$2:$B$979,2,0),""))</f>
        <v/>
      </c>
      <c r="D147" s="3"/>
      <c r="E147" s="5" t="str">
        <f t="shared" si="24"/>
        <v/>
      </c>
      <c r="F147" s="6" t="str">
        <f>IF($B147="","",IF($K147&lt;&gt;"",$K147,IF($H147="","— اختر النوع —",IF(AND($H147&lt;&gt;"FIN",$I147=""),"— اختر الحالة —",$H147&amp;"-"&amp;$I147&amp;"-"&amp;TEXT(SUMPRODUCT(MAX(($H$157:$H$590=$H147)*($I$157:$I$590=$I147)*$J$157:$J$590))+SUMPRODUCT(($H$5:$H147=$H147)*($I$5:$I147=$I147)*($L$5:$L147=1)),"000")))))</f>
        <v/>
      </c>
      <c r="G147" s="5"/>
      <c r="H147" t="str">
        <f>IFERROR(VLOOKUP($D147,القوائم!$A$2:$B$4,2,0),"")</f>
        <v/>
      </c>
      <c r="I147" t="str">
        <f t="shared" si="20"/>
        <v/>
      </c>
      <c r="K147" t="str">
        <f t="shared" si="21"/>
        <v/>
      </c>
      <c r="L147" t="str">
        <f t="shared" si="22"/>
        <v/>
      </c>
      <c r="M147" t="str">
        <f>IF($I147="","",COUNTIF($I$5:$I147,$I147))</f>
        <v/>
      </c>
      <c r="R147" s="23"/>
      <c r="S147" s="23"/>
      <c r="T147" s="24" t="str">
        <f t="shared" si="23"/>
        <v/>
      </c>
    </row>
    <row r="148" spans="1:21" ht="15.75" customHeight="1" x14ac:dyDescent="0.15">
      <c r="A148" s="2" t="str">
        <f>IF($B148="","",COUNTA($B$5:$B148))</f>
        <v/>
      </c>
      <c r="B148" s="3"/>
      <c r="C148" s="4" t="str">
        <f>IF($B148="","",IFERROR(VLOOKUP($B148,'قاموس الترجمة'!$A$2:$B$979,2,0),""))</f>
        <v/>
      </c>
      <c r="D148" s="3"/>
      <c r="E148" s="5" t="str">
        <f t="shared" si="24"/>
        <v/>
      </c>
      <c r="F148" s="6" t="str">
        <f>IF($B148="","",IF($K148&lt;&gt;"",$K148,IF($H148="","— اختر النوع —",IF(AND($H148&lt;&gt;"FIN",$I148=""),"— اختر الحالة —",$H148&amp;"-"&amp;$I148&amp;"-"&amp;TEXT(SUMPRODUCT(MAX(($H$157:$H$590=$H148)*($I$157:$I$590=$I148)*$J$157:$J$590))+SUMPRODUCT(($H$5:$H148=$H148)*($I$5:$I148=$I148)*($L$5:$L148=1)),"000")))))</f>
        <v/>
      </c>
      <c r="G148" s="5"/>
      <c r="H148" t="str">
        <f>IFERROR(VLOOKUP($D148,القوائم!$A$2:$B$4,2,0),"")</f>
        <v/>
      </c>
      <c r="I148" t="str">
        <f t="shared" si="20"/>
        <v/>
      </c>
      <c r="K148" t="str">
        <f t="shared" si="21"/>
        <v/>
      </c>
      <c r="L148" t="str">
        <f t="shared" si="22"/>
        <v/>
      </c>
      <c r="M148" t="str">
        <f>IF($I148="","",COUNTIF($I$5:$I148,$I148))</f>
        <v/>
      </c>
      <c r="R148" s="23"/>
      <c r="S148" s="23"/>
      <c r="T148" s="24" t="str">
        <f t="shared" si="23"/>
        <v/>
      </c>
    </row>
    <row r="149" spans="1:21" ht="15.75" customHeight="1" x14ac:dyDescent="0.15">
      <c r="A149" s="2" t="str">
        <f>IF($B149="","",COUNTA($B$5:$B149))</f>
        <v/>
      </c>
      <c r="B149" s="3"/>
      <c r="C149" s="4" t="str">
        <f>IF($B149="","",IFERROR(VLOOKUP($B149,'قاموس الترجمة'!$A$2:$B$979,2,0),""))</f>
        <v/>
      </c>
      <c r="D149" s="3"/>
      <c r="E149" s="5" t="str">
        <f t="shared" si="24"/>
        <v/>
      </c>
      <c r="F149" s="6" t="str">
        <f>IF($B149="","",IF($K149&lt;&gt;"",$K149,IF($H149="","— اختر النوع —",IF(AND($H149&lt;&gt;"FIN",$I149=""),"— اختر الحالة —",$H149&amp;"-"&amp;$I149&amp;"-"&amp;TEXT(SUMPRODUCT(MAX(($H$157:$H$590=$H149)*($I$157:$I$590=$I149)*$J$157:$J$590))+SUMPRODUCT(($H$5:$H149=$H149)*($I$5:$I149=$I149)*($L$5:$L149=1)),"000")))))</f>
        <v/>
      </c>
      <c r="G149" s="5"/>
      <c r="H149" t="str">
        <f>IFERROR(VLOOKUP($D149,القوائم!$A$2:$B$4,2,0),"")</f>
        <v/>
      </c>
      <c r="I149" t="str">
        <f t="shared" si="20"/>
        <v/>
      </c>
      <c r="K149" t="str">
        <f t="shared" si="21"/>
        <v/>
      </c>
      <c r="L149" t="str">
        <f t="shared" si="22"/>
        <v/>
      </c>
      <c r="M149" t="str">
        <f>IF($I149="","",COUNTIF($I$5:$I149,$I149))</f>
        <v/>
      </c>
      <c r="R149" s="23"/>
      <c r="S149" s="23"/>
      <c r="T149" s="24" t="str">
        <f t="shared" si="23"/>
        <v/>
      </c>
    </row>
    <row r="150" spans="1:21" ht="15.75" customHeight="1" x14ac:dyDescent="0.15">
      <c r="A150" s="2" t="str">
        <f>IF($B150="","",COUNTA($B$5:$B150))</f>
        <v/>
      </c>
      <c r="B150" s="3"/>
      <c r="C150" s="4" t="str">
        <f>IF($B150="","",IFERROR(VLOOKUP($B150,'قاموس الترجمة'!$A$2:$B$979,2,0),""))</f>
        <v/>
      </c>
      <c r="D150" s="3"/>
      <c r="E150" s="5" t="str">
        <f t="shared" si="24"/>
        <v/>
      </c>
      <c r="F150" s="6" t="str">
        <f>IF($B150="","",IF($K150&lt;&gt;"",$K150,IF($H150="","— اختر النوع —",IF(AND($H150&lt;&gt;"FIN",$I150=""),"— اختر الحالة —",$H150&amp;"-"&amp;$I150&amp;"-"&amp;TEXT(SUMPRODUCT(MAX(($H$157:$H$590=$H150)*($I$157:$I$590=$I150)*$J$157:$J$590))+SUMPRODUCT(($H$5:$H150=$H150)*($I$5:$I150=$I150)*($L$5:$L150=1)),"000")))))</f>
        <v/>
      </c>
      <c r="G150" s="5"/>
      <c r="H150" t="str">
        <f>IFERROR(VLOOKUP($D150,القوائم!$A$2:$B$4,2,0),"")</f>
        <v/>
      </c>
      <c r="I150" t="str">
        <f t="shared" si="20"/>
        <v/>
      </c>
      <c r="K150" t="str">
        <f t="shared" si="21"/>
        <v/>
      </c>
      <c r="L150" t="str">
        <f t="shared" si="22"/>
        <v/>
      </c>
      <c r="M150" t="str">
        <f>IF($I150="","",COUNTIF($I$5:$I150,$I150))</f>
        <v/>
      </c>
      <c r="R150" s="23"/>
      <c r="S150" s="23"/>
      <c r="T150" s="24" t="str">
        <f t="shared" si="23"/>
        <v/>
      </c>
    </row>
    <row r="151" spans="1:21" ht="15.75" customHeight="1" x14ac:dyDescent="0.15">
      <c r="A151" s="2" t="str">
        <f>IF($B151="","",COUNTA($B$5:$B151))</f>
        <v/>
      </c>
      <c r="B151" s="3"/>
      <c r="C151" s="4" t="str">
        <f>IF($B151="","",IFERROR(VLOOKUP($B151,'قاموس الترجمة'!$A$2:$B$979,2,0),""))</f>
        <v/>
      </c>
      <c r="D151" s="3"/>
      <c r="E151" s="5" t="str">
        <f t="shared" si="24"/>
        <v/>
      </c>
      <c r="F151" s="6" t="str">
        <f>IF($B151="","",IF($K151&lt;&gt;"",$K151,IF($H151="","— اختر النوع —",IF(AND($H151&lt;&gt;"FIN",$I151=""),"— اختر الحالة —",$H151&amp;"-"&amp;$I151&amp;"-"&amp;TEXT(SUMPRODUCT(MAX(($H$157:$H$590=$H151)*($I$157:$I$590=$I151)*$J$157:$J$590))+SUMPRODUCT(($H$5:$H151=$H151)*($I$5:$I151=$I151)*($L$5:$L151=1)),"000")))))</f>
        <v/>
      </c>
      <c r="G151" s="5"/>
      <c r="H151" t="str">
        <f>IFERROR(VLOOKUP($D151,القوائم!$A$2:$B$4,2,0),"")</f>
        <v/>
      </c>
      <c r="I151" t="str">
        <f t="shared" si="20"/>
        <v/>
      </c>
      <c r="K151" t="str">
        <f t="shared" si="21"/>
        <v/>
      </c>
      <c r="L151" t="str">
        <f t="shared" si="22"/>
        <v/>
      </c>
      <c r="M151" t="str">
        <f>IF($I151="","",COUNTIF($I$5:$I151,$I151))</f>
        <v/>
      </c>
      <c r="R151" s="23"/>
      <c r="S151" s="23"/>
      <c r="T151" s="24" t="str">
        <f t="shared" si="23"/>
        <v/>
      </c>
    </row>
    <row r="152" spans="1:21" ht="15.75" customHeight="1" x14ac:dyDescent="0.15">
      <c r="A152" s="2" t="str">
        <f>IF($B152="","",COUNTA($B$5:$B152))</f>
        <v/>
      </c>
      <c r="B152" s="3"/>
      <c r="C152" s="4" t="str">
        <f>IF($B152="","",IFERROR(VLOOKUP($B152,'قاموس الترجمة'!$A$2:$B$979,2,0),""))</f>
        <v/>
      </c>
      <c r="D152" s="3"/>
      <c r="E152" s="5" t="str">
        <f t="shared" si="24"/>
        <v/>
      </c>
      <c r="F152" s="6" t="str">
        <f>IF($B152="","",IF($K152&lt;&gt;"",$K152,IF($H152="","— اختر النوع —",IF(AND($H152&lt;&gt;"FIN",$I152=""),"— اختر الحالة —",$H152&amp;"-"&amp;$I152&amp;"-"&amp;TEXT(SUMPRODUCT(MAX(($H$157:$H$590=$H152)*($I$157:$I$590=$I152)*$J$157:$J$590))+SUMPRODUCT(($H$5:$H152=$H152)*($I$5:$I152=$I152)*($L$5:$L152=1)),"000")))))</f>
        <v/>
      </c>
      <c r="G152" s="5"/>
      <c r="H152" t="str">
        <f>IFERROR(VLOOKUP($D152,القوائم!$A$2:$B$4,2,0),"")</f>
        <v/>
      </c>
      <c r="I152" t="str">
        <f t="shared" si="20"/>
        <v/>
      </c>
      <c r="K152" t="str">
        <f t="shared" si="21"/>
        <v/>
      </c>
      <c r="L152" t="str">
        <f t="shared" si="22"/>
        <v/>
      </c>
      <c r="M152" t="str">
        <f>IF($I152="","",COUNTIF($I$5:$I152,$I152))</f>
        <v/>
      </c>
      <c r="R152" s="23"/>
      <c r="S152" s="23"/>
      <c r="T152" s="24" t="str">
        <f t="shared" si="23"/>
        <v/>
      </c>
    </row>
    <row r="153" spans="1:21" ht="15.75" customHeight="1" x14ac:dyDescent="0.15">
      <c r="A153" s="2" t="str">
        <f>IF($B153="","",COUNTA($B$5:$B153))</f>
        <v/>
      </c>
      <c r="B153" s="3"/>
      <c r="C153" s="4" t="str">
        <f>IF($B153="","",IFERROR(VLOOKUP($B153,'قاموس الترجمة'!$A$2:$B$979,2,0),""))</f>
        <v/>
      </c>
      <c r="D153" s="3"/>
      <c r="E153" s="5" t="str">
        <f t="shared" si="24"/>
        <v/>
      </c>
      <c r="F153" s="6" t="str">
        <f>IF($B153="","",IF($K153&lt;&gt;"",$K153,IF($H153="","— اختر النوع —",IF(AND($H153&lt;&gt;"FIN",$I153=""),"— اختر الحالة —",$H153&amp;"-"&amp;$I153&amp;"-"&amp;TEXT(SUMPRODUCT(MAX(($H$157:$H$590=$H153)*($I$157:$I$590=$I153)*$J$157:$J$590))+SUMPRODUCT(($H$5:$H153=$H153)*($I$5:$I153=$I153)*($L$5:$L153=1)),"000")))))</f>
        <v/>
      </c>
      <c r="G153" s="5"/>
      <c r="H153" t="str">
        <f>IFERROR(VLOOKUP($D153,القوائم!$A$2:$B$4,2,0),"")</f>
        <v/>
      </c>
      <c r="I153" t="str">
        <f t="shared" si="20"/>
        <v/>
      </c>
      <c r="K153" t="str">
        <f t="shared" si="21"/>
        <v/>
      </c>
      <c r="L153" t="str">
        <f t="shared" si="22"/>
        <v/>
      </c>
      <c r="M153" t="str">
        <f>IF($I153="","",COUNTIF($I$5:$I153,$I153))</f>
        <v/>
      </c>
      <c r="R153" s="23"/>
      <c r="S153" s="23"/>
      <c r="T153" s="24" t="str">
        <f t="shared" si="23"/>
        <v/>
      </c>
    </row>
    <row r="154" spans="1:21" ht="15.75" customHeight="1" x14ac:dyDescent="0.15">
      <c r="A154" s="2" t="str">
        <f>IF($B154="","",COUNTA($B$5:$B154))</f>
        <v/>
      </c>
      <c r="B154" s="3"/>
      <c r="C154" s="4" t="str">
        <f>IF($B154="","",IFERROR(VLOOKUP($B154,'قاموس الترجمة'!$A$2:$B$979,2,0),""))</f>
        <v/>
      </c>
      <c r="D154" s="3"/>
      <c r="E154" s="5" t="str">
        <f t="shared" si="24"/>
        <v/>
      </c>
      <c r="F154" s="6" t="str">
        <f>IF($B154="","",IF($K154&lt;&gt;"",$K154,IF($H154="","— اختر النوع —",IF(AND($H154&lt;&gt;"FIN",$I154=""),"— اختر الحالة —",$H154&amp;"-"&amp;$I154&amp;"-"&amp;TEXT(SUMPRODUCT(MAX(($H$157:$H$590=$H154)*($I$157:$I$590=$I154)*$J$157:$J$590))+SUMPRODUCT(($H$5:$H154=$H154)*($I$5:$I154=$I154)*($L$5:$L154=1)),"000")))))</f>
        <v/>
      </c>
      <c r="G154" s="5"/>
      <c r="H154" t="str">
        <f>IFERROR(VLOOKUP($D154,القوائم!$A$2:$B$4,2,0),"")</f>
        <v/>
      </c>
      <c r="I154" t="str">
        <f t="shared" si="20"/>
        <v/>
      </c>
      <c r="K154" t="str">
        <f t="shared" si="21"/>
        <v/>
      </c>
      <c r="L154" t="str">
        <f t="shared" si="22"/>
        <v/>
      </c>
      <c r="M154" t="str">
        <f>IF($I154="","",COUNTIF($I$5:$I154,$I154))</f>
        <v/>
      </c>
      <c r="R154" s="23"/>
      <c r="S154" s="23"/>
      <c r="T154" s="24" t="str">
        <f t="shared" si="23"/>
        <v/>
      </c>
    </row>
    <row r="155" spans="1:21" ht="22" customHeight="1" x14ac:dyDescent="0.15">
      <c r="A155" s="35" t="s">
        <v>17</v>
      </c>
      <c r="B155" s="33"/>
      <c r="C155" s="33"/>
      <c r="D155" s="33"/>
      <c r="E155" s="33"/>
      <c r="F155" s="33"/>
      <c r="G155" s="7" t="str">
        <f>HYPERLINK("#'إدخال وسجل المنتجات'!A5","⬆ العودة للإدخال")</f>
        <v>⬆ العودة للإدخال</v>
      </c>
    </row>
    <row r="156" spans="1:21" ht="15" x14ac:dyDescent="0.15">
      <c r="A156" s="1" t="s">
        <v>2</v>
      </c>
      <c r="B156" s="1" t="s">
        <v>3</v>
      </c>
      <c r="C156" s="1" t="s">
        <v>18</v>
      </c>
      <c r="D156" s="1" t="s">
        <v>5</v>
      </c>
      <c r="E156" s="1" t="s">
        <v>6</v>
      </c>
      <c r="F156" s="1" t="s">
        <v>19</v>
      </c>
      <c r="G156" s="1" t="s">
        <v>8</v>
      </c>
      <c r="R156" s="22" t="s">
        <v>9</v>
      </c>
      <c r="S156" s="22" t="s">
        <v>10</v>
      </c>
      <c r="T156" s="22" t="s">
        <v>11</v>
      </c>
    </row>
    <row r="157" spans="1:21" ht="17" x14ac:dyDescent="0.15">
      <c r="A157" s="2">
        <v>1</v>
      </c>
      <c r="B157" s="8" t="s">
        <v>20</v>
      </c>
      <c r="C157" s="28" t="s">
        <v>21</v>
      </c>
      <c r="D157" s="8" t="s">
        <v>12</v>
      </c>
      <c r="E157" s="2" t="s">
        <v>14</v>
      </c>
      <c r="F157" s="9" t="str">
        <f t="shared" ref="F157:F220" si="25">IF($H157="","",$H157&amp;"-"&amp;$I157&amp;"-"&amp;TEXT($J157,"000"))</f>
        <v>RAW-CNS-001</v>
      </c>
      <c r="G157" s="2" t="s">
        <v>13</v>
      </c>
      <c r="H157" t="str">
        <f>IFERROR(VLOOKUP($D157,القوائم!$A$2:$B$4,2,0),"")</f>
        <v>RAW</v>
      </c>
      <c r="I157" t="str">
        <f t="shared" ref="I157:I220" si="26">IF($H157="FIN","RTS",IF(ISNUMBER(SEARCH("مجمد",$E157)),"FRZ",IF(ISNUMBER(SEARCH("مبرد",$E157)),"CHL",IF(ISNUMBER(SEARCH("جاف",$E157)),"DRY",IF(ISNUMBER(SEARCH("استهلاك",$E157)),"CNS",IF(ISNUMBER(SEARCH("بيع",$E157)),"RTS",""))))))</f>
        <v>CNS</v>
      </c>
      <c r="J157">
        <f>IF($H157="","",IF($N157=0,$Q157,SUMPRODUCT(($O$157:$O$590=$H157)*($P$157:$P$590=$I157)*$Q$157:$Q$590)+COUNTIFS($H$157:$H157,$H157,$I$157:$I157,$I157,$N$157:$N157,1)))</f>
        <v>1</v>
      </c>
      <c r="M157">
        <f>IF($I157="","",COUNTIF($I$5:$I157,$I157))</f>
        <v>2</v>
      </c>
      <c r="N157">
        <f t="shared" ref="N157:N220" si="27">IF($H157="","",IF(OR($H157&lt;&gt;$O157,$I157&lt;&gt;$P157),1,0))</f>
        <v>0</v>
      </c>
      <c r="O157" t="s">
        <v>22</v>
      </c>
      <c r="P157" t="s">
        <v>23</v>
      </c>
      <c r="Q157">
        <v>1</v>
      </c>
      <c r="R157" s="25"/>
      <c r="S157" s="25"/>
      <c r="T157" s="24" t="str">
        <f t="shared" ref="T157:T220" si="28">IF(OR($R157="",$S157="",$S157=0),"",ROUND($R157/$S157,2))</f>
        <v/>
      </c>
      <c r="U157" s="25"/>
    </row>
    <row r="158" spans="1:21" ht="16" x14ac:dyDescent="0.15">
      <c r="A158" s="2">
        <v>2</v>
      </c>
      <c r="B158" s="8" t="s">
        <v>24</v>
      </c>
      <c r="C158" s="28" t="s">
        <v>25</v>
      </c>
      <c r="D158" s="8" t="s">
        <v>16</v>
      </c>
      <c r="E158" s="2" t="s">
        <v>26</v>
      </c>
      <c r="F158" s="9" t="str">
        <f t="shared" si="25"/>
        <v>FIN-RTS-001</v>
      </c>
      <c r="G158" s="2" t="s">
        <v>13</v>
      </c>
      <c r="H158" t="str">
        <f>IFERROR(VLOOKUP($D158,القوائم!$A$2:$B$4,2,0),"")</f>
        <v>FIN</v>
      </c>
      <c r="I158" t="str">
        <f t="shared" si="26"/>
        <v>RTS</v>
      </c>
      <c r="J158">
        <f>IF($H158="","",IF($N158=0,$Q158,SUMPRODUCT(($O$157:$O$590=$H158)*($P$157:$P$590=$I158)*$Q$157:$Q$590)+COUNTIFS($H$157:$H158,$H158,$I$157:$I158,$I158,$N$157:$N158,1)))</f>
        <v>1</v>
      </c>
      <c r="M158">
        <f>IF($I158="","",COUNTIF($I$5:$I158,$I158))</f>
        <v>1</v>
      </c>
      <c r="N158">
        <f t="shared" si="27"/>
        <v>0</v>
      </c>
      <c r="O158" t="s">
        <v>27</v>
      </c>
      <c r="P158" t="s">
        <v>28</v>
      </c>
      <c r="Q158">
        <v>1</v>
      </c>
      <c r="R158" s="25">
        <v>270</v>
      </c>
      <c r="S158" s="25">
        <v>100</v>
      </c>
      <c r="T158" s="24">
        <f t="shared" si="28"/>
        <v>2.7</v>
      </c>
      <c r="U158" s="25"/>
    </row>
    <row r="159" spans="1:21" ht="16" x14ac:dyDescent="0.15">
      <c r="A159" s="2">
        <v>3</v>
      </c>
      <c r="B159" s="8" t="s">
        <v>29</v>
      </c>
      <c r="C159" s="28" t="s">
        <v>30</v>
      </c>
      <c r="D159" s="8" t="s">
        <v>16</v>
      </c>
      <c r="E159" s="2" t="s">
        <v>26</v>
      </c>
      <c r="F159" s="9" t="str">
        <f t="shared" si="25"/>
        <v>FIN-RTS-002</v>
      </c>
      <c r="G159" s="2" t="s">
        <v>13</v>
      </c>
      <c r="H159" t="str">
        <f>IFERROR(VLOOKUP($D159,القوائم!$A$2:$B$4,2,0),"")</f>
        <v>FIN</v>
      </c>
      <c r="I159" t="str">
        <f t="shared" si="26"/>
        <v>RTS</v>
      </c>
      <c r="J159">
        <f>IF($H159="","",IF($N159=0,$Q159,SUMPRODUCT(($O$157:$O$590=$H159)*($P$157:$P$590=$I159)*$Q$157:$Q$590)+COUNTIFS($H$157:$H159,$H159,$I$157:$I159,$I159,$N$157:$N159,1)))</f>
        <v>2</v>
      </c>
      <c r="M159">
        <f>IF($I159="","",COUNTIF($I$5:$I159,$I159))</f>
        <v>2</v>
      </c>
      <c r="N159">
        <f t="shared" si="27"/>
        <v>0</v>
      </c>
      <c r="O159" t="s">
        <v>27</v>
      </c>
      <c r="P159" t="s">
        <v>28</v>
      </c>
      <c r="Q159">
        <v>2</v>
      </c>
      <c r="R159" s="25">
        <v>260</v>
      </c>
      <c r="S159" s="25">
        <v>100</v>
      </c>
      <c r="T159" s="24">
        <f t="shared" si="28"/>
        <v>2.6</v>
      </c>
      <c r="U159" s="25"/>
    </row>
    <row r="160" spans="1:21" ht="16" x14ac:dyDescent="0.15">
      <c r="A160" s="2">
        <v>4</v>
      </c>
      <c r="B160" s="8" t="s">
        <v>31</v>
      </c>
      <c r="C160" s="28" t="s">
        <v>30</v>
      </c>
      <c r="D160" s="8" t="s">
        <v>16</v>
      </c>
      <c r="E160" s="2" t="s">
        <v>26</v>
      </c>
      <c r="F160" s="9" t="str">
        <f t="shared" si="25"/>
        <v>FIN-RTS-003</v>
      </c>
      <c r="G160" s="2" t="s">
        <v>13</v>
      </c>
      <c r="H160" t="str">
        <f>IFERROR(VLOOKUP($D160,القوائم!$A$2:$B$4,2,0),"")</f>
        <v>FIN</v>
      </c>
      <c r="I160" t="str">
        <f t="shared" si="26"/>
        <v>RTS</v>
      </c>
      <c r="J160">
        <f>IF($H160="","",IF($N160=0,$Q160,SUMPRODUCT(($O$157:$O$590=$H160)*($P$157:$P$590=$I160)*$Q$157:$Q$590)+COUNTIFS($H$157:$H160,$H160,$I$157:$I160,$I160,$N$157:$N160,1)))</f>
        <v>3</v>
      </c>
      <c r="M160">
        <f>IF($I160="","",COUNTIF($I$5:$I160,$I160))</f>
        <v>3</v>
      </c>
      <c r="N160">
        <f t="shared" si="27"/>
        <v>0</v>
      </c>
      <c r="O160" t="s">
        <v>27</v>
      </c>
      <c r="P160" t="s">
        <v>28</v>
      </c>
      <c r="Q160">
        <v>3</v>
      </c>
      <c r="R160" s="25">
        <v>260</v>
      </c>
      <c r="S160" s="25">
        <v>100</v>
      </c>
      <c r="T160" s="24">
        <f t="shared" si="28"/>
        <v>2.6</v>
      </c>
      <c r="U160" s="25"/>
    </row>
    <row r="161" spans="1:21" ht="16" x14ac:dyDescent="0.15">
      <c r="A161" s="2">
        <v>5</v>
      </c>
      <c r="B161" s="8" t="s">
        <v>32</v>
      </c>
      <c r="C161" s="28" t="s">
        <v>33</v>
      </c>
      <c r="D161" s="8" t="s">
        <v>16</v>
      </c>
      <c r="E161" s="2" t="s">
        <v>26</v>
      </c>
      <c r="F161" s="9" t="str">
        <f t="shared" si="25"/>
        <v>FIN-RTS-004</v>
      </c>
      <c r="G161" s="2" t="s">
        <v>13</v>
      </c>
      <c r="H161" t="str">
        <f>IFERROR(VLOOKUP($D161,القوائم!$A$2:$B$4,2,0),"")</f>
        <v>FIN</v>
      </c>
      <c r="I161" t="str">
        <f t="shared" si="26"/>
        <v>RTS</v>
      </c>
      <c r="J161">
        <f>IF($H161="","",IF($N161=0,$Q161,SUMPRODUCT(($O$157:$O$590=$H161)*($P$157:$P$590=$I161)*$Q$157:$Q$590)+COUNTIFS($H$157:$H161,$H161,$I$157:$I161,$I161,$N$157:$N161,1)))</f>
        <v>4</v>
      </c>
      <c r="M161">
        <f>IF($I161="","",COUNTIF($I$5:$I161,$I161))</f>
        <v>4</v>
      </c>
      <c r="N161">
        <f t="shared" si="27"/>
        <v>0</v>
      </c>
      <c r="O161" t="s">
        <v>27</v>
      </c>
      <c r="P161" t="s">
        <v>28</v>
      </c>
      <c r="Q161">
        <v>4</v>
      </c>
      <c r="R161" s="25">
        <v>300</v>
      </c>
      <c r="S161" s="25">
        <v>100</v>
      </c>
      <c r="T161" s="24">
        <f t="shared" si="28"/>
        <v>3</v>
      </c>
      <c r="U161" s="25"/>
    </row>
    <row r="162" spans="1:21" ht="16" x14ac:dyDescent="0.15">
      <c r="A162" s="2">
        <v>6</v>
      </c>
      <c r="B162" s="8" t="s">
        <v>34</v>
      </c>
      <c r="C162" s="28" t="s">
        <v>35</v>
      </c>
      <c r="D162" s="8" t="s">
        <v>16</v>
      </c>
      <c r="E162" s="2" t="s">
        <v>26</v>
      </c>
      <c r="F162" s="9" t="str">
        <f t="shared" si="25"/>
        <v>FIN-RTS-005</v>
      </c>
      <c r="G162" s="2" t="s">
        <v>13</v>
      </c>
      <c r="H162" t="str">
        <f>IFERROR(VLOOKUP($D162,القوائم!$A$2:$B$4,2,0),"")</f>
        <v>FIN</v>
      </c>
      <c r="I162" t="str">
        <f t="shared" si="26"/>
        <v>RTS</v>
      </c>
      <c r="J162">
        <f>IF($H162="","",IF($N162=0,$Q162,SUMPRODUCT(($O$157:$O$590=$H162)*($P$157:$P$590=$I162)*$Q$157:$Q$590)+COUNTIFS($H$157:$H162,$H162,$I$157:$I162,$I162,$N$157:$N162,1)))</f>
        <v>5</v>
      </c>
      <c r="M162">
        <f>IF($I162="","",COUNTIF($I$5:$I162,$I162))</f>
        <v>5</v>
      </c>
      <c r="N162">
        <f t="shared" si="27"/>
        <v>0</v>
      </c>
      <c r="O162" t="s">
        <v>27</v>
      </c>
      <c r="P162" t="s">
        <v>28</v>
      </c>
      <c r="Q162">
        <v>5</v>
      </c>
      <c r="R162" s="25">
        <v>60</v>
      </c>
      <c r="S162" s="25">
        <v>100</v>
      </c>
      <c r="T162" s="24">
        <f t="shared" si="28"/>
        <v>0.6</v>
      </c>
      <c r="U162" s="25"/>
    </row>
    <row r="163" spans="1:21" ht="16" x14ac:dyDescent="0.15">
      <c r="A163" s="2">
        <v>7</v>
      </c>
      <c r="B163" s="8" t="s">
        <v>36</v>
      </c>
      <c r="C163" s="28" t="s">
        <v>37</v>
      </c>
      <c r="D163" s="8" t="s">
        <v>16</v>
      </c>
      <c r="E163" s="2" t="s">
        <v>26</v>
      </c>
      <c r="F163" s="9" t="str">
        <f t="shared" si="25"/>
        <v>FIN-RTS-006</v>
      </c>
      <c r="G163" s="2" t="s">
        <v>13</v>
      </c>
      <c r="H163" t="str">
        <f>IFERROR(VLOOKUP($D163,القوائم!$A$2:$B$4,2,0),"")</f>
        <v>FIN</v>
      </c>
      <c r="I163" t="str">
        <f t="shared" si="26"/>
        <v>RTS</v>
      </c>
      <c r="J163">
        <f>IF($H163="","",IF($N163=0,$Q163,SUMPRODUCT(($O$157:$O$590=$H163)*($P$157:$P$590=$I163)*$Q$157:$Q$590)+COUNTIFS($H$157:$H163,$H163,$I$157:$I163,$I163,$N$157:$N163,1)))</f>
        <v>6</v>
      </c>
      <c r="M163">
        <f>IF($I163="","",COUNTIF($I$5:$I163,$I163))</f>
        <v>6</v>
      </c>
      <c r="N163">
        <f t="shared" si="27"/>
        <v>0</v>
      </c>
      <c r="O163" t="s">
        <v>27</v>
      </c>
      <c r="P163" t="s">
        <v>28</v>
      </c>
      <c r="Q163">
        <v>6</v>
      </c>
      <c r="R163" s="25">
        <v>65</v>
      </c>
      <c r="S163" s="25">
        <v>100</v>
      </c>
      <c r="T163" s="24">
        <f t="shared" si="28"/>
        <v>0.65</v>
      </c>
      <c r="U163" s="25"/>
    </row>
    <row r="164" spans="1:21" ht="16" x14ac:dyDescent="0.15">
      <c r="A164" s="2">
        <v>8</v>
      </c>
      <c r="B164" s="8" t="s">
        <v>38</v>
      </c>
      <c r="C164" s="28" t="s">
        <v>39</v>
      </c>
      <c r="D164" s="8" t="s">
        <v>16</v>
      </c>
      <c r="E164" s="2" t="s">
        <v>26</v>
      </c>
      <c r="F164" s="9" t="str">
        <f t="shared" si="25"/>
        <v>FIN-RTS-007</v>
      </c>
      <c r="G164" s="2" t="s">
        <v>13</v>
      </c>
      <c r="H164" t="str">
        <f>IFERROR(VLOOKUP($D164,القوائم!$A$2:$B$4,2,0),"")</f>
        <v>FIN</v>
      </c>
      <c r="I164" t="str">
        <f t="shared" si="26"/>
        <v>RTS</v>
      </c>
      <c r="J164">
        <f>IF($H164="","",IF($N164=0,$Q164,SUMPRODUCT(($O$157:$O$590=$H164)*($P$157:$P$590=$I164)*$Q$157:$Q$590)+COUNTIFS($H$157:$H164,$H164,$I$157:$I164,$I164,$N$157:$N164,1)))</f>
        <v>7</v>
      </c>
      <c r="M164">
        <f>IF($I164="","",COUNTIF($I$5:$I164,$I164))</f>
        <v>7</v>
      </c>
      <c r="N164">
        <f t="shared" si="27"/>
        <v>0</v>
      </c>
      <c r="O164" t="s">
        <v>27</v>
      </c>
      <c r="P164" t="s">
        <v>28</v>
      </c>
      <c r="Q164">
        <v>7</v>
      </c>
      <c r="R164" s="25">
        <v>200</v>
      </c>
      <c r="S164" s="25">
        <v>100</v>
      </c>
      <c r="T164" s="24">
        <f t="shared" si="28"/>
        <v>2</v>
      </c>
      <c r="U164" s="25"/>
    </row>
    <row r="165" spans="1:21" ht="17" x14ac:dyDescent="0.15">
      <c r="A165" s="2">
        <v>9</v>
      </c>
      <c r="B165" s="8" t="s">
        <v>40</v>
      </c>
      <c r="C165" s="28" t="s">
        <v>41</v>
      </c>
      <c r="D165" s="8" t="s">
        <v>12</v>
      </c>
      <c r="E165" s="2" t="s">
        <v>14</v>
      </c>
      <c r="F165" s="9" t="str">
        <f t="shared" si="25"/>
        <v>RAW-CNS-002</v>
      </c>
      <c r="G165" s="2" t="s">
        <v>13</v>
      </c>
      <c r="H165" t="str">
        <f>IFERROR(VLOOKUP($D165,القوائم!$A$2:$B$4,2,0),"")</f>
        <v>RAW</v>
      </c>
      <c r="I165" t="str">
        <f t="shared" si="26"/>
        <v>CNS</v>
      </c>
      <c r="J165">
        <f>IF($H165="","",IF($N165=0,$Q165,SUMPRODUCT(($O$157:$O$590=$H165)*($P$157:$P$590=$I165)*$Q$157:$Q$590)+COUNTIFS($H$157:$H165,$H165,$I$157:$I165,$I165,$N$157:$N165,1)))</f>
        <v>2</v>
      </c>
      <c r="M165">
        <f>IF($I165="","",COUNTIF($I$5:$I165,$I165))</f>
        <v>3</v>
      </c>
      <c r="N165">
        <f t="shared" si="27"/>
        <v>0</v>
      </c>
      <c r="O165" t="s">
        <v>22</v>
      </c>
      <c r="P165" t="s">
        <v>23</v>
      </c>
      <c r="Q165">
        <v>2</v>
      </c>
      <c r="R165" s="25"/>
      <c r="S165" s="25"/>
      <c r="T165" s="24" t="str">
        <f t="shared" si="28"/>
        <v/>
      </c>
      <c r="U165" s="25"/>
    </row>
    <row r="166" spans="1:21" ht="16" x14ac:dyDescent="0.15">
      <c r="A166" s="2">
        <v>10</v>
      </c>
      <c r="B166" s="8" t="s">
        <v>42</v>
      </c>
      <c r="C166" s="28" t="s">
        <v>43</v>
      </c>
      <c r="D166" s="8" t="s">
        <v>16</v>
      </c>
      <c r="E166" s="2" t="s">
        <v>26</v>
      </c>
      <c r="F166" s="9" t="str">
        <f t="shared" si="25"/>
        <v>FIN-RTS-008</v>
      </c>
      <c r="G166" s="2" t="s">
        <v>13</v>
      </c>
      <c r="H166" t="str">
        <f>IFERROR(VLOOKUP($D166,القوائم!$A$2:$B$4,2,0),"")</f>
        <v>FIN</v>
      </c>
      <c r="I166" t="str">
        <f t="shared" si="26"/>
        <v>RTS</v>
      </c>
      <c r="J166">
        <f>IF($H166="","",IF($N166=0,$Q166,SUMPRODUCT(($O$157:$O$590=$H166)*($P$157:$P$590=$I166)*$Q$157:$Q$590)+COUNTIFS($H$157:$H166,$H166,$I$157:$I166,$I166,$N$157:$N166,1)))</f>
        <v>8</v>
      </c>
      <c r="M166">
        <f>IF($I166="","",COUNTIF($I$5:$I166,$I166))</f>
        <v>8</v>
      </c>
      <c r="N166">
        <f t="shared" si="27"/>
        <v>0</v>
      </c>
      <c r="O166" t="s">
        <v>27</v>
      </c>
      <c r="P166" t="s">
        <v>28</v>
      </c>
      <c r="Q166">
        <v>8</v>
      </c>
      <c r="R166" s="25">
        <v>300</v>
      </c>
      <c r="S166" s="25">
        <v>100</v>
      </c>
      <c r="T166" s="24">
        <f t="shared" si="28"/>
        <v>3</v>
      </c>
      <c r="U166" s="25"/>
    </row>
    <row r="167" spans="1:21" ht="16" x14ac:dyDescent="0.15">
      <c r="A167" s="2">
        <v>11</v>
      </c>
      <c r="B167" s="8" t="s">
        <v>44</v>
      </c>
      <c r="C167" s="28" t="s">
        <v>45</v>
      </c>
      <c r="D167" s="8" t="s">
        <v>16</v>
      </c>
      <c r="E167" s="2" t="s">
        <v>26</v>
      </c>
      <c r="F167" s="9" t="str">
        <f t="shared" si="25"/>
        <v>FIN-RTS-009</v>
      </c>
      <c r="G167" s="2" t="s">
        <v>13</v>
      </c>
      <c r="H167" t="str">
        <f>IFERROR(VLOOKUP($D167,القوائم!$A$2:$B$4,2,0),"")</f>
        <v>FIN</v>
      </c>
      <c r="I167" t="str">
        <f t="shared" si="26"/>
        <v>RTS</v>
      </c>
      <c r="J167">
        <f>IF($H167="","",IF($N167=0,$Q167,SUMPRODUCT(($O$157:$O$590=$H167)*($P$157:$P$590=$I167)*$Q$157:$Q$590)+COUNTIFS($H$157:$H167,$H167,$I$157:$I167,$I167,$N$157:$N167,1)))</f>
        <v>9</v>
      </c>
      <c r="M167">
        <f>IF($I167="","",COUNTIF($I$5:$I167,$I167))</f>
        <v>9</v>
      </c>
      <c r="N167">
        <f t="shared" si="27"/>
        <v>0</v>
      </c>
      <c r="O167" t="s">
        <v>27</v>
      </c>
      <c r="P167" t="s">
        <v>28</v>
      </c>
      <c r="Q167">
        <v>9</v>
      </c>
      <c r="R167" s="25">
        <v>290</v>
      </c>
      <c r="S167" s="25">
        <v>100</v>
      </c>
      <c r="T167" s="24">
        <f t="shared" si="28"/>
        <v>2.9</v>
      </c>
      <c r="U167" s="25"/>
    </row>
    <row r="168" spans="1:21" ht="16" x14ac:dyDescent="0.15">
      <c r="A168" s="2">
        <v>12</v>
      </c>
      <c r="B168" s="8" t="s">
        <v>46</v>
      </c>
      <c r="C168" s="28" t="s">
        <v>43</v>
      </c>
      <c r="D168" s="8" t="s">
        <v>16</v>
      </c>
      <c r="E168" s="2" t="s">
        <v>26</v>
      </c>
      <c r="F168" s="9" t="str">
        <f t="shared" si="25"/>
        <v>FIN-RTS-010</v>
      </c>
      <c r="G168" s="2" t="s">
        <v>13</v>
      </c>
      <c r="H168" t="str">
        <f>IFERROR(VLOOKUP($D168,القوائم!$A$2:$B$4,2,0),"")</f>
        <v>FIN</v>
      </c>
      <c r="I168" t="str">
        <f t="shared" si="26"/>
        <v>RTS</v>
      </c>
      <c r="J168">
        <f>IF($H168="","",IF($N168=0,$Q168,SUMPRODUCT(($O$157:$O$590=$H168)*($P$157:$P$590=$I168)*$Q$157:$Q$590)+COUNTIFS($H$157:$H168,$H168,$I$157:$I168,$I168,$N$157:$N168,1)))</f>
        <v>10</v>
      </c>
      <c r="M168">
        <f>IF($I168="","",COUNTIF($I$5:$I168,$I168))</f>
        <v>10</v>
      </c>
      <c r="N168">
        <f t="shared" si="27"/>
        <v>0</v>
      </c>
      <c r="O168" t="s">
        <v>27</v>
      </c>
      <c r="P168" t="s">
        <v>28</v>
      </c>
      <c r="Q168">
        <v>10</v>
      </c>
      <c r="R168" s="25">
        <v>300</v>
      </c>
      <c r="S168" s="25">
        <v>100</v>
      </c>
      <c r="T168" s="24">
        <f t="shared" si="28"/>
        <v>3</v>
      </c>
      <c r="U168" s="25"/>
    </row>
    <row r="169" spans="1:21" ht="16" x14ac:dyDescent="0.15">
      <c r="A169" s="2">
        <v>13</v>
      </c>
      <c r="B169" s="8" t="s">
        <v>47</v>
      </c>
      <c r="C169" s="28" t="s">
        <v>48</v>
      </c>
      <c r="D169" s="8" t="s">
        <v>16</v>
      </c>
      <c r="E169" s="2" t="s">
        <v>26</v>
      </c>
      <c r="F169" s="9" t="str">
        <f t="shared" si="25"/>
        <v>FIN-RTS-011</v>
      </c>
      <c r="G169" s="2" t="s">
        <v>13</v>
      </c>
      <c r="H169" t="str">
        <f>IFERROR(VLOOKUP($D169,القوائم!$A$2:$B$4,2,0),"")</f>
        <v>FIN</v>
      </c>
      <c r="I169" t="str">
        <f t="shared" si="26"/>
        <v>RTS</v>
      </c>
      <c r="J169">
        <f>IF($H169="","",IF($N169=0,$Q169,SUMPRODUCT(($O$157:$O$590=$H169)*($P$157:$P$590=$I169)*$Q$157:$Q$590)+COUNTIFS($H$157:$H169,$H169,$I$157:$I169,$I169,$N$157:$N169,1)))</f>
        <v>11</v>
      </c>
      <c r="M169">
        <f>IF($I169="","",COUNTIF($I$5:$I169,$I169))</f>
        <v>11</v>
      </c>
      <c r="N169">
        <f t="shared" si="27"/>
        <v>0</v>
      </c>
      <c r="O169" t="s">
        <v>27</v>
      </c>
      <c r="P169" t="s">
        <v>28</v>
      </c>
      <c r="Q169">
        <v>11</v>
      </c>
      <c r="R169" s="25">
        <v>280</v>
      </c>
      <c r="S169" s="25">
        <v>100</v>
      </c>
      <c r="T169" s="24">
        <f t="shared" si="28"/>
        <v>2.8</v>
      </c>
      <c r="U169" s="25"/>
    </row>
    <row r="170" spans="1:21" ht="16" x14ac:dyDescent="0.15">
      <c r="A170" s="2">
        <v>14</v>
      </c>
      <c r="B170" s="8" t="s">
        <v>49</v>
      </c>
      <c r="C170" s="28" t="s">
        <v>45</v>
      </c>
      <c r="D170" s="8" t="s">
        <v>16</v>
      </c>
      <c r="E170" s="2" t="s">
        <v>26</v>
      </c>
      <c r="F170" s="9" t="str">
        <f t="shared" si="25"/>
        <v>FIN-RTS-012</v>
      </c>
      <c r="G170" s="2" t="s">
        <v>13</v>
      </c>
      <c r="H170" t="str">
        <f>IFERROR(VLOOKUP($D170,القوائم!$A$2:$B$4,2,0),"")</f>
        <v>FIN</v>
      </c>
      <c r="I170" t="str">
        <f t="shared" si="26"/>
        <v>RTS</v>
      </c>
      <c r="J170">
        <f>IF($H170="","",IF($N170=0,$Q170,SUMPRODUCT(($O$157:$O$590=$H170)*($P$157:$P$590=$I170)*$Q$157:$Q$590)+COUNTIFS($H$157:$H170,$H170,$I$157:$I170,$I170,$N$157:$N170,1)))</f>
        <v>12</v>
      </c>
      <c r="M170">
        <f>IF($I170="","",COUNTIF($I$5:$I170,$I170))</f>
        <v>12</v>
      </c>
      <c r="N170">
        <f t="shared" si="27"/>
        <v>0</v>
      </c>
      <c r="O170" t="s">
        <v>27</v>
      </c>
      <c r="P170" t="s">
        <v>28</v>
      </c>
      <c r="Q170">
        <v>12</v>
      </c>
      <c r="R170" s="25">
        <v>290</v>
      </c>
      <c r="S170" s="25">
        <v>100</v>
      </c>
      <c r="T170" s="24">
        <f t="shared" si="28"/>
        <v>2.9</v>
      </c>
      <c r="U170" s="25"/>
    </row>
    <row r="171" spans="1:21" ht="16" x14ac:dyDescent="0.15">
      <c r="A171" s="2">
        <v>15</v>
      </c>
      <c r="B171" s="8" t="s">
        <v>50</v>
      </c>
      <c r="C171" s="28" t="s">
        <v>51</v>
      </c>
      <c r="D171" s="8" t="s">
        <v>16</v>
      </c>
      <c r="E171" s="2" t="s">
        <v>26</v>
      </c>
      <c r="F171" s="9" t="str">
        <f t="shared" si="25"/>
        <v>FIN-RTS-013</v>
      </c>
      <c r="G171" s="2" t="s">
        <v>13</v>
      </c>
      <c r="H171" t="str">
        <f>IFERROR(VLOOKUP($D171,القوائم!$A$2:$B$4,2,0),"")</f>
        <v>FIN</v>
      </c>
      <c r="I171" t="str">
        <f t="shared" si="26"/>
        <v>RTS</v>
      </c>
      <c r="J171">
        <f>IF($H171="","",IF($N171=0,$Q171,SUMPRODUCT(($O$157:$O$590=$H171)*($P$157:$P$590=$I171)*$Q$157:$Q$590)+COUNTIFS($H$157:$H171,$H171,$I$157:$I171,$I171,$N$157:$N171,1)))</f>
        <v>13</v>
      </c>
      <c r="M171">
        <f>IF($I171="","",COUNTIF($I$5:$I171,$I171))</f>
        <v>13</v>
      </c>
      <c r="N171">
        <f t="shared" si="27"/>
        <v>0</v>
      </c>
      <c r="O171" t="s">
        <v>27</v>
      </c>
      <c r="P171" t="s">
        <v>28</v>
      </c>
      <c r="Q171">
        <v>13</v>
      </c>
      <c r="R171" s="25">
        <v>200</v>
      </c>
      <c r="S171" s="25">
        <v>100</v>
      </c>
      <c r="T171" s="24">
        <f t="shared" si="28"/>
        <v>2</v>
      </c>
      <c r="U171" s="25"/>
    </row>
    <row r="172" spans="1:21" ht="16" x14ac:dyDescent="0.15">
      <c r="A172" s="2">
        <v>16</v>
      </c>
      <c r="B172" s="8" t="s">
        <v>52</v>
      </c>
      <c r="C172" s="28" t="s">
        <v>53</v>
      </c>
      <c r="D172" s="8" t="s">
        <v>16</v>
      </c>
      <c r="E172" s="2" t="s">
        <v>26</v>
      </c>
      <c r="F172" s="9" t="str">
        <f t="shared" si="25"/>
        <v>FIN-RTS-014</v>
      </c>
      <c r="G172" s="2" t="s">
        <v>13</v>
      </c>
      <c r="H172" t="str">
        <f>IFERROR(VLOOKUP($D172,القوائم!$A$2:$B$4,2,0),"")</f>
        <v>FIN</v>
      </c>
      <c r="I172" t="str">
        <f t="shared" si="26"/>
        <v>RTS</v>
      </c>
      <c r="J172">
        <f>IF($H172="","",IF($N172=0,$Q172,SUMPRODUCT(($O$157:$O$590=$H172)*($P$157:$P$590=$I172)*$Q$157:$Q$590)+COUNTIFS($H$157:$H172,$H172,$I$157:$I172,$I172,$N$157:$N172,1)))</f>
        <v>14</v>
      </c>
      <c r="M172">
        <f>IF($I172="","",COUNTIF($I$5:$I172,$I172))</f>
        <v>14</v>
      </c>
      <c r="N172">
        <f t="shared" si="27"/>
        <v>0</v>
      </c>
      <c r="O172" t="s">
        <v>27</v>
      </c>
      <c r="P172" t="s">
        <v>28</v>
      </c>
      <c r="Q172">
        <v>14</v>
      </c>
      <c r="R172" s="25">
        <v>250</v>
      </c>
      <c r="S172" s="25">
        <v>100</v>
      </c>
      <c r="T172" s="24">
        <f t="shared" si="28"/>
        <v>2.5</v>
      </c>
      <c r="U172" s="25"/>
    </row>
    <row r="173" spans="1:21" ht="16" x14ac:dyDescent="0.15">
      <c r="A173" s="2">
        <v>17</v>
      </c>
      <c r="B173" s="8" t="s">
        <v>54</v>
      </c>
      <c r="C173" s="28" t="s">
        <v>55</v>
      </c>
      <c r="D173" s="8" t="s">
        <v>16</v>
      </c>
      <c r="E173" s="2" t="s">
        <v>26</v>
      </c>
      <c r="F173" s="9" t="str">
        <f t="shared" si="25"/>
        <v>FIN-RTS-015</v>
      </c>
      <c r="G173" s="2" t="s">
        <v>13</v>
      </c>
      <c r="H173" t="str">
        <f>IFERROR(VLOOKUP($D173,القوائم!$A$2:$B$4,2,0),"")</f>
        <v>FIN</v>
      </c>
      <c r="I173" t="str">
        <f t="shared" si="26"/>
        <v>RTS</v>
      </c>
      <c r="J173">
        <f>IF($H173="","",IF($N173=0,$Q173,SUMPRODUCT(($O$157:$O$590=$H173)*($P$157:$P$590=$I173)*$Q$157:$Q$590)+COUNTIFS($H$157:$H173,$H173,$I$157:$I173,$I173,$N$157:$N173,1)))</f>
        <v>15</v>
      </c>
      <c r="M173">
        <f>IF($I173="","",COUNTIF($I$5:$I173,$I173))</f>
        <v>15</v>
      </c>
      <c r="N173">
        <f t="shared" si="27"/>
        <v>0</v>
      </c>
      <c r="O173" t="s">
        <v>27</v>
      </c>
      <c r="P173" t="s">
        <v>28</v>
      </c>
      <c r="Q173">
        <v>15</v>
      </c>
      <c r="R173" s="25">
        <v>250</v>
      </c>
      <c r="S173" s="25">
        <v>100</v>
      </c>
      <c r="T173" s="24">
        <f t="shared" si="28"/>
        <v>2.5</v>
      </c>
      <c r="U173" s="25"/>
    </row>
    <row r="174" spans="1:21" ht="16" x14ac:dyDescent="0.15">
      <c r="A174" s="2">
        <v>18</v>
      </c>
      <c r="B174" s="8" t="s">
        <v>56</v>
      </c>
      <c r="C174" s="28" t="s">
        <v>57</v>
      </c>
      <c r="D174" s="8" t="s">
        <v>16</v>
      </c>
      <c r="E174" s="2" t="s">
        <v>26</v>
      </c>
      <c r="F174" s="9" t="str">
        <f t="shared" si="25"/>
        <v>FIN-RTS-016</v>
      </c>
      <c r="G174" s="2" t="s">
        <v>13</v>
      </c>
      <c r="H174" t="str">
        <f>IFERROR(VLOOKUP($D174,القوائم!$A$2:$B$4,2,0),"")</f>
        <v>FIN</v>
      </c>
      <c r="I174" t="str">
        <f t="shared" si="26"/>
        <v>RTS</v>
      </c>
      <c r="J174">
        <f>IF($H174="","",IF($N174=0,$Q174,SUMPRODUCT(($O$157:$O$590=$H174)*($P$157:$P$590=$I174)*$Q$157:$Q$590)+COUNTIFS($H$157:$H174,$H174,$I$157:$I174,$I174,$N$157:$N174,1)))</f>
        <v>16</v>
      </c>
      <c r="M174">
        <f>IF($I174="","",COUNTIF($I$5:$I174,$I174))</f>
        <v>16</v>
      </c>
      <c r="N174">
        <f t="shared" si="27"/>
        <v>0</v>
      </c>
      <c r="O174" t="s">
        <v>27</v>
      </c>
      <c r="P174" t="s">
        <v>28</v>
      </c>
      <c r="Q174">
        <v>16</v>
      </c>
      <c r="R174" s="25">
        <v>175</v>
      </c>
      <c r="S174" s="25">
        <v>100</v>
      </c>
      <c r="T174" s="24">
        <f t="shared" si="28"/>
        <v>1.75</v>
      </c>
      <c r="U174" s="25"/>
    </row>
    <row r="175" spans="1:21" ht="16" x14ac:dyDescent="0.15">
      <c r="A175" s="2">
        <v>19</v>
      </c>
      <c r="B175" s="8" t="s">
        <v>58</v>
      </c>
      <c r="C175" s="28" t="s">
        <v>59</v>
      </c>
      <c r="D175" s="8" t="s">
        <v>16</v>
      </c>
      <c r="E175" s="2" t="s">
        <v>26</v>
      </c>
      <c r="F175" s="9" t="str">
        <f t="shared" si="25"/>
        <v>FIN-RTS-017</v>
      </c>
      <c r="G175" s="2" t="s">
        <v>13</v>
      </c>
      <c r="H175" t="str">
        <f>IFERROR(VLOOKUP($D175,القوائم!$A$2:$B$4,2,0),"")</f>
        <v>FIN</v>
      </c>
      <c r="I175" t="str">
        <f t="shared" si="26"/>
        <v>RTS</v>
      </c>
      <c r="J175">
        <f>IF($H175="","",IF($N175=0,$Q175,SUMPRODUCT(($O$157:$O$590=$H175)*($P$157:$P$590=$I175)*$Q$157:$Q$590)+COUNTIFS($H$157:$H175,$H175,$I$157:$I175,$I175,$N$157:$N175,1)))</f>
        <v>17</v>
      </c>
      <c r="M175">
        <f>IF($I175="","",COUNTIF($I$5:$I175,$I175))</f>
        <v>17</v>
      </c>
      <c r="N175">
        <f t="shared" si="27"/>
        <v>0</v>
      </c>
      <c r="O175" t="s">
        <v>27</v>
      </c>
      <c r="P175" t="s">
        <v>28</v>
      </c>
      <c r="Q175">
        <v>17</v>
      </c>
      <c r="R175" s="25">
        <v>200</v>
      </c>
      <c r="S175" s="25">
        <v>100</v>
      </c>
      <c r="T175" s="24">
        <f t="shared" si="28"/>
        <v>2</v>
      </c>
      <c r="U175" s="25"/>
    </row>
    <row r="176" spans="1:21" ht="16" x14ac:dyDescent="0.15">
      <c r="A176" s="2">
        <v>20</v>
      </c>
      <c r="B176" s="8" t="s">
        <v>60</v>
      </c>
      <c r="C176" s="28" t="s">
        <v>61</v>
      </c>
      <c r="D176" s="8" t="s">
        <v>16</v>
      </c>
      <c r="E176" s="2" t="s">
        <v>26</v>
      </c>
      <c r="F176" s="9" t="str">
        <f t="shared" si="25"/>
        <v>FIN-RTS-018</v>
      </c>
      <c r="G176" s="2" t="s">
        <v>13</v>
      </c>
      <c r="H176" t="str">
        <f>IFERROR(VLOOKUP($D176,القوائم!$A$2:$B$4,2,0),"")</f>
        <v>FIN</v>
      </c>
      <c r="I176" t="str">
        <f t="shared" si="26"/>
        <v>RTS</v>
      </c>
      <c r="J176">
        <f>IF($H176="","",IF($N176=0,$Q176,SUMPRODUCT(($O$157:$O$590=$H176)*($P$157:$P$590=$I176)*$Q$157:$Q$590)+COUNTIFS($H$157:$H176,$H176,$I$157:$I176,$I176,$N$157:$N176,1)))</f>
        <v>18</v>
      </c>
      <c r="M176">
        <f>IF($I176="","",COUNTIF($I$5:$I176,$I176))</f>
        <v>18</v>
      </c>
      <c r="N176">
        <f t="shared" si="27"/>
        <v>0</v>
      </c>
      <c r="O176" t="s">
        <v>27</v>
      </c>
      <c r="P176" t="s">
        <v>28</v>
      </c>
      <c r="Q176">
        <v>18</v>
      </c>
      <c r="R176" s="25">
        <v>220</v>
      </c>
      <c r="S176" s="25">
        <v>100</v>
      </c>
      <c r="T176" s="24">
        <f t="shared" si="28"/>
        <v>2.2000000000000002</v>
      </c>
      <c r="U176" s="25"/>
    </row>
    <row r="177" spans="1:21" ht="16" x14ac:dyDescent="0.15">
      <c r="A177" s="2">
        <v>21</v>
      </c>
      <c r="B177" s="8" t="s">
        <v>62</v>
      </c>
      <c r="C177" s="28" t="s">
        <v>63</v>
      </c>
      <c r="D177" s="8" t="s">
        <v>16</v>
      </c>
      <c r="E177" s="2" t="s">
        <v>26</v>
      </c>
      <c r="F177" s="9" t="str">
        <f t="shared" si="25"/>
        <v>FIN-RTS-019</v>
      </c>
      <c r="G177" s="2" t="s">
        <v>13</v>
      </c>
      <c r="H177" t="str">
        <f>IFERROR(VLOOKUP($D177,القوائم!$A$2:$B$4,2,0),"")</f>
        <v>FIN</v>
      </c>
      <c r="I177" t="str">
        <f t="shared" si="26"/>
        <v>RTS</v>
      </c>
      <c r="J177">
        <f>IF($H177="","",IF($N177=0,$Q177,SUMPRODUCT(($O$157:$O$590=$H177)*($P$157:$P$590=$I177)*$Q$157:$Q$590)+COUNTIFS($H$157:$H177,$H177,$I$157:$I177,$I177,$N$157:$N177,1)))</f>
        <v>19</v>
      </c>
      <c r="M177">
        <f>IF($I177="","",COUNTIF($I$5:$I177,$I177))</f>
        <v>19</v>
      </c>
      <c r="N177">
        <f t="shared" si="27"/>
        <v>0</v>
      </c>
      <c r="O177" t="s">
        <v>27</v>
      </c>
      <c r="P177" t="s">
        <v>28</v>
      </c>
      <c r="Q177">
        <v>19</v>
      </c>
      <c r="R177" s="25">
        <v>175</v>
      </c>
      <c r="S177" s="25">
        <v>100</v>
      </c>
      <c r="T177" s="24">
        <f t="shared" si="28"/>
        <v>1.75</v>
      </c>
      <c r="U177" s="25"/>
    </row>
    <row r="178" spans="1:21" ht="16" x14ac:dyDescent="0.15">
      <c r="A178" s="2">
        <v>22</v>
      </c>
      <c r="B178" s="8" t="s">
        <v>64</v>
      </c>
      <c r="C178" s="28" t="s">
        <v>65</v>
      </c>
      <c r="D178" s="8" t="s">
        <v>16</v>
      </c>
      <c r="E178" s="2" t="s">
        <v>26</v>
      </c>
      <c r="F178" s="9" t="str">
        <f t="shared" si="25"/>
        <v>FIN-RTS-020</v>
      </c>
      <c r="G178" s="2" t="s">
        <v>13</v>
      </c>
      <c r="H178" t="str">
        <f>IFERROR(VLOOKUP($D178,القوائم!$A$2:$B$4,2,0),"")</f>
        <v>FIN</v>
      </c>
      <c r="I178" t="str">
        <f t="shared" si="26"/>
        <v>RTS</v>
      </c>
      <c r="J178">
        <f>IF($H178="","",IF($N178=0,$Q178,SUMPRODUCT(($O$157:$O$590=$H178)*($P$157:$P$590=$I178)*$Q$157:$Q$590)+COUNTIFS($H$157:$H178,$H178,$I$157:$I178,$I178,$N$157:$N178,1)))</f>
        <v>20</v>
      </c>
      <c r="M178">
        <f>IF($I178="","",COUNTIF($I$5:$I178,$I178))</f>
        <v>20</v>
      </c>
      <c r="N178">
        <f t="shared" si="27"/>
        <v>0</v>
      </c>
      <c r="O178" t="s">
        <v>27</v>
      </c>
      <c r="P178" t="s">
        <v>28</v>
      </c>
      <c r="Q178">
        <v>20</v>
      </c>
      <c r="R178" s="25">
        <v>180</v>
      </c>
      <c r="S178" s="25">
        <v>100</v>
      </c>
      <c r="T178" s="24">
        <f t="shared" si="28"/>
        <v>1.8</v>
      </c>
      <c r="U178" s="25"/>
    </row>
    <row r="179" spans="1:21" ht="16" x14ac:dyDescent="0.15">
      <c r="A179" s="2">
        <v>23</v>
      </c>
      <c r="B179" s="8" t="s">
        <v>66</v>
      </c>
      <c r="C179" s="28" t="s">
        <v>67</v>
      </c>
      <c r="D179" s="8" t="s">
        <v>16</v>
      </c>
      <c r="E179" s="2" t="s">
        <v>26</v>
      </c>
      <c r="F179" s="9" t="str">
        <f t="shared" si="25"/>
        <v>FIN-RTS-021</v>
      </c>
      <c r="G179" s="2" t="s">
        <v>13</v>
      </c>
      <c r="H179" t="str">
        <f>IFERROR(VLOOKUP($D179,القوائم!$A$2:$B$4,2,0),"")</f>
        <v>FIN</v>
      </c>
      <c r="I179" t="str">
        <f t="shared" si="26"/>
        <v>RTS</v>
      </c>
      <c r="J179">
        <f>IF($H179="","",IF($N179=0,$Q179,SUMPRODUCT(($O$157:$O$590=$H179)*($P$157:$P$590=$I179)*$Q$157:$Q$590)+COUNTIFS($H$157:$H179,$H179,$I$157:$I179,$I179,$N$157:$N179,1)))</f>
        <v>21</v>
      </c>
      <c r="M179">
        <f>IF($I179="","",COUNTIF($I$5:$I179,$I179))</f>
        <v>21</v>
      </c>
      <c r="N179">
        <f t="shared" si="27"/>
        <v>0</v>
      </c>
      <c r="O179" t="s">
        <v>27</v>
      </c>
      <c r="P179" t="s">
        <v>28</v>
      </c>
      <c r="Q179">
        <v>21</v>
      </c>
      <c r="R179" s="25">
        <v>210</v>
      </c>
      <c r="S179" s="25">
        <v>100</v>
      </c>
      <c r="T179" s="24">
        <f t="shared" si="28"/>
        <v>2.1</v>
      </c>
      <c r="U179" s="25"/>
    </row>
    <row r="180" spans="1:21" ht="16" x14ac:dyDescent="0.15">
      <c r="A180" s="2">
        <v>24</v>
      </c>
      <c r="B180" s="8" t="s">
        <v>68</v>
      </c>
      <c r="C180" s="28" t="s">
        <v>69</v>
      </c>
      <c r="D180" s="8" t="s">
        <v>16</v>
      </c>
      <c r="E180" s="2" t="s">
        <v>26</v>
      </c>
      <c r="F180" s="9" t="str">
        <f t="shared" si="25"/>
        <v>FIN-RTS-022</v>
      </c>
      <c r="G180" s="2" t="s">
        <v>13</v>
      </c>
      <c r="H180" t="str">
        <f>IFERROR(VLOOKUP($D180,القوائم!$A$2:$B$4,2,0),"")</f>
        <v>FIN</v>
      </c>
      <c r="I180" t="str">
        <f t="shared" si="26"/>
        <v>RTS</v>
      </c>
      <c r="J180">
        <f>IF($H180="","",IF($N180=0,$Q180,SUMPRODUCT(($O$157:$O$590=$H180)*($P$157:$P$590=$I180)*$Q$157:$Q$590)+COUNTIFS($H$157:$H180,$H180,$I$157:$I180,$I180,$N$157:$N180,1)))</f>
        <v>22</v>
      </c>
      <c r="M180">
        <f>IF($I180="","",COUNTIF($I$5:$I180,$I180))</f>
        <v>22</v>
      </c>
      <c r="N180">
        <f t="shared" si="27"/>
        <v>0</v>
      </c>
      <c r="O180" t="s">
        <v>27</v>
      </c>
      <c r="P180" t="s">
        <v>28</v>
      </c>
      <c r="Q180">
        <v>22</v>
      </c>
      <c r="R180" s="25">
        <v>200</v>
      </c>
      <c r="S180" s="25">
        <v>100</v>
      </c>
      <c r="T180" s="24">
        <f t="shared" si="28"/>
        <v>2</v>
      </c>
      <c r="U180" s="25"/>
    </row>
    <row r="181" spans="1:21" ht="16" x14ac:dyDescent="0.15">
      <c r="A181" s="2">
        <v>25</v>
      </c>
      <c r="B181" s="8" t="s">
        <v>70</v>
      </c>
      <c r="C181" s="28" t="s">
        <v>71</v>
      </c>
      <c r="D181" s="8" t="s">
        <v>16</v>
      </c>
      <c r="E181" s="2" t="s">
        <v>26</v>
      </c>
      <c r="F181" s="9" t="str">
        <f t="shared" si="25"/>
        <v>FIN-RTS-023</v>
      </c>
      <c r="G181" s="2" t="s">
        <v>13</v>
      </c>
      <c r="H181" t="str">
        <f>IFERROR(VLOOKUP($D181,القوائم!$A$2:$B$4,2,0),"")</f>
        <v>FIN</v>
      </c>
      <c r="I181" t="str">
        <f t="shared" si="26"/>
        <v>RTS</v>
      </c>
      <c r="J181">
        <f>IF($H181="","",IF($N181=0,$Q181,SUMPRODUCT(($O$157:$O$590=$H181)*($P$157:$P$590=$I181)*$Q$157:$Q$590)+COUNTIFS($H$157:$H181,$H181,$I$157:$I181,$I181,$N$157:$N181,1)))</f>
        <v>23</v>
      </c>
      <c r="M181">
        <f>IF($I181="","",COUNTIF($I$5:$I181,$I181))</f>
        <v>23</v>
      </c>
      <c r="N181">
        <f t="shared" si="27"/>
        <v>0</v>
      </c>
      <c r="O181" t="s">
        <v>27</v>
      </c>
      <c r="P181" t="s">
        <v>28</v>
      </c>
      <c r="Q181">
        <v>23</v>
      </c>
      <c r="R181" s="25">
        <v>170</v>
      </c>
      <c r="S181" s="25">
        <v>100</v>
      </c>
      <c r="T181" s="24">
        <f t="shared" si="28"/>
        <v>1.7</v>
      </c>
      <c r="U181" s="25"/>
    </row>
    <row r="182" spans="1:21" ht="16" x14ac:dyDescent="0.15">
      <c r="A182" s="2">
        <v>26</v>
      </c>
      <c r="B182" s="8" t="s">
        <v>72</v>
      </c>
      <c r="C182" s="28" t="s">
        <v>73</v>
      </c>
      <c r="D182" s="8" t="s">
        <v>16</v>
      </c>
      <c r="E182" s="2" t="s">
        <v>26</v>
      </c>
      <c r="F182" s="9" t="str">
        <f t="shared" si="25"/>
        <v>FIN-RTS-024</v>
      </c>
      <c r="G182" s="2" t="s">
        <v>13</v>
      </c>
      <c r="H182" t="str">
        <f>IFERROR(VLOOKUP($D182,القوائم!$A$2:$B$4,2,0),"")</f>
        <v>FIN</v>
      </c>
      <c r="I182" t="str">
        <f t="shared" si="26"/>
        <v>RTS</v>
      </c>
      <c r="J182">
        <f>IF($H182="","",IF($N182=0,$Q182,SUMPRODUCT(($O$157:$O$590=$H182)*($P$157:$P$590=$I182)*$Q$157:$Q$590)+COUNTIFS($H$157:$H182,$H182,$I$157:$I182,$I182,$N$157:$N182,1)))</f>
        <v>24</v>
      </c>
      <c r="M182">
        <f>IF($I182="","",COUNTIF($I$5:$I182,$I182))</f>
        <v>24</v>
      </c>
      <c r="N182">
        <f t="shared" si="27"/>
        <v>0</v>
      </c>
      <c r="O182" t="s">
        <v>27</v>
      </c>
      <c r="P182" t="s">
        <v>28</v>
      </c>
      <c r="Q182">
        <v>24</v>
      </c>
      <c r="R182" s="25">
        <v>165</v>
      </c>
      <c r="S182" s="25">
        <v>100</v>
      </c>
      <c r="T182" s="24">
        <f t="shared" si="28"/>
        <v>1.65</v>
      </c>
      <c r="U182" s="25"/>
    </row>
    <row r="183" spans="1:21" ht="16" x14ac:dyDescent="0.15">
      <c r="A183" s="2">
        <v>27</v>
      </c>
      <c r="B183" s="8" t="s">
        <v>74</v>
      </c>
      <c r="C183" s="28" t="s">
        <v>75</v>
      </c>
      <c r="D183" s="8" t="s">
        <v>16</v>
      </c>
      <c r="E183" s="2" t="s">
        <v>26</v>
      </c>
      <c r="F183" s="9" t="str">
        <f t="shared" si="25"/>
        <v>FIN-RTS-025</v>
      </c>
      <c r="G183" s="2" t="s">
        <v>13</v>
      </c>
      <c r="H183" t="str">
        <f>IFERROR(VLOOKUP($D183,القوائم!$A$2:$B$4,2,0),"")</f>
        <v>FIN</v>
      </c>
      <c r="I183" t="str">
        <f t="shared" si="26"/>
        <v>RTS</v>
      </c>
      <c r="J183">
        <f>IF($H183="","",IF($N183=0,$Q183,SUMPRODUCT(($O$157:$O$590=$H183)*($P$157:$P$590=$I183)*$Q$157:$Q$590)+COUNTIFS($H$157:$H183,$H183,$I$157:$I183,$I183,$N$157:$N183,1)))</f>
        <v>25</v>
      </c>
      <c r="M183">
        <f>IF($I183="","",COUNTIF($I$5:$I183,$I183))</f>
        <v>25</v>
      </c>
      <c r="N183">
        <f t="shared" si="27"/>
        <v>0</v>
      </c>
      <c r="O183" t="s">
        <v>27</v>
      </c>
      <c r="P183" t="s">
        <v>28</v>
      </c>
      <c r="Q183">
        <v>25</v>
      </c>
      <c r="R183" s="25">
        <v>140</v>
      </c>
      <c r="S183" s="25">
        <v>100</v>
      </c>
      <c r="T183" s="24">
        <f t="shared" si="28"/>
        <v>1.4</v>
      </c>
      <c r="U183" s="25"/>
    </row>
    <row r="184" spans="1:21" ht="16" x14ac:dyDescent="0.15">
      <c r="A184" s="2">
        <v>28</v>
      </c>
      <c r="B184" s="8" t="s">
        <v>76</v>
      </c>
      <c r="C184" s="28" t="s">
        <v>77</v>
      </c>
      <c r="D184" s="8" t="s">
        <v>16</v>
      </c>
      <c r="E184" s="2" t="s">
        <v>26</v>
      </c>
      <c r="F184" s="9" t="str">
        <f t="shared" si="25"/>
        <v>FIN-RTS-026</v>
      </c>
      <c r="G184" s="2" t="s">
        <v>13</v>
      </c>
      <c r="H184" t="str">
        <f>IFERROR(VLOOKUP($D184,القوائم!$A$2:$B$4,2,0),"")</f>
        <v>FIN</v>
      </c>
      <c r="I184" t="str">
        <f t="shared" si="26"/>
        <v>RTS</v>
      </c>
      <c r="J184">
        <f>IF($H184="","",IF($N184=0,$Q184,SUMPRODUCT(($O$157:$O$590=$H184)*($P$157:$P$590=$I184)*$Q$157:$Q$590)+COUNTIFS($H$157:$H184,$H184,$I$157:$I184,$I184,$N$157:$N184,1)))</f>
        <v>26</v>
      </c>
      <c r="M184">
        <f>IF($I184="","",COUNTIF($I$5:$I184,$I184))</f>
        <v>26</v>
      </c>
      <c r="N184">
        <f t="shared" si="27"/>
        <v>0</v>
      </c>
      <c r="O184" t="s">
        <v>27</v>
      </c>
      <c r="P184" t="s">
        <v>28</v>
      </c>
      <c r="Q184">
        <v>26</v>
      </c>
      <c r="R184" s="25">
        <v>45</v>
      </c>
      <c r="S184" s="25">
        <v>100</v>
      </c>
      <c r="T184" s="24">
        <f t="shared" si="28"/>
        <v>0.45</v>
      </c>
      <c r="U184" s="25"/>
    </row>
    <row r="185" spans="1:21" ht="16" x14ac:dyDescent="0.15">
      <c r="A185" s="2">
        <v>29</v>
      </c>
      <c r="B185" s="8" t="s">
        <v>78</v>
      </c>
      <c r="C185" s="28" t="s">
        <v>79</v>
      </c>
      <c r="D185" s="8" t="s">
        <v>16</v>
      </c>
      <c r="E185" s="2" t="s">
        <v>26</v>
      </c>
      <c r="F185" s="9" t="str">
        <f t="shared" si="25"/>
        <v>FIN-RTS-027</v>
      </c>
      <c r="G185" s="2" t="s">
        <v>13</v>
      </c>
      <c r="H185" t="str">
        <f>IFERROR(VLOOKUP($D185,القوائم!$A$2:$B$4,2,0),"")</f>
        <v>FIN</v>
      </c>
      <c r="I185" t="str">
        <f t="shared" si="26"/>
        <v>RTS</v>
      </c>
      <c r="J185">
        <f>IF($H185="","",IF($N185=0,$Q185,SUMPRODUCT(($O$157:$O$590=$H185)*($P$157:$P$590=$I185)*$Q$157:$Q$590)+COUNTIFS($H$157:$H185,$H185,$I$157:$I185,$I185,$N$157:$N185,1)))</f>
        <v>27</v>
      </c>
      <c r="M185">
        <f>IF($I185="","",COUNTIF($I$5:$I185,$I185))</f>
        <v>27</v>
      </c>
      <c r="N185">
        <f t="shared" si="27"/>
        <v>0</v>
      </c>
      <c r="O185" t="s">
        <v>27</v>
      </c>
      <c r="P185" t="s">
        <v>28</v>
      </c>
      <c r="Q185">
        <v>27</v>
      </c>
      <c r="R185" s="25">
        <v>45</v>
      </c>
      <c r="S185" s="25">
        <v>100</v>
      </c>
      <c r="T185" s="24">
        <f t="shared" si="28"/>
        <v>0.45</v>
      </c>
      <c r="U185" s="25"/>
    </row>
    <row r="186" spans="1:21" ht="16" x14ac:dyDescent="0.15">
      <c r="A186" s="2">
        <v>30</v>
      </c>
      <c r="B186" s="8" t="s">
        <v>80</v>
      </c>
      <c r="C186" s="28" t="s">
        <v>81</v>
      </c>
      <c r="D186" s="8" t="s">
        <v>16</v>
      </c>
      <c r="E186" s="2" t="s">
        <v>26</v>
      </c>
      <c r="F186" s="9" t="str">
        <f t="shared" si="25"/>
        <v>FIN-RTS-028</v>
      </c>
      <c r="G186" s="2" t="s">
        <v>13</v>
      </c>
      <c r="H186" t="str">
        <f>IFERROR(VLOOKUP($D186,القوائم!$A$2:$B$4,2,0),"")</f>
        <v>FIN</v>
      </c>
      <c r="I186" t="str">
        <f t="shared" si="26"/>
        <v>RTS</v>
      </c>
      <c r="J186">
        <f>IF($H186="","",IF($N186=0,$Q186,SUMPRODUCT(($O$157:$O$590=$H186)*($P$157:$P$590=$I186)*$Q$157:$Q$590)+COUNTIFS($H$157:$H186,$H186,$I$157:$I186,$I186,$N$157:$N186,1)))</f>
        <v>28</v>
      </c>
      <c r="M186">
        <f>IF($I186="","",COUNTIF($I$5:$I186,$I186))</f>
        <v>28</v>
      </c>
      <c r="N186">
        <f t="shared" si="27"/>
        <v>0</v>
      </c>
      <c r="O186" t="s">
        <v>27</v>
      </c>
      <c r="P186" t="s">
        <v>28</v>
      </c>
      <c r="Q186">
        <v>28</v>
      </c>
      <c r="R186" s="25">
        <v>290</v>
      </c>
      <c r="S186" s="25">
        <v>100</v>
      </c>
      <c r="T186" s="24">
        <f t="shared" si="28"/>
        <v>2.9</v>
      </c>
      <c r="U186" s="25"/>
    </row>
    <row r="187" spans="1:21" ht="16" x14ac:dyDescent="0.15">
      <c r="A187" s="2">
        <v>31</v>
      </c>
      <c r="B187" s="8" t="s">
        <v>82</v>
      </c>
      <c r="C187" s="28" t="s">
        <v>83</v>
      </c>
      <c r="D187" s="8" t="s">
        <v>16</v>
      </c>
      <c r="E187" s="2" t="s">
        <v>26</v>
      </c>
      <c r="F187" s="9" t="str">
        <f t="shared" si="25"/>
        <v>FIN-RTS-029</v>
      </c>
      <c r="G187" s="2" t="s">
        <v>13</v>
      </c>
      <c r="H187" t="str">
        <f>IFERROR(VLOOKUP($D187,القوائم!$A$2:$B$4,2,0),"")</f>
        <v>FIN</v>
      </c>
      <c r="I187" t="str">
        <f t="shared" si="26"/>
        <v>RTS</v>
      </c>
      <c r="J187">
        <f>IF($H187="","",IF($N187=0,$Q187,SUMPRODUCT(($O$157:$O$590=$H187)*($P$157:$P$590=$I187)*$Q$157:$Q$590)+COUNTIFS($H$157:$H187,$H187,$I$157:$I187,$I187,$N$157:$N187,1)))</f>
        <v>29</v>
      </c>
      <c r="M187">
        <f>IF($I187="","",COUNTIF($I$5:$I187,$I187))</f>
        <v>29</v>
      </c>
      <c r="N187">
        <f t="shared" si="27"/>
        <v>0</v>
      </c>
      <c r="O187" t="s">
        <v>27</v>
      </c>
      <c r="P187" t="s">
        <v>28</v>
      </c>
      <c r="Q187">
        <v>29</v>
      </c>
      <c r="R187" s="25">
        <v>270</v>
      </c>
      <c r="S187" s="25">
        <v>100</v>
      </c>
      <c r="T187" s="24">
        <f t="shared" si="28"/>
        <v>2.7</v>
      </c>
      <c r="U187" s="25"/>
    </row>
    <row r="188" spans="1:21" ht="16" x14ac:dyDescent="0.15">
      <c r="A188" s="2">
        <v>32</v>
      </c>
      <c r="B188" s="8" t="s">
        <v>84</v>
      </c>
      <c r="C188" s="28" t="s">
        <v>85</v>
      </c>
      <c r="D188" s="8" t="s">
        <v>16</v>
      </c>
      <c r="E188" s="2" t="s">
        <v>26</v>
      </c>
      <c r="F188" s="9" t="str">
        <f t="shared" si="25"/>
        <v>FIN-RTS-030</v>
      </c>
      <c r="G188" s="2" t="s">
        <v>13</v>
      </c>
      <c r="H188" t="str">
        <f>IFERROR(VLOOKUP($D188,القوائم!$A$2:$B$4,2,0),"")</f>
        <v>FIN</v>
      </c>
      <c r="I188" t="str">
        <f t="shared" si="26"/>
        <v>RTS</v>
      </c>
      <c r="J188">
        <f>IF($H188="","",IF($N188=0,$Q188,SUMPRODUCT(($O$157:$O$590=$H188)*($P$157:$P$590=$I188)*$Q$157:$Q$590)+COUNTIFS($H$157:$H188,$H188,$I$157:$I188,$I188,$N$157:$N188,1)))</f>
        <v>30</v>
      </c>
      <c r="M188">
        <f>IF($I188="","",COUNTIF($I$5:$I188,$I188))</f>
        <v>30</v>
      </c>
      <c r="N188">
        <f t="shared" si="27"/>
        <v>0</v>
      </c>
      <c r="O188" t="s">
        <v>27</v>
      </c>
      <c r="P188" t="s">
        <v>28</v>
      </c>
      <c r="Q188">
        <v>30</v>
      </c>
      <c r="R188" s="25">
        <v>290</v>
      </c>
      <c r="S188" s="25">
        <v>100</v>
      </c>
      <c r="T188" s="24">
        <f t="shared" si="28"/>
        <v>2.9</v>
      </c>
      <c r="U188" s="25"/>
    </row>
    <row r="189" spans="1:21" ht="16" x14ac:dyDescent="0.15">
      <c r="A189" s="2">
        <v>33</v>
      </c>
      <c r="B189" s="8" t="s">
        <v>86</v>
      </c>
      <c r="C189" s="28" t="s">
        <v>87</v>
      </c>
      <c r="D189" s="8" t="s">
        <v>16</v>
      </c>
      <c r="E189" s="2" t="s">
        <v>26</v>
      </c>
      <c r="F189" s="9" t="str">
        <f t="shared" si="25"/>
        <v>FIN-RTS-031</v>
      </c>
      <c r="G189" s="2" t="s">
        <v>13</v>
      </c>
      <c r="H189" t="str">
        <f>IFERROR(VLOOKUP($D189,القوائم!$A$2:$B$4,2,0),"")</f>
        <v>FIN</v>
      </c>
      <c r="I189" t="str">
        <f t="shared" si="26"/>
        <v>RTS</v>
      </c>
      <c r="J189">
        <f>IF($H189="","",IF($N189=0,$Q189,SUMPRODUCT(($O$157:$O$590=$H189)*($P$157:$P$590=$I189)*$Q$157:$Q$590)+COUNTIFS($H$157:$H189,$H189,$I$157:$I189,$I189,$N$157:$N189,1)))</f>
        <v>31</v>
      </c>
      <c r="M189">
        <f>IF($I189="","",COUNTIF($I$5:$I189,$I189))</f>
        <v>31</v>
      </c>
      <c r="N189">
        <f t="shared" si="27"/>
        <v>0</v>
      </c>
      <c r="O189" t="s">
        <v>27</v>
      </c>
      <c r="P189" t="s">
        <v>28</v>
      </c>
      <c r="Q189">
        <v>31</v>
      </c>
      <c r="R189" s="25">
        <v>320</v>
      </c>
      <c r="S189" s="25">
        <v>100</v>
      </c>
      <c r="T189" s="24">
        <f t="shared" si="28"/>
        <v>3.2</v>
      </c>
      <c r="U189" s="25"/>
    </row>
    <row r="190" spans="1:21" ht="16" x14ac:dyDescent="0.15">
      <c r="A190" s="2">
        <v>34</v>
      </c>
      <c r="B190" s="8" t="s">
        <v>88</v>
      </c>
      <c r="C190" s="28" t="s">
        <v>89</v>
      </c>
      <c r="D190" s="8" t="s">
        <v>16</v>
      </c>
      <c r="E190" s="2" t="s">
        <v>26</v>
      </c>
      <c r="F190" s="9" t="str">
        <f t="shared" si="25"/>
        <v>FIN-RTS-032</v>
      </c>
      <c r="G190" s="2" t="s">
        <v>13</v>
      </c>
      <c r="H190" t="str">
        <f>IFERROR(VLOOKUP($D190,القوائم!$A$2:$B$4,2,0),"")</f>
        <v>FIN</v>
      </c>
      <c r="I190" t="str">
        <f t="shared" si="26"/>
        <v>RTS</v>
      </c>
      <c r="J190">
        <f>IF($H190="","",IF($N190=0,$Q190,SUMPRODUCT(($O$157:$O$590=$H190)*($P$157:$P$590=$I190)*$Q$157:$Q$590)+COUNTIFS($H$157:$H190,$H190,$I$157:$I190,$I190,$N$157:$N190,1)))</f>
        <v>32</v>
      </c>
      <c r="M190">
        <f>IF($I190="","",COUNTIF($I$5:$I190,$I190))</f>
        <v>32</v>
      </c>
      <c r="N190">
        <f t="shared" si="27"/>
        <v>0</v>
      </c>
      <c r="O190" t="s">
        <v>27</v>
      </c>
      <c r="P190" t="s">
        <v>28</v>
      </c>
      <c r="Q190">
        <v>32</v>
      </c>
      <c r="R190" s="25">
        <v>330</v>
      </c>
      <c r="S190" s="25">
        <v>100</v>
      </c>
      <c r="T190" s="24">
        <f t="shared" si="28"/>
        <v>3.3</v>
      </c>
      <c r="U190" s="25"/>
    </row>
    <row r="191" spans="1:21" ht="16" x14ac:dyDescent="0.15">
      <c r="A191" s="2">
        <v>35</v>
      </c>
      <c r="B191" s="8" t="s">
        <v>90</v>
      </c>
      <c r="C191" s="28" t="s">
        <v>91</v>
      </c>
      <c r="D191" s="8" t="s">
        <v>16</v>
      </c>
      <c r="E191" s="2" t="s">
        <v>26</v>
      </c>
      <c r="F191" s="9" t="str">
        <f t="shared" si="25"/>
        <v>FIN-RTS-033</v>
      </c>
      <c r="G191" s="2" t="s">
        <v>13</v>
      </c>
      <c r="H191" t="str">
        <f>IFERROR(VLOOKUP($D191,القوائم!$A$2:$B$4,2,0),"")</f>
        <v>FIN</v>
      </c>
      <c r="I191" t="str">
        <f t="shared" si="26"/>
        <v>RTS</v>
      </c>
      <c r="J191">
        <f>IF($H191="","",IF($N191=0,$Q191,SUMPRODUCT(($O$157:$O$590=$H191)*($P$157:$P$590=$I191)*$Q$157:$Q$590)+COUNTIFS($H$157:$H191,$H191,$I$157:$I191,$I191,$N$157:$N191,1)))</f>
        <v>33</v>
      </c>
      <c r="M191">
        <f>IF($I191="","",COUNTIF($I$5:$I191,$I191))</f>
        <v>33</v>
      </c>
      <c r="N191">
        <f t="shared" si="27"/>
        <v>0</v>
      </c>
      <c r="O191" t="s">
        <v>27</v>
      </c>
      <c r="P191" t="s">
        <v>28</v>
      </c>
      <c r="Q191">
        <v>33</v>
      </c>
      <c r="R191" s="25">
        <v>270</v>
      </c>
      <c r="S191" s="25">
        <v>100</v>
      </c>
      <c r="T191" s="24">
        <f t="shared" si="28"/>
        <v>2.7</v>
      </c>
      <c r="U191" s="25"/>
    </row>
    <row r="192" spans="1:21" ht="16" x14ac:dyDescent="0.15">
      <c r="A192" s="2">
        <v>36</v>
      </c>
      <c r="B192" s="8" t="s">
        <v>92</v>
      </c>
      <c r="C192" s="28" t="s">
        <v>93</v>
      </c>
      <c r="D192" s="8" t="s">
        <v>16</v>
      </c>
      <c r="E192" s="2" t="s">
        <v>26</v>
      </c>
      <c r="F192" s="9" t="str">
        <f t="shared" si="25"/>
        <v>FIN-RTS-034</v>
      </c>
      <c r="G192" s="2" t="s">
        <v>13</v>
      </c>
      <c r="H192" t="str">
        <f>IFERROR(VLOOKUP($D192,القوائم!$A$2:$B$4,2,0),"")</f>
        <v>FIN</v>
      </c>
      <c r="I192" t="str">
        <f t="shared" si="26"/>
        <v>RTS</v>
      </c>
      <c r="J192">
        <f>IF($H192="","",IF($N192=0,$Q192,SUMPRODUCT(($O$157:$O$590=$H192)*($P$157:$P$590=$I192)*$Q$157:$Q$590)+COUNTIFS($H$157:$H192,$H192,$I$157:$I192,$I192,$N$157:$N192,1)))</f>
        <v>34</v>
      </c>
      <c r="M192">
        <f>IF($I192="","",COUNTIF($I$5:$I192,$I192))</f>
        <v>34</v>
      </c>
      <c r="N192">
        <f t="shared" si="27"/>
        <v>0</v>
      </c>
      <c r="O192" t="s">
        <v>27</v>
      </c>
      <c r="P192" t="s">
        <v>28</v>
      </c>
      <c r="Q192">
        <v>34</v>
      </c>
      <c r="R192" s="25">
        <v>310</v>
      </c>
      <c r="S192" s="25">
        <v>100</v>
      </c>
      <c r="T192" s="24">
        <f t="shared" si="28"/>
        <v>3.1</v>
      </c>
      <c r="U192" s="25"/>
    </row>
    <row r="193" spans="1:21" ht="16" x14ac:dyDescent="0.15">
      <c r="A193" s="2">
        <v>37</v>
      </c>
      <c r="B193" s="8" t="s">
        <v>94</v>
      </c>
      <c r="C193" s="28" t="s">
        <v>95</v>
      </c>
      <c r="D193" s="8" t="s">
        <v>16</v>
      </c>
      <c r="E193" s="2" t="s">
        <v>26</v>
      </c>
      <c r="F193" s="9" t="str">
        <f t="shared" si="25"/>
        <v>FIN-RTS-035</v>
      </c>
      <c r="G193" s="2" t="s">
        <v>13</v>
      </c>
      <c r="H193" t="str">
        <f>IFERROR(VLOOKUP($D193,القوائم!$A$2:$B$4,2,0),"")</f>
        <v>FIN</v>
      </c>
      <c r="I193" t="str">
        <f t="shared" si="26"/>
        <v>RTS</v>
      </c>
      <c r="J193">
        <f>IF($H193="","",IF($N193=0,$Q193,SUMPRODUCT(($O$157:$O$590=$H193)*($P$157:$P$590=$I193)*$Q$157:$Q$590)+COUNTIFS($H$157:$H193,$H193,$I$157:$I193,$I193,$N$157:$N193,1)))</f>
        <v>35</v>
      </c>
      <c r="M193">
        <f>IF($I193="","",COUNTIF($I$5:$I193,$I193))</f>
        <v>35</v>
      </c>
      <c r="N193">
        <f t="shared" si="27"/>
        <v>0</v>
      </c>
      <c r="O193" t="s">
        <v>27</v>
      </c>
      <c r="P193" t="s">
        <v>28</v>
      </c>
      <c r="Q193">
        <v>35</v>
      </c>
      <c r="R193" s="25">
        <v>45</v>
      </c>
      <c r="S193" s="25">
        <v>100</v>
      </c>
      <c r="T193" s="24">
        <f t="shared" si="28"/>
        <v>0.45</v>
      </c>
      <c r="U193" s="25"/>
    </row>
    <row r="194" spans="1:21" ht="16" x14ac:dyDescent="0.15">
      <c r="A194" s="2">
        <v>38</v>
      </c>
      <c r="B194" s="8" t="s">
        <v>96</v>
      </c>
      <c r="C194" s="28" t="s">
        <v>97</v>
      </c>
      <c r="D194" s="8" t="s">
        <v>16</v>
      </c>
      <c r="E194" s="2" t="s">
        <v>26</v>
      </c>
      <c r="F194" s="9" t="str">
        <f t="shared" si="25"/>
        <v>FIN-RTS-036</v>
      </c>
      <c r="G194" s="2" t="s">
        <v>13</v>
      </c>
      <c r="H194" t="str">
        <f>IFERROR(VLOOKUP($D194,القوائم!$A$2:$B$4,2,0),"")</f>
        <v>FIN</v>
      </c>
      <c r="I194" t="str">
        <f t="shared" si="26"/>
        <v>RTS</v>
      </c>
      <c r="J194">
        <f>IF($H194="","",IF($N194=0,$Q194,SUMPRODUCT(($O$157:$O$590=$H194)*($P$157:$P$590=$I194)*$Q$157:$Q$590)+COUNTIFS($H$157:$H194,$H194,$I$157:$I194,$I194,$N$157:$N194,1)))</f>
        <v>36</v>
      </c>
      <c r="M194">
        <f>IF($I194="","",COUNTIF($I$5:$I194,$I194))</f>
        <v>36</v>
      </c>
      <c r="N194">
        <f t="shared" si="27"/>
        <v>0</v>
      </c>
      <c r="O194" t="s">
        <v>27</v>
      </c>
      <c r="P194" t="s">
        <v>28</v>
      </c>
      <c r="Q194">
        <v>36</v>
      </c>
      <c r="R194" s="25">
        <v>45</v>
      </c>
      <c r="S194" s="25">
        <v>100</v>
      </c>
      <c r="T194" s="24">
        <f t="shared" si="28"/>
        <v>0.45</v>
      </c>
      <c r="U194" s="25"/>
    </row>
    <row r="195" spans="1:21" ht="16" x14ac:dyDescent="0.15">
      <c r="A195" s="2">
        <v>39</v>
      </c>
      <c r="B195" s="8" t="s">
        <v>98</v>
      </c>
      <c r="C195" s="28" t="s">
        <v>99</v>
      </c>
      <c r="D195" s="8" t="s">
        <v>16</v>
      </c>
      <c r="E195" s="2" t="s">
        <v>26</v>
      </c>
      <c r="F195" s="9" t="str">
        <f t="shared" si="25"/>
        <v>FIN-RTS-037</v>
      </c>
      <c r="G195" s="2" t="s">
        <v>13</v>
      </c>
      <c r="H195" t="str">
        <f>IFERROR(VLOOKUP($D195,القوائم!$A$2:$B$4,2,0),"")</f>
        <v>FIN</v>
      </c>
      <c r="I195" t="str">
        <f t="shared" si="26"/>
        <v>RTS</v>
      </c>
      <c r="J195">
        <f>IF($H195="","",IF($N195=0,$Q195,SUMPRODUCT(($O$157:$O$590=$H195)*($P$157:$P$590=$I195)*$Q$157:$Q$590)+COUNTIFS($H$157:$H195,$H195,$I$157:$I195,$I195,$N$157:$N195,1)))</f>
        <v>37</v>
      </c>
      <c r="M195">
        <f>IF($I195="","",COUNTIF($I$5:$I195,$I195))</f>
        <v>37</v>
      </c>
      <c r="N195">
        <f t="shared" si="27"/>
        <v>0</v>
      </c>
      <c r="O195" t="s">
        <v>27</v>
      </c>
      <c r="P195" t="s">
        <v>28</v>
      </c>
      <c r="Q195">
        <v>37</v>
      </c>
      <c r="R195" s="25">
        <v>290</v>
      </c>
      <c r="S195" s="25">
        <v>100</v>
      </c>
      <c r="T195" s="24">
        <f t="shared" si="28"/>
        <v>2.9</v>
      </c>
      <c r="U195" s="25"/>
    </row>
    <row r="196" spans="1:21" ht="16" x14ac:dyDescent="0.15">
      <c r="A196" s="2">
        <v>40</v>
      </c>
      <c r="B196" s="8" t="s">
        <v>100</v>
      </c>
      <c r="C196" s="28" t="s">
        <v>101</v>
      </c>
      <c r="D196" s="8" t="s">
        <v>16</v>
      </c>
      <c r="E196" s="2" t="s">
        <v>26</v>
      </c>
      <c r="F196" s="9" t="str">
        <f t="shared" si="25"/>
        <v>FIN-RTS-038</v>
      </c>
      <c r="G196" s="2" t="s">
        <v>13</v>
      </c>
      <c r="H196" t="str">
        <f>IFERROR(VLOOKUP($D196,القوائم!$A$2:$B$4,2,0),"")</f>
        <v>FIN</v>
      </c>
      <c r="I196" t="str">
        <f t="shared" si="26"/>
        <v>RTS</v>
      </c>
      <c r="J196">
        <f>IF($H196="","",IF($N196=0,$Q196,SUMPRODUCT(($O$157:$O$590=$H196)*($P$157:$P$590=$I196)*$Q$157:$Q$590)+COUNTIFS($H$157:$H196,$H196,$I$157:$I196,$I196,$N$157:$N196,1)))</f>
        <v>38</v>
      </c>
      <c r="M196">
        <f>IF($I196="","",COUNTIF($I$5:$I196,$I196))</f>
        <v>38</v>
      </c>
      <c r="N196">
        <f t="shared" si="27"/>
        <v>0</v>
      </c>
      <c r="O196" t="s">
        <v>27</v>
      </c>
      <c r="P196" t="s">
        <v>28</v>
      </c>
      <c r="Q196">
        <v>38</v>
      </c>
      <c r="R196" s="25">
        <v>250</v>
      </c>
      <c r="S196" s="25">
        <v>100</v>
      </c>
      <c r="T196" s="24">
        <f t="shared" si="28"/>
        <v>2.5</v>
      </c>
      <c r="U196" s="25"/>
    </row>
    <row r="197" spans="1:21" ht="28.5" customHeight="1" x14ac:dyDescent="0.15">
      <c r="A197" s="2">
        <v>41</v>
      </c>
      <c r="B197" s="8" t="s">
        <v>102</v>
      </c>
      <c r="C197" s="28" t="s">
        <v>103</v>
      </c>
      <c r="D197" s="8" t="s">
        <v>16</v>
      </c>
      <c r="E197" s="2" t="s">
        <v>26</v>
      </c>
      <c r="F197" s="9" t="str">
        <f t="shared" si="25"/>
        <v>FIN-RTS-039</v>
      </c>
      <c r="G197" s="2" t="s">
        <v>13</v>
      </c>
      <c r="H197" t="str">
        <f>IFERROR(VLOOKUP($D197,القوائم!$A$2:$B$4,2,0),"")</f>
        <v>FIN</v>
      </c>
      <c r="I197" t="str">
        <f t="shared" si="26"/>
        <v>RTS</v>
      </c>
      <c r="J197">
        <f>IF($H197="","",IF($N197=0,$Q197,SUMPRODUCT(($O$157:$O$590=$H197)*($P$157:$P$590=$I197)*$Q$157:$Q$590)+COUNTIFS($H$157:$H197,$H197,$I$157:$I197,$I197,$N$157:$N197,1)))</f>
        <v>39</v>
      </c>
      <c r="M197">
        <f>IF($I197="","",COUNTIF($I$5:$I197,$I197))</f>
        <v>39</v>
      </c>
      <c r="N197">
        <f t="shared" si="27"/>
        <v>0</v>
      </c>
      <c r="O197" t="s">
        <v>27</v>
      </c>
      <c r="P197" t="s">
        <v>28</v>
      </c>
      <c r="Q197">
        <v>39</v>
      </c>
      <c r="R197" s="25">
        <v>250</v>
      </c>
      <c r="S197" s="25">
        <v>100</v>
      </c>
      <c r="T197" s="24">
        <f t="shared" si="28"/>
        <v>2.5</v>
      </c>
      <c r="U197" s="25"/>
    </row>
    <row r="198" spans="1:21" ht="16" x14ac:dyDescent="0.15">
      <c r="A198" s="2">
        <v>42</v>
      </c>
      <c r="B198" s="8" t="s">
        <v>104</v>
      </c>
      <c r="C198" s="28" t="s">
        <v>105</v>
      </c>
      <c r="D198" s="8" t="s">
        <v>16</v>
      </c>
      <c r="E198" s="2" t="s">
        <v>26</v>
      </c>
      <c r="F198" s="9" t="str">
        <f t="shared" si="25"/>
        <v>FIN-RTS-040</v>
      </c>
      <c r="G198" s="2" t="s">
        <v>13</v>
      </c>
      <c r="H198" t="str">
        <f>IFERROR(VLOOKUP($D198,القوائم!$A$2:$B$4,2,0),"")</f>
        <v>FIN</v>
      </c>
      <c r="I198" t="str">
        <f t="shared" si="26"/>
        <v>RTS</v>
      </c>
      <c r="J198">
        <f>IF($H198="","",IF($N198=0,$Q198,SUMPRODUCT(($O$157:$O$590=$H198)*($P$157:$P$590=$I198)*$Q$157:$Q$590)+COUNTIFS($H$157:$H198,$H198,$I$157:$I198,$I198,$N$157:$N198,1)))</f>
        <v>40</v>
      </c>
      <c r="M198">
        <f>IF($I198="","",COUNTIF($I$5:$I198,$I198))</f>
        <v>40</v>
      </c>
      <c r="N198">
        <f t="shared" si="27"/>
        <v>0</v>
      </c>
      <c r="O198" t="s">
        <v>27</v>
      </c>
      <c r="P198" t="s">
        <v>28</v>
      </c>
      <c r="Q198">
        <v>40</v>
      </c>
      <c r="R198" s="25">
        <v>250</v>
      </c>
      <c r="S198" s="25">
        <v>100</v>
      </c>
      <c r="T198" s="24">
        <f t="shared" si="28"/>
        <v>2.5</v>
      </c>
      <c r="U198" s="25"/>
    </row>
    <row r="199" spans="1:21" ht="16" x14ac:dyDescent="0.15">
      <c r="A199" s="2">
        <v>43</v>
      </c>
      <c r="B199" s="8" t="s">
        <v>106</v>
      </c>
      <c r="C199" s="28" t="s">
        <v>107</v>
      </c>
      <c r="D199" s="8" t="s">
        <v>16</v>
      </c>
      <c r="E199" s="2" t="s">
        <v>26</v>
      </c>
      <c r="F199" s="9" t="str">
        <f t="shared" si="25"/>
        <v>FIN-RTS-041</v>
      </c>
      <c r="G199" s="2" t="s">
        <v>13</v>
      </c>
      <c r="H199" t="str">
        <f>IFERROR(VLOOKUP($D199,القوائم!$A$2:$B$4,2,0),"")</f>
        <v>FIN</v>
      </c>
      <c r="I199" t="str">
        <f t="shared" si="26"/>
        <v>RTS</v>
      </c>
      <c r="J199">
        <f>IF($H199="","",IF($N199=0,$Q199,SUMPRODUCT(($O$157:$O$590=$H199)*($P$157:$P$590=$I199)*$Q$157:$Q$590)+COUNTIFS($H$157:$H199,$H199,$I$157:$I199,$I199,$N$157:$N199,1)))</f>
        <v>41</v>
      </c>
      <c r="M199">
        <f>IF($I199="","",COUNTIF($I$5:$I199,$I199))</f>
        <v>41</v>
      </c>
      <c r="N199">
        <f t="shared" si="27"/>
        <v>0</v>
      </c>
      <c r="O199" t="s">
        <v>27</v>
      </c>
      <c r="P199" t="s">
        <v>28</v>
      </c>
      <c r="Q199">
        <v>41</v>
      </c>
      <c r="R199" s="25">
        <v>270</v>
      </c>
      <c r="S199" s="25">
        <v>100</v>
      </c>
      <c r="T199" s="24">
        <f t="shared" si="28"/>
        <v>2.7</v>
      </c>
      <c r="U199" s="25"/>
    </row>
    <row r="200" spans="1:21" ht="16" x14ac:dyDescent="0.15">
      <c r="A200" s="2">
        <v>44</v>
      </c>
      <c r="B200" s="8" t="s">
        <v>108</v>
      </c>
      <c r="C200" s="28" t="s">
        <v>109</v>
      </c>
      <c r="D200" s="8" t="s">
        <v>16</v>
      </c>
      <c r="E200" s="2" t="s">
        <v>26</v>
      </c>
      <c r="F200" s="9" t="str">
        <f t="shared" si="25"/>
        <v>FIN-RTS-042</v>
      </c>
      <c r="G200" s="2" t="s">
        <v>13</v>
      </c>
      <c r="H200" t="str">
        <f>IFERROR(VLOOKUP($D200,القوائم!$A$2:$B$4,2,0),"")</f>
        <v>FIN</v>
      </c>
      <c r="I200" t="str">
        <f t="shared" si="26"/>
        <v>RTS</v>
      </c>
      <c r="J200">
        <f>IF($H200="","",IF($N200=0,$Q200,SUMPRODUCT(($O$157:$O$590=$H200)*($P$157:$P$590=$I200)*$Q$157:$Q$590)+COUNTIFS($H$157:$H200,$H200,$I$157:$I200,$I200,$N$157:$N200,1)))</f>
        <v>42</v>
      </c>
      <c r="M200">
        <f>IF($I200="","",COUNTIF($I$5:$I200,$I200))</f>
        <v>42</v>
      </c>
      <c r="N200">
        <f t="shared" si="27"/>
        <v>0</v>
      </c>
      <c r="O200" t="s">
        <v>27</v>
      </c>
      <c r="P200" t="s">
        <v>28</v>
      </c>
      <c r="Q200">
        <v>42</v>
      </c>
      <c r="R200" s="25">
        <v>280</v>
      </c>
      <c r="S200" s="25">
        <v>100</v>
      </c>
      <c r="T200" s="24">
        <f t="shared" si="28"/>
        <v>2.8</v>
      </c>
      <c r="U200" s="25"/>
    </row>
    <row r="201" spans="1:21" ht="16" x14ac:dyDescent="0.15">
      <c r="A201" s="2">
        <v>45</v>
      </c>
      <c r="B201" s="8" t="s">
        <v>110</v>
      </c>
      <c r="C201" s="28" t="s">
        <v>111</v>
      </c>
      <c r="D201" s="8" t="s">
        <v>16</v>
      </c>
      <c r="E201" s="2" t="s">
        <v>26</v>
      </c>
      <c r="F201" s="9" t="str">
        <f t="shared" si="25"/>
        <v>FIN-RTS-043</v>
      </c>
      <c r="G201" s="2" t="s">
        <v>13</v>
      </c>
      <c r="H201" t="str">
        <f>IFERROR(VLOOKUP($D201,القوائم!$A$2:$B$4,2,0),"")</f>
        <v>FIN</v>
      </c>
      <c r="I201" t="str">
        <f t="shared" si="26"/>
        <v>RTS</v>
      </c>
      <c r="J201">
        <f>IF($H201="","",IF($N201=0,$Q201,SUMPRODUCT(($O$157:$O$590=$H201)*($P$157:$P$590=$I201)*$Q$157:$Q$590)+COUNTIFS($H$157:$H201,$H201,$I$157:$I201,$I201,$N$157:$N201,1)))</f>
        <v>43</v>
      </c>
      <c r="M201">
        <f>IF($I201="","",COUNTIF($I$5:$I201,$I201))</f>
        <v>43</v>
      </c>
      <c r="N201">
        <f t="shared" si="27"/>
        <v>0</v>
      </c>
      <c r="O201" t="s">
        <v>27</v>
      </c>
      <c r="P201" t="s">
        <v>28</v>
      </c>
      <c r="Q201">
        <v>43</v>
      </c>
      <c r="R201" s="25">
        <v>270</v>
      </c>
      <c r="S201" s="25">
        <v>100</v>
      </c>
      <c r="T201" s="24">
        <f t="shared" si="28"/>
        <v>2.7</v>
      </c>
      <c r="U201" s="25"/>
    </row>
    <row r="202" spans="1:21" ht="16" x14ac:dyDescent="0.15">
      <c r="A202" s="2">
        <v>46</v>
      </c>
      <c r="B202" s="8" t="s">
        <v>112</v>
      </c>
      <c r="C202" s="28" t="s">
        <v>113</v>
      </c>
      <c r="D202" s="8" t="s">
        <v>16</v>
      </c>
      <c r="E202" s="2" t="s">
        <v>26</v>
      </c>
      <c r="F202" s="9" t="str">
        <f t="shared" si="25"/>
        <v>FIN-RTS-044</v>
      </c>
      <c r="G202" s="2" t="s">
        <v>13</v>
      </c>
      <c r="H202" t="str">
        <f>IFERROR(VLOOKUP($D202,القوائم!$A$2:$B$4,2,0),"")</f>
        <v>FIN</v>
      </c>
      <c r="I202" t="str">
        <f t="shared" si="26"/>
        <v>RTS</v>
      </c>
      <c r="J202">
        <f>IF($H202="","",IF($N202=0,$Q202,SUMPRODUCT(($O$157:$O$590=$H202)*($P$157:$P$590=$I202)*$Q$157:$Q$590)+COUNTIFS($H$157:$H202,$H202,$I$157:$I202,$I202,$N$157:$N202,1)))</f>
        <v>44</v>
      </c>
      <c r="M202">
        <f>IF($I202="","",COUNTIF($I$5:$I202,$I202))</f>
        <v>44</v>
      </c>
      <c r="N202">
        <f t="shared" si="27"/>
        <v>0</v>
      </c>
      <c r="O202" t="s">
        <v>27</v>
      </c>
      <c r="P202" t="s">
        <v>28</v>
      </c>
      <c r="Q202">
        <v>44</v>
      </c>
      <c r="R202" s="25">
        <v>280</v>
      </c>
      <c r="S202" s="25">
        <v>100</v>
      </c>
      <c r="T202" s="24">
        <f t="shared" si="28"/>
        <v>2.8</v>
      </c>
      <c r="U202" s="25"/>
    </row>
    <row r="203" spans="1:21" ht="16" x14ac:dyDescent="0.15">
      <c r="A203" s="2">
        <v>47</v>
      </c>
      <c r="B203" s="8" t="s">
        <v>114</v>
      </c>
      <c r="C203" s="28" t="s">
        <v>115</v>
      </c>
      <c r="D203" s="8" t="s">
        <v>16</v>
      </c>
      <c r="E203" s="2" t="s">
        <v>26</v>
      </c>
      <c r="F203" s="9" t="str">
        <f t="shared" si="25"/>
        <v>FIN-RTS-045</v>
      </c>
      <c r="G203" s="2" t="s">
        <v>13</v>
      </c>
      <c r="H203" t="str">
        <f>IFERROR(VLOOKUP($D203,القوائم!$A$2:$B$4,2,0),"")</f>
        <v>FIN</v>
      </c>
      <c r="I203" t="str">
        <f t="shared" si="26"/>
        <v>RTS</v>
      </c>
      <c r="J203">
        <f>IF($H203="","",IF($N203=0,$Q203,SUMPRODUCT(($O$157:$O$590=$H203)*($P$157:$P$590=$I203)*$Q$157:$Q$590)+COUNTIFS($H$157:$H203,$H203,$I$157:$I203,$I203,$N$157:$N203,1)))</f>
        <v>45</v>
      </c>
      <c r="M203">
        <f>IF($I203="","",COUNTIF($I$5:$I203,$I203))</f>
        <v>45</v>
      </c>
      <c r="N203">
        <f t="shared" si="27"/>
        <v>0</v>
      </c>
      <c r="O203" t="s">
        <v>27</v>
      </c>
      <c r="P203" t="s">
        <v>28</v>
      </c>
      <c r="Q203">
        <v>45</v>
      </c>
      <c r="R203" s="25">
        <v>270</v>
      </c>
      <c r="S203" s="25">
        <v>100</v>
      </c>
      <c r="T203" s="24">
        <f t="shared" si="28"/>
        <v>2.7</v>
      </c>
      <c r="U203" s="25"/>
    </row>
    <row r="204" spans="1:21" ht="16" x14ac:dyDescent="0.15">
      <c r="A204" s="2">
        <v>48</v>
      </c>
      <c r="B204" s="8" t="s">
        <v>116</v>
      </c>
      <c r="C204" s="28" t="s">
        <v>117</v>
      </c>
      <c r="D204" s="8" t="s">
        <v>16</v>
      </c>
      <c r="E204" s="2" t="s">
        <v>26</v>
      </c>
      <c r="F204" s="9" t="str">
        <f t="shared" si="25"/>
        <v>FIN-RTS-046</v>
      </c>
      <c r="G204" s="2" t="s">
        <v>13</v>
      </c>
      <c r="H204" t="str">
        <f>IFERROR(VLOOKUP($D204,القوائم!$A$2:$B$4,2,0),"")</f>
        <v>FIN</v>
      </c>
      <c r="I204" t="str">
        <f t="shared" si="26"/>
        <v>RTS</v>
      </c>
      <c r="J204">
        <f>IF($H204="","",IF($N204=0,$Q204,SUMPRODUCT(($O$157:$O$590=$H204)*($P$157:$P$590=$I204)*$Q$157:$Q$590)+COUNTIFS($H$157:$H204,$H204,$I$157:$I204,$I204,$N$157:$N204,1)))</f>
        <v>46</v>
      </c>
      <c r="M204">
        <f>IF($I204="","",COUNTIF($I$5:$I204,$I204))</f>
        <v>46</v>
      </c>
      <c r="N204">
        <f t="shared" si="27"/>
        <v>0</v>
      </c>
      <c r="O204" t="s">
        <v>27</v>
      </c>
      <c r="P204" t="s">
        <v>28</v>
      </c>
      <c r="Q204">
        <v>46</v>
      </c>
      <c r="R204" s="25">
        <v>270</v>
      </c>
      <c r="S204" s="25">
        <v>100</v>
      </c>
      <c r="T204" s="24">
        <f t="shared" si="28"/>
        <v>2.7</v>
      </c>
      <c r="U204" s="25"/>
    </row>
    <row r="205" spans="1:21" ht="16" x14ac:dyDescent="0.15">
      <c r="A205" s="2">
        <v>49</v>
      </c>
      <c r="B205" s="8" t="s">
        <v>118</v>
      </c>
      <c r="C205" s="28" t="s">
        <v>119</v>
      </c>
      <c r="D205" s="8" t="s">
        <v>16</v>
      </c>
      <c r="E205" s="2" t="s">
        <v>26</v>
      </c>
      <c r="F205" s="9" t="str">
        <f t="shared" si="25"/>
        <v>FIN-RTS-047</v>
      </c>
      <c r="G205" s="2" t="s">
        <v>13</v>
      </c>
      <c r="H205" t="str">
        <f>IFERROR(VLOOKUP($D205,القوائم!$A$2:$B$4,2,0),"")</f>
        <v>FIN</v>
      </c>
      <c r="I205" t="str">
        <f t="shared" si="26"/>
        <v>RTS</v>
      </c>
      <c r="J205">
        <f>IF($H205="","",IF($N205=0,$Q205,SUMPRODUCT(($O$157:$O$590=$H205)*($P$157:$P$590=$I205)*$Q$157:$Q$590)+COUNTIFS($H$157:$H205,$H205,$I$157:$I205,$I205,$N$157:$N205,1)))</f>
        <v>47</v>
      </c>
      <c r="M205">
        <f>IF($I205="","",COUNTIF($I$5:$I205,$I205))</f>
        <v>47</v>
      </c>
      <c r="N205">
        <f t="shared" si="27"/>
        <v>0</v>
      </c>
      <c r="O205" t="s">
        <v>27</v>
      </c>
      <c r="P205" t="s">
        <v>28</v>
      </c>
      <c r="Q205">
        <v>47</v>
      </c>
      <c r="R205" s="25">
        <v>290</v>
      </c>
      <c r="S205" s="25">
        <v>100</v>
      </c>
      <c r="T205" s="24">
        <f t="shared" si="28"/>
        <v>2.9</v>
      </c>
      <c r="U205" s="25"/>
    </row>
    <row r="206" spans="1:21" ht="16" x14ac:dyDescent="0.15">
      <c r="A206" s="2">
        <v>50</v>
      </c>
      <c r="B206" s="8" t="s">
        <v>120</v>
      </c>
      <c r="C206" s="28" t="s">
        <v>121</v>
      </c>
      <c r="D206" s="8" t="s">
        <v>16</v>
      </c>
      <c r="E206" s="2" t="s">
        <v>26</v>
      </c>
      <c r="F206" s="9" t="str">
        <f t="shared" si="25"/>
        <v>FIN-RTS-048</v>
      </c>
      <c r="G206" s="2" t="s">
        <v>13</v>
      </c>
      <c r="H206" t="str">
        <f>IFERROR(VLOOKUP($D206,القوائم!$A$2:$B$4,2,0),"")</f>
        <v>FIN</v>
      </c>
      <c r="I206" t="str">
        <f t="shared" si="26"/>
        <v>RTS</v>
      </c>
      <c r="J206">
        <f>IF($H206="","",IF($N206=0,$Q206,SUMPRODUCT(($O$157:$O$590=$H206)*($P$157:$P$590=$I206)*$Q$157:$Q$590)+COUNTIFS($H$157:$H206,$H206,$I$157:$I206,$I206,$N$157:$N206,1)))</f>
        <v>48</v>
      </c>
      <c r="M206">
        <f>IF($I206="","",COUNTIF($I$5:$I206,$I206))</f>
        <v>48</v>
      </c>
      <c r="N206">
        <f t="shared" si="27"/>
        <v>0</v>
      </c>
      <c r="O206" t="s">
        <v>27</v>
      </c>
      <c r="P206" t="s">
        <v>28</v>
      </c>
      <c r="Q206">
        <v>48</v>
      </c>
      <c r="R206" s="25">
        <v>240</v>
      </c>
      <c r="S206" s="25">
        <v>100</v>
      </c>
      <c r="T206" s="24">
        <f t="shared" si="28"/>
        <v>2.4</v>
      </c>
      <c r="U206" s="25"/>
    </row>
    <row r="207" spans="1:21" ht="16" x14ac:dyDescent="0.15">
      <c r="A207" s="2">
        <v>51</v>
      </c>
      <c r="B207" s="8" t="s">
        <v>122</v>
      </c>
      <c r="C207" s="28" t="s">
        <v>123</v>
      </c>
      <c r="D207" s="8" t="s">
        <v>16</v>
      </c>
      <c r="E207" s="2" t="s">
        <v>26</v>
      </c>
      <c r="F207" s="9" t="str">
        <f t="shared" si="25"/>
        <v>FIN-RTS-049</v>
      </c>
      <c r="G207" s="2" t="s">
        <v>13</v>
      </c>
      <c r="H207" t="str">
        <f>IFERROR(VLOOKUP($D207,القوائم!$A$2:$B$4,2,0),"")</f>
        <v>FIN</v>
      </c>
      <c r="I207" t="str">
        <f t="shared" si="26"/>
        <v>RTS</v>
      </c>
      <c r="J207">
        <f>IF($H207="","",IF($N207=0,$Q207,SUMPRODUCT(($O$157:$O$590=$H207)*($P$157:$P$590=$I207)*$Q$157:$Q$590)+COUNTIFS($H$157:$H207,$H207,$I$157:$I207,$I207,$N$157:$N207,1)))</f>
        <v>49</v>
      </c>
      <c r="M207">
        <f>IF($I207="","",COUNTIF($I$5:$I207,$I207))</f>
        <v>49</v>
      </c>
      <c r="N207">
        <f t="shared" si="27"/>
        <v>0</v>
      </c>
      <c r="O207" t="s">
        <v>27</v>
      </c>
      <c r="P207" t="s">
        <v>28</v>
      </c>
      <c r="Q207">
        <v>49</v>
      </c>
      <c r="R207" s="25">
        <v>240</v>
      </c>
      <c r="S207" s="25">
        <v>100</v>
      </c>
      <c r="T207" s="24">
        <f t="shared" si="28"/>
        <v>2.4</v>
      </c>
      <c r="U207" s="25"/>
    </row>
    <row r="208" spans="1:21" ht="16" x14ac:dyDescent="0.15">
      <c r="A208" s="2">
        <v>52</v>
      </c>
      <c r="B208" s="8" t="s">
        <v>124</v>
      </c>
      <c r="C208" s="28" t="s">
        <v>125</v>
      </c>
      <c r="D208" s="8" t="s">
        <v>16</v>
      </c>
      <c r="E208" s="2" t="s">
        <v>26</v>
      </c>
      <c r="F208" s="9" t="str">
        <f t="shared" si="25"/>
        <v>FIN-RTS-050</v>
      </c>
      <c r="G208" s="2" t="s">
        <v>13</v>
      </c>
      <c r="H208" t="str">
        <f>IFERROR(VLOOKUP($D208,القوائم!$A$2:$B$4,2,0),"")</f>
        <v>FIN</v>
      </c>
      <c r="I208" t="str">
        <f t="shared" si="26"/>
        <v>RTS</v>
      </c>
      <c r="J208">
        <f>IF($H208="","",IF($N208=0,$Q208,SUMPRODUCT(($O$157:$O$590=$H208)*($P$157:$P$590=$I208)*$Q$157:$Q$590)+COUNTIFS($H$157:$H208,$H208,$I$157:$I208,$I208,$N$157:$N208,1)))</f>
        <v>50</v>
      </c>
      <c r="M208">
        <f>IF($I208="","",COUNTIF($I$5:$I208,$I208))</f>
        <v>50</v>
      </c>
      <c r="N208">
        <f t="shared" si="27"/>
        <v>0</v>
      </c>
      <c r="O208" t="s">
        <v>27</v>
      </c>
      <c r="P208" t="s">
        <v>28</v>
      </c>
      <c r="Q208">
        <v>50</v>
      </c>
      <c r="R208" s="25">
        <v>270</v>
      </c>
      <c r="S208" s="25">
        <v>100</v>
      </c>
      <c r="T208" s="24">
        <f t="shared" si="28"/>
        <v>2.7</v>
      </c>
      <c r="U208" s="25"/>
    </row>
    <row r="209" spans="1:21" ht="16" x14ac:dyDescent="0.15">
      <c r="A209" s="2">
        <v>53</v>
      </c>
      <c r="B209" s="8" t="s">
        <v>126</v>
      </c>
      <c r="C209" s="28" t="s">
        <v>127</v>
      </c>
      <c r="D209" s="8" t="s">
        <v>16</v>
      </c>
      <c r="E209" s="2" t="s">
        <v>26</v>
      </c>
      <c r="F209" s="9" t="str">
        <f t="shared" si="25"/>
        <v>FIN-RTS-051</v>
      </c>
      <c r="G209" s="2" t="s">
        <v>13</v>
      </c>
      <c r="H209" t="str">
        <f>IFERROR(VLOOKUP($D209,القوائم!$A$2:$B$4,2,0),"")</f>
        <v>FIN</v>
      </c>
      <c r="I209" t="str">
        <f t="shared" si="26"/>
        <v>RTS</v>
      </c>
      <c r="J209">
        <f>IF($H209="","",IF($N209=0,$Q209,SUMPRODUCT(($O$157:$O$590=$H209)*($P$157:$P$590=$I209)*$Q$157:$Q$590)+COUNTIFS($H$157:$H209,$H209,$I$157:$I209,$I209,$N$157:$N209,1)))</f>
        <v>51</v>
      </c>
      <c r="M209">
        <f>IF($I209="","",COUNTIF($I$5:$I209,$I209))</f>
        <v>51</v>
      </c>
      <c r="N209">
        <f t="shared" si="27"/>
        <v>0</v>
      </c>
      <c r="O209" t="s">
        <v>27</v>
      </c>
      <c r="P209" t="s">
        <v>28</v>
      </c>
      <c r="Q209">
        <v>51</v>
      </c>
      <c r="R209" s="25">
        <v>270</v>
      </c>
      <c r="S209" s="25">
        <v>100</v>
      </c>
      <c r="T209" s="24">
        <f t="shared" si="28"/>
        <v>2.7</v>
      </c>
      <c r="U209" s="25"/>
    </row>
    <row r="210" spans="1:21" ht="16" x14ac:dyDescent="0.15">
      <c r="A210" s="2">
        <v>54</v>
      </c>
      <c r="B210" s="8" t="s">
        <v>128</v>
      </c>
      <c r="C210" s="28" t="s">
        <v>129</v>
      </c>
      <c r="D210" s="8" t="s">
        <v>16</v>
      </c>
      <c r="E210" s="2" t="s">
        <v>26</v>
      </c>
      <c r="F210" s="9" t="str">
        <f t="shared" si="25"/>
        <v>FIN-RTS-052</v>
      </c>
      <c r="G210" s="2" t="s">
        <v>13</v>
      </c>
      <c r="H210" t="str">
        <f>IFERROR(VLOOKUP($D210,القوائم!$A$2:$B$4,2,0),"")</f>
        <v>FIN</v>
      </c>
      <c r="I210" t="str">
        <f t="shared" si="26"/>
        <v>RTS</v>
      </c>
      <c r="J210">
        <f>IF($H210="","",IF($N210=0,$Q210,SUMPRODUCT(($O$157:$O$590=$H210)*($P$157:$P$590=$I210)*$Q$157:$Q$590)+COUNTIFS($H$157:$H210,$H210,$I$157:$I210,$I210,$N$157:$N210,1)))</f>
        <v>52</v>
      </c>
      <c r="M210">
        <f>IF($I210="","",COUNTIF($I$5:$I210,$I210))</f>
        <v>52</v>
      </c>
      <c r="N210">
        <f t="shared" si="27"/>
        <v>0</v>
      </c>
      <c r="O210" t="s">
        <v>27</v>
      </c>
      <c r="P210" t="s">
        <v>28</v>
      </c>
      <c r="Q210">
        <v>52</v>
      </c>
      <c r="R210" s="25">
        <v>270</v>
      </c>
      <c r="S210" s="25">
        <v>100</v>
      </c>
      <c r="T210" s="24">
        <f t="shared" si="28"/>
        <v>2.7</v>
      </c>
      <c r="U210" s="25"/>
    </row>
    <row r="211" spans="1:21" ht="16" x14ac:dyDescent="0.15">
      <c r="A211" s="2">
        <v>55</v>
      </c>
      <c r="B211" s="8" t="s">
        <v>130</v>
      </c>
      <c r="C211" s="28" t="s">
        <v>131</v>
      </c>
      <c r="D211" s="8" t="s">
        <v>16</v>
      </c>
      <c r="E211" s="2" t="s">
        <v>26</v>
      </c>
      <c r="F211" s="9" t="str">
        <f t="shared" si="25"/>
        <v>FIN-RTS-053</v>
      </c>
      <c r="G211" s="2" t="s">
        <v>13</v>
      </c>
      <c r="H211" t="str">
        <f>IFERROR(VLOOKUP($D211,القوائم!$A$2:$B$4,2,0),"")</f>
        <v>FIN</v>
      </c>
      <c r="I211" t="str">
        <f t="shared" si="26"/>
        <v>RTS</v>
      </c>
      <c r="J211">
        <f>IF($H211="","",IF($N211=0,$Q211,SUMPRODUCT(($O$157:$O$590=$H211)*($P$157:$P$590=$I211)*$Q$157:$Q$590)+COUNTIFS($H$157:$H211,$H211,$I$157:$I211,$I211,$N$157:$N211,1)))</f>
        <v>53</v>
      </c>
      <c r="M211">
        <f>IF($I211="","",COUNTIF($I$5:$I211,$I211))</f>
        <v>53</v>
      </c>
      <c r="N211">
        <f t="shared" si="27"/>
        <v>0</v>
      </c>
      <c r="O211" t="s">
        <v>27</v>
      </c>
      <c r="P211" t="s">
        <v>28</v>
      </c>
      <c r="Q211">
        <v>53</v>
      </c>
      <c r="R211" s="25">
        <v>270</v>
      </c>
      <c r="S211" s="25">
        <v>100</v>
      </c>
      <c r="T211" s="24">
        <f t="shared" si="28"/>
        <v>2.7</v>
      </c>
      <c r="U211" s="25"/>
    </row>
    <row r="212" spans="1:21" ht="16" x14ac:dyDescent="0.15">
      <c r="A212" s="2">
        <v>56</v>
      </c>
      <c r="B212" s="8" t="s">
        <v>132</v>
      </c>
      <c r="C212" s="28" t="s">
        <v>133</v>
      </c>
      <c r="D212" s="8" t="s">
        <v>16</v>
      </c>
      <c r="E212" s="2" t="s">
        <v>26</v>
      </c>
      <c r="F212" s="9" t="str">
        <f t="shared" si="25"/>
        <v>FIN-RTS-054</v>
      </c>
      <c r="G212" s="2" t="s">
        <v>13</v>
      </c>
      <c r="H212" t="str">
        <f>IFERROR(VLOOKUP($D212,القوائم!$A$2:$B$4,2,0),"")</f>
        <v>FIN</v>
      </c>
      <c r="I212" t="str">
        <f t="shared" si="26"/>
        <v>RTS</v>
      </c>
      <c r="J212">
        <f>IF($H212="","",IF($N212=0,$Q212,SUMPRODUCT(($O$157:$O$590=$H212)*($P$157:$P$590=$I212)*$Q$157:$Q$590)+COUNTIFS($H$157:$H212,$H212,$I$157:$I212,$I212,$N$157:$N212,1)))</f>
        <v>54</v>
      </c>
      <c r="M212">
        <f>IF($I212="","",COUNTIF($I$5:$I212,$I212))</f>
        <v>54</v>
      </c>
      <c r="N212">
        <f t="shared" si="27"/>
        <v>0</v>
      </c>
      <c r="O212" t="s">
        <v>27</v>
      </c>
      <c r="P212" t="s">
        <v>28</v>
      </c>
      <c r="Q212">
        <v>54</v>
      </c>
      <c r="R212" s="25">
        <v>40</v>
      </c>
      <c r="S212" s="25">
        <v>100</v>
      </c>
      <c r="T212" s="24">
        <f t="shared" si="28"/>
        <v>0.4</v>
      </c>
      <c r="U212" s="25"/>
    </row>
    <row r="213" spans="1:21" ht="16" x14ac:dyDescent="0.15">
      <c r="A213" s="2">
        <v>57</v>
      </c>
      <c r="B213" s="8" t="s">
        <v>134</v>
      </c>
      <c r="C213" s="28" t="s">
        <v>135</v>
      </c>
      <c r="D213" s="8" t="s">
        <v>136</v>
      </c>
      <c r="E213" s="2" t="s">
        <v>137</v>
      </c>
      <c r="F213" s="9" t="str">
        <f t="shared" si="25"/>
        <v>TRN-CHL-001</v>
      </c>
      <c r="G213" s="2" t="s">
        <v>15</v>
      </c>
      <c r="H213" t="str">
        <f>IFERROR(VLOOKUP($D213,القوائم!$A$2:$B$4,2,0),"")</f>
        <v>TRN</v>
      </c>
      <c r="I213" t="str">
        <f t="shared" si="26"/>
        <v>CHL</v>
      </c>
      <c r="J213">
        <f>IF($H213="","",IF($N213=0,$Q213,SUMPRODUCT(($O$157:$O$590=$H213)*($P$157:$P$590=$I213)*$Q$157:$Q$590)+COUNTIFS($H$157:$H213,$H213,$I$157:$I213,$I213,$N$157:$N213,1)))</f>
        <v>1</v>
      </c>
      <c r="M213">
        <f>IF($I213="","",COUNTIF($I$5:$I213,$I213))</f>
        <v>1</v>
      </c>
      <c r="N213">
        <f t="shared" si="27"/>
        <v>0</v>
      </c>
      <c r="O213" t="s">
        <v>138</v>
      </c>
      <c r="P213" t="s">
        <v>139</v>
      </c>
      <c r="Q213">
        <v>1</v>
      </c>
      <c r="R213" s="25">
        <v>450</v>
      </c>
      <c r="S213" s="25">
        <v>100</v>
      </c>
      <c r="T213" s="24">
        <f t="shared" si="28"/>
        <v>4.5</v>
      </c>
      <c r="U213" s="25"/>
    </row>
    <row r="214" spans="1:21" ht="16" x14ac:dyDescent="0.15">
      <c r="A214" s="2">
        <v>58</v>
      </c>
      <c r="B214" s="8" t="s">
        <v>140</v>
      </c>
      <c r="C214" s="28" t="s">
        <v>141</v>
      </c>
      <c r="D214" s="8" t="s">
        <v>136</v>
      </c>
      <c r="E214" s="2" t="s">
        <v>137</v>
      </c>
      <c r="F214" s="9" t="str">
        <f t="shared" si="25"/>
        <v>TRN-CHL-002</v>
      </c>
      <c r="G214" s="2" t="s">
        <v>15</v>
      </c>
      <c r="H214" t="str">
        <f>IFERROR(VLOOKUP($D214,القوائم!$A$2:$B$4,2,0),"")</f>
        <v>TRN</v>
      </c>
      <c r="I214" t="str">
        <f t="shared" si="26"/>
        <v>CHL</v>
      </c>
      <c r="J214">
        <f>IF($H214="","",IF($N214=0,$Q214,SUMPRODUCT(($O$157:$O$590=$H214)*($P$157:$P$590=$I214)*$Q$157:$Q$590)+COUNTIFS($H$157:$H214,$H214,$I$157:$I214,$I214,$N$157:$N214,1)))</f>
        <v>2</v>
      </c>
      <c r="M214">
        <f>IF($I214="","",COUNTIF($I$5:$I214,$I214))</f>
        <v>2</v>
      </c>
      <c r="N214">
        <f t="shared" si="27"/>
        <v>0</v>
      </c>
      <c r="O214" t="s">
        <v>138</v>
      </c>
      <c r="P214" t="s">
        <v>139</v>
      </c>
      <c r="Q214">
        <v>2</v>
      </c>
      <c r="R214" s="25">
        <v>250</v>
      </c>
      <c r="S214" s="25">
        <v>100</v>
      </c>
      <c r="T214" s="24">
        <f t="shared" si="28"/>
        <v>2.5</v>
      </c>
      <c r="U214" s="25"/>
    </row>
    <row r="215" spans="1:21" ht="16" x14ac:dyDescent="0.15">
      <c r="A215" s="2">
        <v>59</v>
      </c>
      <c r="B215" s="8" t="s">
        <v>142</v>
      </c>
      <c r="C215" s="28" t="s">
        <v>143</v>
      </c>
      <c r="D215" s="8" t="s">
        <v>16</v>
      </c>
      <c r="E215" s="2" t="s">
        <v>26</v>
      </c>
      <c r="F215" s="9" t="str">
        <f t="shared" si="25"/>
        <v>FIN-RTS-055</v>
      </c>
      <c r="G215" s="2" t="s">
        <v>13</v>
      </c>
      <c r="H215" t="str">
        <f>IFERROR(VLOOKUP($D215,القوائم!$A$2:$B$4,2,0),"")</f>
        <v>FIN</v>
      </c>
      <c r="I215" t="str">
        <f t="shared" si="26"/>
        <v>RTS</v>
      </c>
      <c r="J215">
        <f>IF($H215="","",IF($N215=0,$Q215,SUMPRODUCT(($O$157:$O$590=$H215)*($P$157:$P$590=$I215)*$Q$157:$Q$590)+COUNTIFS($H$157:$H215,$H215,$I$157:$I215,$I215,$N$157:$N215,1)))</f>
        <v>55</v>
      </c>
      <c r="M215">
        <f>IF($I215="","",COUNTIF($I$5:$I215,$I215))</f>
        <v>55</v>
      </c>
      <c r="N215">
        <f t="shared" si="27"/>
        <v>0</v>
      </c>
      <c r="O215" t="s">
        <v>27</v>
      </c>
      <c r="P215" t="s">
        <v>28</v>
      </c>
      <c r="Q215">
        <v>55</v>
      </c>
      <c r="R215" s="25">
        <v>270</v>
      </c>
      <c r="S215" s="25">
        <v>100</v>
      </c>
      <c r="T215" s="24">
        <f t="shared" si="28"/>
        <v>2.7</v>
      </c>
      <c r="U215" s="25"/>
    </row>
    <row r="216" spans="1:21" ht="16" x14ac:dyDescent="0.15">
      <c r="A216" s="2">
        <v>60</v>
      </c>
      <c r="B216" s="8" t="s">
        <v>144</v>
      </c>
      <c r="C216" s="28" t="s">
        <v>145</v>
      </c>
      <c r="D216" s="8" t="s">
        <v>136</v>
      </c>
      <c r="E216" s="2" t="s">
        <v>137</v>
      </c>
      <c r="F216" s="9" t="str">
        <f t="shared" si="25"/>
        <v>TRN-CHL-003</v>
      </c>
      <c r="G216" s="2" t="s">
        <v>15</v>
      </c>
      <c r="H216" t="str">
        <f>IFERROR(VLOOKUP($D216,القوائم!$A$2:$B$4,2,0),"")</f>
        <v>TRN</v>
      </c>
      <c r="I216" t="str">
        <f t="shared" si="26"/>
        <v>CHL</v>
      </c>
      <c r="J216">
        <f>IF($H216="","",IF($N216=0,$Q216,SUMPRODUCT(($O$157:$O$590=$H216)*($P$157:$P$590=$I216)*$Q$157:$Q$590)+COUNTIFS($H$157:$H216,$H216,$I$157:$I216,$I216,$N$157:$N216,1)))</f>
        <v>3</v>
      </c>
      <c r="M216">
        <f>IF($I216="","",COUNTIF($I$5:$I216,$I216))</f>
        <v>3</v>
      </c>
      <c r="N216">
        <f t="shared" si="27"/>
        <v>0</v>
      </c>
      <c r="O216" t="s">
        <v>138</v>
      </c>
      <c r="P216" t="s">
        <v>139</v>
      </c>
      <c r="Q216">
        <v>3</v>
      </c>
      <c r="R216" s="25">
        <v>450</v>
      </c>
      <c r="S216" s="25">
        <v>100</v>
      </c>
      <c r="T216" s="24">
        <f t="shared" si="28"/>
        <v>4.5</v>
      </c>
      <c r="U216" s="25"/>
    </row>
    <row r="217" spans="1:21" ht="16" x14ac:dyDescent="0.15">
      <c r="A217" s="2">
        <v>61</v>
      </c>
      <c r="B217" s="8" t="s">
        <v>146</v>
      </c>
      <c r="C217" s="28" t="s">
        <v>147</v>
      </c>
      <c r="D217" s="8" t="s">
        <v>16</v>
      </c>
      <c r="E217" s="2" t="s">
        <v>26</v>
      </c>
      <c r="F217" s="9" t="str">
        <f t="shared" si="25"/>
        <v>FIN-RTS-056</v>
      </c>
      <c r="G217" s="2" t="s">
        <v>13</v>
      </c>
      <c r="H217" t="str">
        <f>IFERROR(VLOOKUP($D217,القوائم!$A$2:$B$4,2,0),"")</f>
        <v>FIN</v>
      </c>
      <c r="I217" t="str">
        <f t="shared" si="26"/>
        <v>RTS</v>
      </c>
      <c r="J217">
        <f>IF($H217="","",IF($N217=0,$Q217,SUMPRODUCT(($O$157:$O$590=$H217)*($P$157:$P$590=$I217)*$Q$157:$Q$590)+COUNTIFS($H$157:$H217,$H217,$I$157:$I217,$I217,$N$157:$N217,1)))</f>
        <v>56</v>
      </c>
      <c r="M217">
        <f>IF($I217="","",COUNTIF($I$5:$I217,$I217))</f>
        <v>56</v>
      </c>
      <c r="N217">
        <f t="shared" si="27"/>
        <v>0</v>
      </c>
      <c r="O217" t="s">
        <v>27</v>
      </c>
      <c r="P217" t="s">
        <v>28</v>
      </c>
      <c r="Q217">
        <v>56</v>
      </c>
      <c r="R217" s="25">
        <v>150</v>
      </c>
      <c r="S217" s="25">
        <v>100</v>
      </c>
      <c r="T217" s="24">
        <f t="shared" si="28"/>
        <v>1.5</v>
      </c>
      <c r="U217" s="25"/>
    </row>
    <row r="218" spans="1:21" ht="16" x14ac:dyDescent="0.15">
      <c r="A218" s="2">
        <v>62</v>
      </c>
      <c r="B218" s="8" t="s">
        <v>148</v>
      </c>
      <c r="C218" s="28" t="s">
        <v>149</v>
      </c>
      <c r="D218" s="8" t="s">
        <v>12</v>
      </c>
      <c r="E218" s="2" t="s">
        <v>14</v>
      </c>
      <c r="F218" s="9" t="str">
        <f t="shared" si="25"/>
        <v>RAW-CNS-003</v>
      </c>
      <c r="G218" s="2" t="s">
        <v>13</v>
      </c>
      <c r="H218" t="str">
        <f>IFERROR(VLOOKUP($D218,القوائم!$A$2:$B$4,2,0),"")</f>
        <v>RAW</v>
      </c>
      <c r="I218" t="str">
        <f t="shared" si="26"/>
        <v>CNS</v>
      </c>
      <c r="J218">
        <f>IF($H218="","",IF($N218=0,$Q218,SUMPRODUCT(($O$157:$O$590=$H218)*($P$157:$P$590=$I218)*$Q$157:$Q$590)+COUNTIFS($H$157:$H218,$H218,$I$157:$I218,$I218,$N$157:$N218,1)))</f>
        <v>3</v>
      </c>
      <c r="M218">
        <f>IF($I218="","",COUNTIF($I$5:$I218,$I218))</f>
        <v>4</v>
      </c>
      <c r="N218">
        <f t="shared" si="27"/>
        <v>0</v>
      </c>
      <c r="O218" t="s">
        <v>22</v>
      </c>
      <c r="P218" t="s">
        <v>23</v>
      </c>
      <c r="Q218">
        <v>3</v>
      </c>
      <c r="R218" s="25">
        <v>282</v>
      </c>
      <c r="S218" s="25">
        <v>100</v>
      </c>
      <c r="T218" s="24">
        <f t="shared" si="28"/>
        <v>2.82</v>
      </c>
      <c r="U218" s="25"/>
    </row>
    <row r="219" spans="1:21" ht="17" x14ac:dyDescent="0.15">
      <c r="A219" s="2">
        <v>63</v>
      </c>
      <c r="B219" s="8" t="s">
        <v>150</v>
      </c>
      <c r="C219" s="28" t="s">
        <v>151</v>
      </c>
      <c r="D219" s="8" t="s">
        <v>12</v>
      </c>
      <c r="E219" s="2" t="s">
        <v>14</v>
      </c>
      <c r="F219" s="9" t="str">
        <f t="shared" si="25"/>
        <v>RAW-CNS-004</v>
      </c>
      <c r="G219" s="2" t="s">
        <v>13</v>
      </c>
      <c r="H219" t="str">
        <f>IFERROR(VLOOKUP($D219,القوائم!$A$2:$B$4,2,0),"")</f>
        <v>RAW</v>
      </c>
      <c r="I219" t="str">
        <f t="shared" si="26"/>
        <v>CNS</v>
      </c>
      <c r="J219">
        <f>IF($H219="","",IF($N219=0,$Q219,SUMPRODUCT(($O$157:$O$590=$H219)*($P$157:$P$590=$I219)*$Q$157:$Q$590)+COUNTIFS($H$157:$H219,$H219,$I$157:$I219,$I219,$N$157:$N219,1)))</f>
        <v>4</v>
      </c>
      <c r="M219">
        <f>IF($I219="","",COUNTIF($I$5:$I219,$I219))</f>
        <v>5</v>
      </c>
      <c r="N219">
        <f t="shared" si="27"/>
        <v>0</v>
      </c>
      <c r="O219" t="s">
        <v>22</v>
      </c>
      <c r="P219" t="s">
        <v>23</v>
      </c>
      <c r="Q219">
        <v>4</v>
      </c>
      <c r="R219" s="25"/>
      <c r="S219" s="25"/>
      <c r="T219" s="24" t="str">
        <f t="shared" si="28"/>
        <v/>
      </c>
      <c r="U219" s="25"/>
    </row>
    <row r="220" spans="1:21" ht="17" x14ac:dyDescent="0.15">
      <c r="A220" s="2">
        <v>64</v>
      </c>
      <c r="B220" s="8" t="s">
        <v>152</v>
      </c>
      <c r="C220" s="28" t="s">
        <v>153</v>
      </c>
      <c r="D220" s="8" t="s">
        <v>12</v>
      </c>
      <c r="E220" s="2" t="s">
        <v>14</v>
      </c>
      <c r="F220" s="9" t="str">
        <f t="shared" si="25"/>
        <v>RAW-CNS-005</v>
      </c>
      <c r="G220" s="2" t="s">
        <v>13</v>
      </c>
      <c r="H220" t="str">
        <f>IFERROR(VLOOKUP($D220,القوائم!$A$2:$B$4,2,0),"")</f>
        <v>RAW</v>
      </c>
      <c r="I220" t="str">
        <f t="shared" si="26"/>
        <v>CNS</v>
      </c>
      <c r="J220">
        <f>IF($H220="","",IF($N220=0,$Q220,SUMPRODUCT(($O$157:$O$590=$H220)*($P$157:$P$590=$I220)*$Q$157:$Q$590)+COUNTIFS($H$157:$H220,$H220,$I$157:$I220,$I220,$N$157:$N220,1)))</f>
        <v>5</v>
      </c>
      <c r="M220">
        <f>IF($I220="","",COUNTIF($I$5:$I220,$I220))</f>
        <v>6</v>
      </c>
      <c r="N220">
        <f t="shared" si="27"/>
        <v>0</v>
      </c>
      <c r="O220" t="s">
        <v>22</v>
      </c>
      <c r="P220" t="s">
        <v>23</v>
      </c>
      <c r="Q220">
        <v>5</v>
      </c>
      <c r="R220" s="25"/>
      <c r="S220" s="25"/>
      <c r="T220" s="24" t="str">
        <f t="shared" si="28"/>
        <v/>
      </c>
      <c r="U220" s="25"/>
    </row>
    <row r="221" spans="1:21" ht="16" x14ac:dyDescent="0.15">
      <c r="A221" s="2">
        <v>65</v>
      </c>
      <c r="B221" s="8" t="s">
        <v>154</v>
      </c>
      <c r="C221" s="28" t="s">
        <v>155</v>
      </c>
      <c r="D221" s="8" t="s">
        <v>16</v>
      </c>
      <c r="E221" s="2" t="s">
        <v>26</v>
      </c>
      <c r="F221" s="9" t="str">
        <f t="shared" ref="F221:F284" si="29">IF($H221="","",$H221&amp;"-"&amp;$I221&amp;"-"&amp;TEXT($J221,"000"))</f>
        <v>FIN-RTS-057</v>
      </c>
      <c r="G221" s="2" t="s">
        <v>13</v>
      </c>
      <c r="H221" t="str">
        <f>IFERROR(VLOOKUP($D221,القوائم!$A$2:$B$4,2,0),"")</f>
        <v>FIN</v>
      </c>
      <c r="I221" t="str">
        <f t="shared" ref="I221:I284" si="30">IF($H221="FIN","RTS",IF(ISNUMBER(SEARCH("مجمد",$E221)),"FRZ",IF(ISNUMBER(SEARCH("مبرد",$E221)),"CHL",IF(ISNUMBER(SEARCH("جاف",$E221)),"DRY",IF(ISNUMBER(SEARCH("استهلاك",$E221)),"CNS",IF(ISNUMBER(SEARCH("بيع",$E221)),"RTS",""))))))</f>
        <v>RTS</v>
      </c>
      <c r="J221">
        <f>IF($H221="","",IF($N221=0,$Q221,SUMPRODUCT(($O$157:$O$590=$H221)*($P$157:$P$590=$I221)*$Q$157:$Q$590)+COUNTIFS($H$157:$H221,$H221,$I$157:$I221,$I221,$N$157:$N221,1)))</f>
        <v>57</v>
      </c>
      <c r="M221">
        <f>IF($I221="","",COUNTIF($I$5:$I221,$I221))</f>
        <v>57</v>
      </c>
      <c r="N221">
        <f t="shared" ref="N221:N284" si="31">IF($H221="","",IF(OR($H221&lt;&gt;$O221,$I221&lt;&gt;$P221),1,0))</f>
        <v>0</v>
      </c>
      <c r="O221" t="s">
        <v>27</v>
      </c>
      <c r="P221" t="s">
        <v>28</v>
      </c>
      <c r="Q221">
        <v>57</v>
      </c>
      <c r="R221" s="25">
        <v>290</v>
      </c>
      <c r="S221" s="25">
        <v>100</v>
      </c>
      <c r="T221" s="24">
        <f t="shared" ref="T221:T284" si="32">IF(OR($R221="",$S221="",$S221=0),"",ROUND($R221/$S221,2))</f>
        <v>2.9</v>
      </c>
      <c r="U221" s="25"/>
    </row>
    <row r="222" spans="1:21" ht="16" x14ac:dyDescent="0.15">
      <c r="A222" s="2">
        <v>66</v>
      </c>
      <c r="B222" s="8" t="s">
        <v>156</v>
      </c>
      <c r="C222" s="28" t="s">
        <v>157</v>
      </c>
      <c r="D222" s="8" t="s">
        <v>16</v>
      </c>
      <c r="E222" s="2" t="s">
        <v>26</v>
      </c>
      <c r="F222" s="9" t="str">
        <f t="shared" si="29"/>
        <v>FIN-RTS-058</v>
      </c>
      <c r="G222" s="2" t="s">
        <v>13</v>
      </c>
      <c r="H222" t="str">
        <f>IFERROR(VLOOKUP($D222,القوائم!$A$2:$B$4,2,0),"")</f>
        <v>FIN</v>
      </c>
      <c r="I222" t="str">
        <f t="shared" si="30"/>
        <v>RTS</v>
      </c>
      <c r="J222">
        <f>IF($H222="","",IF($N222=0,$Q222,SUMPRODUCT(($O$157:$O$590=$H222)*($P$157:$P$590=$I222)*$Q$157:$Q$590)+COUNTIFS($H$157:$H222,$H222,$I$157:$I222,$I222,$N$157:$N222,1)))</f>
        <v>58</v>
      </c>
      <c r="M222">
        <f>IF($I222="","",COUNTIF($I$5:$I222,$I222))</f>
        <v>58</v>
      </c>
      <c r="N222">
        <f t="shared" si="31"/>
        <v>0</v>
      </c>
      <c r="O222" t="s">
        <v>27</v>
      </c>
      <c r="P222" t="s">
        <v>28</v>
      </c>
      <c r="Q222">
        <v>58</v>
      </c>
      <c r="R222" s="25">
        <v>290</v>
      </c>
      <c r="S222" s="25">
        <v>100</v>
      </c>
      <c r="T222" s="24">
        <f t="shared" si="32"/>
        <v>2.9</v>
      </c>
      <c r="U222" s="25"/>
    </row>
    <row r="223" spans="1:21" ht="16" x14ac:dyDescent="0.15">
      <c r="A223" s="2">
        <v>67</v>
      </c>
      <c r="B223" s="8" t="s">
        <v>158</v>
      </c>
      <c r="C223" s="28" t="s">
        <v>159</v>
      </c>
      <c r="D223" s="8" t="s">
        <v>12</v>
      </c>
      <c r="E223" s="2" t="s">
        <v>137</v>
      </c>
      <c r="F223" s="9" t="str">
        <f t="shared" si="29"/>
        <v>RAW-CHL-001</v>
      </c>
      <c r="G223" s="2" t="s">
        <v>15</v>
      </c>
      <c r="H223" t="str">
        <f>IFERROR(VLOOKUP($D223,القوائم!$A$2:$B$4,2,0),"")</f>
        <v>RAW</v>
      </c>
      <c r="I223" t="str">
        <f t="shared" si="30"/>
        <v>CHL</v>
      </c>
      <c r="J223">
        <f>IF($H223="","",IF($N223=0,$Q223,SUMPRODUCT(($O$157:$O$590=$H223)*($P$157:$P$590=$I223)*$Q$157:$Q$590)+COUNTIFS($H$157:$H223,$H223,$I$157:$I223,$I223,$N$157:$N223,1)))</f>
        <v>1</v>
      </c>
      <c r="M223">
        <f>IF($I223="","",COUNTIF($I$5:$I223,$I223))</f>
        <v>4</v>
      </c>
      <c r="N223">
        <f t="shared" si="31"/>
        <v>0</v>
      </c>
      <c r="O223" t="s">
        <v>22</v>
      </c>
      <c r="P223" t="s">
        <v>139</v>
      </c>
      <c r="Q223">
        <v>1</v>
      </c>
      <c r="R223" s="25">
        <v>74</v>
      </c>
      <c r="S223" s="25">
        <v>100</v>
      </c>
      <c r="T223" s="24">
        <f t="shared" si="32"/>
        <v>0.74</v>
      </c>
      <c r="U223" s="25"/>
    </row>
    <row r="224" spans="1:21" ht="16" x14ac:dyDescent="0.15">
      <c r="A224" s="2">
        <v>68</v>
      </c>
      <c r="B224" s="8" t="s">
        <v>160</v>
      </c>
      <c r="C224" s="28" t="s">
        <v>161</v>
      </c>
      <c r="D224" s="8" t="s">
        <v>16</v>
      </c>
      <c r="E224" s="2" t="s">
        <v>26</v>
      </c>
      <c r="F224" s="9" t="str">
        <f t="shared" si="29"/>
        <v>FIN-RTS-059</v>
      </c>
      <c r="G224" s="2" t="s">
        <v>13</v>
      </c>
      <c r="H224" t="str">
        <f>IFERROR(VLOOKUP($D224,القوائم!$A$2:$B$4,2,0),"")</f>
        <v>FIN</v>
      </c>
      <c r="I224" t="str">
        <f t="shared" si="30"/>
        <v>RTS</v>
      </c>
      <c r="J224">
        <f>IF($H224="","",IF($N224=0,$Q224,SUMPRODUCT(($O$157:$O$590=$H224)*($P$157:$P$590=$I224)*$Q$157:$Q$590)+COUNTIFS($H$157:$H224,$H224,$I$157:$I224,$I224,$N$157:$N224,1)))</f>
        <v>59</v>
      </c>
      <c r="M224">
        <f>IF($I224="","",COUNTIF($I$5:$I224,$I224))</f>
        <v>59</v>
      </c>
      <c r="N224">
        <f t="shared" si="31"/>
        <v>0</v>
      </c>
      <c r="O224" t="s">
        <v>27</v>
      </c>
      <c r="P224" t="s">
        <v>28</v>
      </c>
      <c r="Q224">
        <v>59</v>
      </c>
      <c r="R224" s="25">
        <v>270</v>
      </c>
      <c r="S224" s="25">
        <v>100</v>
      </c>
      <c r="T224" s="24">
        <f t="shared" si="32"/>
        <v>2.7</v>
      </c>
      <c r="U224" s="25"/>
    </row>
    <row r="225" spans="1:21" ht="16" x14ac:dyDescent="0.15">
      <c r="A225" s="2">
        <v>69</v>
      </c>
      <c r="B225" s="8" t="s">
        <v>162</v>
      </c>
      <c r="C225" s="28" t="s">
        <v>163</v>
      </c>
      <c r="D225" s="8" t="s">
        <v>136</v>
      </c>
      <c r="E225" s="2" t="s">
        <v>137</v>
      </c>
      <c r="F225" s="9" t="str">
        <f t="shared" si="29"/>
        <v>TRN-CHL-004</v>
      </c>
      <c r="G225" s="2" t="s">
        <v>15</v>
      </c>
      <c r="H225" t="str">
        <f>IFERROR(VLOOKUP($D225,القوائم!$A$2:$B$4,2,0),"")</f>
        <v>TRN</v>
      </c>
      <c r="I225" t="str">
        <f t="shared" si="30"/>
        <v>CHL</v>
      </c>
      <c r="J225">
        <f>IF($H225="","",IF($N225=0,$Q225,SUMPRODUCT(($O$157:$O$590=$H225)*($P$157:$P$590=$I225)*$Q$157:$Q$590)+COUNTIFS($H$157:$H225,$H225,$I$157:$I225,$I225,$N$157:$N225,1)))</f>
        <v>4</v>
      </c>
      <c r="M225">
        <f>IF($I225="","",COUNTIF($I$5:$I225,$I225))</f>
        <v>5</v>
      </c>
      <c r="N225">
        <f t="shared" si="31"/>
        <v>0</v>
      </c>
      <c r="O225" t="s">
        <v>138</v>
      </c>
      <c r="P225" t="s">
        <v>139</v>
      </c>
      <c r="Q225">
        <v>4</v>
      </c>
      <c r="R225" s="25">
        <v>120</v>
      </c>
      <c r="S225" s="25">
        <v>100</v>
      </c>
      <c r="T225" s="24">
        <f t="shared" si="32"/>
        <v>1.2</v>
      </c>
      <c r="U225" s="25"/>
    </row>
    <row r="226" spans="1:21" ht="16" x14ac:dyDescent="0.15">
      <c r="A226" s="2">
        <v>70</v>
      </c>
      <c r="B226" s="8" t="s">
        <v>164</v>
      </c>
      <c r="C226" s="28" t="s">
        <v>165</v>
      </c>
      <c r="D226" s="8" t="s">
        <v>16</v>
      </c>
      <c r="E226" s="2" t="s">
        <v>26</v>
      </c>
      <c r="F226" s="9" t="str">
        <f t="shared" si="29"/>
        <v>FIN-RTS-060</v>
      </c>
      <c r="G226" s="2" t="s">
        <v>13</v>
      </c>
      <c r="H226" t="str">
        <f>IFERROR(VLOOKUP($D226,القوائم!$A$2:$B$4,2,0),"")</f>
        <v>FIN</v>
      </c>
      <c r="I226" t="str">
        <f t="shared" si="30"/>
        <v>RTS</v>
      </c>
      <c r="J226">
        <f>IF($H226="","",IF($N226=0,$Q226,SUMPRODUCT(($O$157:$O$590=$H226)*($P$157:$P$590=$I226)*$Q$157:$Q$590)+COUNTIFS($H$157:$H226,$H226,$I$157:$I226,$I226,$N$157:$N226,1)))</f>
        <v>60</v>
      </c>
      <c r="M226">
        <f>IF($I226="","",COUNTIF($I$5:$I226,$I226))</f>
        <v>60</v>
      </c>
      <c r="N226">
        <f t="shared" si="31"/>
        <v>0</v>
      </c>
      <c r="O226" t="s">
        <v>27</v>
      </c>
      <c r="P226" t="s">
        <v>28</v>
      </c>
      <c r="Q226">
        <v>60</v>
      </c>
      <c r="R226" s="25">
        <v>180</v>
      </c>
      <c r="S226" s="25">
        <v>100</v>
      </c>
      <c r="T226" s="24">
        <f t="shared" si="32"/>
        <v>1.8</v>
      </c>
      <c r="U226" s="25"/>
    </row>
    <row r="227" spans="1:21" ht="16" x14ac:dyDescent="0.15">
      <c r="A227" s="2">
        <v>71</v>
      </c>
      <c r="B227" s="8" t="s">
        <v>166</v>
      </c>
      <c r="C227" s="28" t="s">
        <v>167</v>
      </c>
      <c r="D227" s="8" t="s">
        <v>16</v>
      </c>
      <c r="E227" s="2" t="s">
        <v>26</v>
      </c>
      <c r="F227" s="9" t="str">
        <f t="shared" si="29"/>
        <v>FIN-RTS-061</v>
      </c>
      <c r="G227" s="2" t="s">
        <v>13</v>
      </c>
      <c r="H227" t="str">
        <f>IFERROR(VLOOKUP($D227,القوائم!$A$2:$B$4,2,0),"")</f>
        <v>FIN</v>
      </c>
      <c r="I227" t="str">
        <f t="shared" si="30"/>
        <v>RTS</v>
      </c>
      <c r="J227">
        <f>IF($H227="","",IF($N227=0,$Q227,SUMPRODUCT(($O$157:$O$590=$H227)*($P$157:$P$590=$I227)*$Q$157:$Q$590)+COUNTIFS($H$157:$H227,$H227,$I$157:$I227,$I227,$N$157:$N227,1)))</f>
        <v>61</v>
      </c>
      <c r="M227">
        <f>IF($I227="","",COUNTIF($I$5:$I227,$I227))</f>
        <v>61</v>
      </c>
      <c r="N227">
        <f t="shared" si="31"/>
        <v>0</v>
      </c>
      <c r="O227" t="s">
        <v>27</v>
      </c>
      <c r="P227" t="s">
        <v>28</v>
      </c>
      <c r="Q227">
        <v>61</v>
      </c>
      <c r="R227" s="25">
        <v>220</v>
      </c>
      <c r="S227" s="25">
        <v>100</v>
      </c>
      <c r="T227" s="24">
        <f t="shared" si="32"/>
        <v>2.2000000000000002</v>
      </c>
      <c r="U227" s="25"/>
    </row>
    <row r="228" spans="1:21" ht="16" x14ac:dyDescent="0.15">
      <c r="A228" s="2">
        <v>72</v>
      </c>
      <c r="B228" s="8" t="s">
        <v>168</v>
      </c>
      <c r="C228" s="28" t="s">
        <v>169</v>
      </c>
      <c r="D228" s="8" t="s">
        <v>16</v>
      </c>
      <c r="E228" s="2" t="s">
        <v>26</v>
      </c>
      <c r="F228" s="9" t="str">
        <f t="shared" si="29"/>
        <v>FIN-RTS-062</v>
      </c>
      <c r="G228" s="2" t="s">
        <v>13</v>
      </c>
      <c r="H228" t="str">
        <f>IFERROR(VLOOKUP($D228,القوائم!$A$2:$B$4,2,0),"")</f>
        <v>FIN</v>
      </c>
      <c r="I228" t="str">
        <f t="shared" si="30"/>
        <v>RTS</v>
      </c>
      <c r="J228">
        <f>IF($H228="","",IF($N228=0,$Q228,SUMPRODUCT(($O$157:$O$590=$H228)*($P$157:$P$590=$I228)*$Q$157:$Q$590)+COUNTIFS($H$157:$H228,$H228,$I$157:$I228,$I228,$N$157:$N228,1)))</f>
        <v>62</v>
      </c>
      <c r="M228">
        <f>IF($I228="","",COUNTIF($I$5:$I228,$I228))</f>
        <v>62</v>
      </c>
      <c r="N228">
        <f t="shared" si="31"/>
        <v>0</v>
      </c>
      <c r="O228" t="s">
        <v>27</v>
      </c>
      <c r="P228" t="s">
        <v>28</v>
      </c>
      <c r="Q228">
        <v>62</v>
      </c>
      <c r="R228" s="25">
        <v>175</v>
      </c>
      <c r="S228" s="25">
        <v>100</v>
      </c>
      <c r="T228" s="24">
        <f t="shared" si="32"/>
        <v>1.75</v>
      </c>
      <c r="U228" s="25"/>
    </row>
    <row r="229" spans="1:21" ht="16" x14ac:dyDescent="0.15">
      <c r="A229" s="2">
        <v>73</v>
      </c>
      <c r="B229" s="8" t="s">
        <v>170</v>
      </c>
      <c r="C229" s="28" t="s">
        <v>171</v>
      </c>
      <c r="D229" s="8" t="s">
        <v>16</v>
      </c>
      <c r="E229" s="2" t="s">
        <v>26</v>
      </c>
      <c r="F229" s="9" t="str">
        <f t="shared" si="29"/>
        <v>FIN-RTS-063</v>
      </c>
      <c r="G229" s="2" t="s">
        <v>13</v>
      </c>
      <c r="H229" t="str">
        <f>IFERROR(VLOOKUP($D229,القوائم!$A$2:$B$4,2,0),"")</f>
        <v>FIN</v>
      </c>
      <c r="I229" t="str">
        <f t="shared" si="30"/>
        <v>RTS</v>
      </c>
      <c r="J229">
        <f>IF($H229="","",IF($N229=0,$Q229,SUMPRODUCT(($O$157:$O$590=$H229)*($P$157:$P$590=$I229)*$Q$157:$Q$590)+COUNTIFS($H$157:$H229,$H229,$I$157:$I229,$I229,$N$157:$N229,1)))</f>
        <v>63</v>
      </c>
      <c r="M229">
        <f>IF($I229="","",COUNTIF($I$5:$I229,$I229))</f>
        <v>63</v>
      </c>
      <c r="N229">
        <f t="shared" si="31"/>
        <v>0</v>
      </c>
      <c r="O229" t="s">
        <v>27</v>
      </c>
      <c r="P229" t="s">
        <v>28</v>
      </c>
      <c r="Q229">
        <v>63</v>
      </c>
      <c r="R229" s="25">
        <v>250</v>
      </c>
      <c r="S229" s="25">
        <v>100</v>
      </c>
      <c r="T229" s="24">
        <f t="shared" si="32"/>
        <v>2.5</v>
      </c>
      <c r="U229" s="25"/>
    </row>
    <row r="230" spans="1:21" ht="16" x14ac:dyDescent="0.15">
      <c r="A230" s="2">
        <v>74</v>
      </c>
      <c r="B230" s="8" t="s">
        <v>172</v>
      </c>
      <c r="C230" s="28" t="s">
        <v>173</v>
      </c>
      <c r="D230" s="8" t="s">
        <v>16</v>
      </c>
      <c r="E230" s="2" t="s">
        <v>26</v>
      </c>
      <c r="F230" s="9" t="str">
        <f t="shared" si="29"/>
        <v>FIN-RTS-064</v>
      </c>
      <c r="G230" s="2" t="s">
        <v>13</v>
      </c>
      <c r="H230" t="str">
        <f>IFERROR(VLOOKUP($D230,القوائم!$A$2:$B$4,2,0),"")</f>
        <v>FIN</v>
      </c>
      <c r="I230" t="str">
        <f t="shared" si="30"/>
        <v>RTS</v>
      </c>
      <c r="J230">
        <f>IF($H230="","",IF($N230=0,$Q230,SUMPRODUCT(($O$157:$O$590=$H230)*($P$157:$P$590=$I230)*$Q$157:$Q$590)+COUNTIFS($H$157:$H230,$H230,$I$157:$I230,$I230,$N$157:$N230,1)))</f>
        <v>64</v>
      </c>
      <c r="M230">
        <f>IF($I230="","",COUNTIF($I$5:$I230,$I230))</f>
        <v>64</v>
      </c>
      <c r="N230">
        <f t="shared" si="31"/>
        <v>0</v>
      </c>
      <c r="O230" t="s">
        <v>27</v>
      </c>
      <c r="P230" t="s">
        <v>28</v>
      </c>
      <c r="Q230">
        <v>64</v>
      </c>
      <c r="R230" s="25">
        <v>290</v>
      </c>
      <c r="S230" s="25">
        <v>100</v>
      </c>
      <c r="T230" s="24">
        <f t="shared" si="32"/>
        <v>2.9</v>
      </c>
      <c r="U230" s="25"/>
    </row>
    <row r="231" spans="1:21" ht="16" x14ac:dyDescent="0.15">
      <c r="A231" s="2">
        <v>75</v>
      </c>
      <c r="B231" s="8" t="s">
        <v>174</v>
      </c>
      <c r="C231" s="28" t="s">
        <v>175</v>
      </c>
      <c r="D231" s="8" t="s">
        <v>16</v>
      </c>
      <c r="E231" s="2" t="s">
        <v>26</v>
      </c>
      <c r="F231" s="9" t="str">
        <f t="shared" si="29"/>
        <v>FIN-RTS-065</v>
      </c>
      <c r="G231" s="2" t="s">
        <v>13</v>
      </c>
      <c r="H231" t="str">
        <f>IFERROR(VLOOKUP($D231,القوائم!$A$2:$B$4,2,0),"")</f>
        <v>FIN</v>
      </c>
      <c r="I231" t="str">
        <f t="shared" si="30"/>
        <v>RTS</v>
      </c>
      <c r="J231">
        <f>IF($H231="","",IF($N231=0,$Q231,SUMPRODUCT(($O$157:$O$590=$H231)*($P$157:$P$590=$I231)*$Q$157:$Q$590)+COUNTIFS($H$157:$H231,$H231,$I$157:$I231,$I231,$N$157:$N231,1)))</f>
        <v>65</v>
      </c>
      <c r="M231">
        <f>IF($I231="","",COUNTIF($I$5:$I231,$I231))</f>
        <v>65</v>
      </c>
      <c r="N231">
        <f t="shared" si="31"/>
        <v>0</v>
      </c>
      <c r="O231" t="s">
        <v>27</v>
      </c>
      <c r="P231" t="s">
        <v>28</v>
      </c>
      <c r="Q231">
        <v>65</v>
      </c>
      <c r="R231" s="25">
        <v>260</v>
      </c>
      <c r="S231" s="25">
        <v>100</v>
      </c>
      <c r="T231" s="24">
        <f t="shared" si="32"/>
        <v>2.6</v>
      </c>
      <c r="U231" s="25"/>
    </row>
    <row r="232" spans="1:21" ht="16" x14ac:dyDescent="0.15">
      <c r="A232" s="2">
        <v>76</v>
      </c>
      <c r="B232" s="8" t="s">
        <v>176</v>
      </c>
      <c r="C232" s="28" t="s">
        <v>177</v>
      </c>
      <c r="D232" s="8" t="s">
        <v>16</v>
      </c>
      <c r="E232" s="2" t="s">
        <v>26</v>
      </c>
      <c r="F232" s="9" t="str">
        <f t="shared" si="29"/>
        <v>FIN-RTS-066</v>
      </c>
      <c r="G232" s="2" t="s">
        <v>13</v>
      </c>
      <c r="H232" t="str">
        <f>IFERROR(VLOOKUP($D232,القوائم!$A$2:$B$4,2,0),"")</f>
        <v>FIN</v>
      </c>
      <c r="I232" t="str">
        <f t="shared" si="30"/>
        <v>RTS</v>
      </c>
      <c r="J232">
        <f>IF($H232="","",IF($N232=0,$Q232,SUMPRODUCT(($O$157:$O$590=$H232)*($P$157:$P$590=$I232)*$Q$157:$Q$590)+COUNTIFS($H$157:$H232,$H232,$I$157:$I232,$I232,$N$157:$N232,1)))</f>
        <v>66</v>
      </c>
      <c r="M232">
        <f>IF($I232="","",COUNTIF($I$5:$I232,$I232))</f>
        <v>66</v>
      </c>
      <c r="N232">
        <f t="shared" si="31"/>
        <v>0</v>
      </c>
      <c r="O232" t="s">
        <v>27</v>
      </c>
      <c r="P232" t="s">
        <v>28</v>
      </c>
      <c r="Q232">
        <v>66</v>
      </c>
      <c r="R232" s="25">
        <v>260</v>
      </c>
      <c r="S232" s="25">
        <v>100</v>
      </c>
      <c r="T232" s="24">
        <f t="shared" si="32"/>
        <v>2.6</v>
      </c>
      <c r="U232" s="25"/>
    </row>
    <row r="233" spans="1:21" ht="16" x14ac:dyDescent="0.15">
      <c r="A233" s="2">
        <v>77</v>
      </c>
      <c r="B233" s="8" t="s">
        <v>178</v>
      </c>
      <c r="C233" s="28" t="s">
        <v>179</v>
      </c>
      <c r="D233" s="8" t="s">
        <v>16</v>
      </c>
      <c r="E233" s="2" t="s">
        <v>26</v>
      </c>
      <c r="F233" s="9" t="str">
        <f t="shared" si="29"/>
        <v>FIN-RTS-067</v>
      </c>
      <c r="G233" s="2" t="s">
        <v>13</v>
      </c>
      <c r="H233" t="str">
        <f>IFERROR(VLOOKUP($D233,القوائم!$A$2:$B$4,2,0),"")</f>
        <v>FIN</v>
      </c>
      <c r="I233" t="str">
        <f t="shared" si="30"/>
        <v>RTS</v>
      </c>
      <c r="J233">
        <f>IF($H233="","",IF($N233=0,$Q233,SUMPRODUCT(($O$157:$O$590=$H233)*($P$157:$P$590=$I233)*$Q$157:$Q$590)+COUNTIFS($H$157:$H233,$H233,$I$157:$I233,$I233,$N$157:$N233,1)))</f>
        <v>67</v>
      </c>
      <c r="M233">
        <f>IF($I233="","",COUNTIF($I$5:$I233,$I233))</f>
        <v>67</v>
      </c>
      <c r="N233">
        <f t="shared" si="31"/>
        <v>0</v>
      </c>
      <c r="O233" t="s">
        <v>27</v>
      </c>
      <c r="P233" t="s">
        <v>28</v>
      </c>
      <c r="Q233">
        <v>67</v>
      </c>
      <c r="R233" s="25">
        <v>260</v>
      </c>
      <c r="S233" s="25">
        <v>100</v>
      </c>
      <c r="T233" s="24">
        <f t="shared" si="32"/>
        <v>2.6</v>
      </c>
      <c r="U233" s="25"/>
    </row>
    <row r="234" spans="1:21" ht="16" x14ac:dyDescent="0.15">
      <c r="A234" s="2">
        <v>78</v>
      </c>
      <c r="B234" s="8" t="s">
        <v>180</v>
      </c>
      <c r="C234" s="28" t="s">
        <v>181</v>
      </c>
      <c r="D234" s="8" t="s">
        <v>16</v>
      </c>
      <c r="E234" s="2" t="s">
        <v>26</v>
      </c>
      <c r="F234" s="9" t="str">
        <f t="shared" si="29"/>
        <v>FIN-RTS-068</v>
      </c>
      <c r="G234" s="2" t="s">
        <v>13</v>
      </c>
      <c r="H234" t="str">
        <f>IFERROR(VLOOKUP($D234,القوائم!$A$2:$B$4,2,0),"")</f>
        <v>FIN</v>
      </c>
      <c r="I234" t="str">
        <f t="shared" si="30"/>
        <v>RTS</v>
      </c>
      <c r="J234">
        <f>IF($H234="","",IF($N234=0,$Q234,SUMPRODUCT(($O$157:$O$590=$H234)*($P$157:$P$590=$I234)*$Q$157:$Q$590)+COUNTIFS($H$157:$H234,$H234,$I$157:$I234,$I234,$N$157:$N234,1)))</f>
        <v>68</v>
      </c>
      <c r="M234">
        <f>IF($I234="","",COUNTIF($I$5:$I234,$I234))</f>
        <v>68</v>
      </c>
      <c r="N234">
        <f t="shared" si="31"/>
        <v>0</v>
      </c>
      <c r="O234" t="s">
        <v>27</v>
      </c>
      <c r="P234" t="s">
        <v>28</v>
      </c>
      <c r="Q234">
        <v>68</v>
      </c>
      <c r="R234" s="25">
        <v>250</v>
      </c>
      <c r="S234" s="25">
        <v>100</v>
      </c>
      <c r="T234" s="24">
        <f t="shared" si="32"/>
        <v>2.5</v>
      </c>
      <c r="U234" s="25"/>
    </row>
    <row r="235" spans="1:21" ht="16" x14ac:dyDescent="0.15">
      <c r="A235" s="2">
        <v>79</v>
      </c>
      <c r="B235" s="8" t="s">
        <v>182</v>
      </c>
      <c r="C235" s="28" t="s">
        <v>183</v>
      </c>
      <c r="D235" s="8" t="s">
        <v>16</v>
      </c>
      <c r="E235" s="2" t="s">
        <v>26</v>
      </c>
      <c r="F235" s="9" t="str">
        <f t="shared" si="29"/>
        <v>FIN-RTS-069</v>
      </c>
      <c r="G235" s="2" t="s">
        <v>13</v>
      </c>
      <c r="H235" t="str">
        <f>IFERROR(VLOOKUP($D235,القوائم!$A$2:$B$4,2,0),"")</f>
        <v>FIN</v>
      </c>
      <c r="I235" t="str">
        <f t="shared" si="30"/>
        <v>RTS</v>
      </c>
      <c r="J235">
        <f>IF($H235="","",IF($N235=0,$Q235,SUMPRODUCT(($O$157:$O$590=$H235)*($P$157:$P$590=$I235)*$Q$157:$Q$590)+COUNTIFS($H$157:$H235,$H235,$I$157:$I235,$I235,$N$157:$N235,1)))</f>
        <v>69</v>
      </c>
      <c r="M235">
        <f>IF($I235="","",COUNTIF($I$5:$I235,$I235))</f>
        <v>69</v>
      </c>
      <c r="N235">
        <f t="shared" si="31"/>
        <v>0</v>
      </c>
      <c r="O235" t="s">
        <v>27</v>
      </c>
      <c r="P235" t="s">
        <v>28</v>
      </c>
      <c r="Q235">
        <v>69</v>
      </c>
      <c r="R235" s="25">
        <v>260</v>
      </c>
      <c r="S235" s="25">
        <v>100</v>
      </c>
      <c r="T235" s="24">
        <f t="shared" si="32"/>
        <v>2.6</v>
      </c>
      <c r="U235" s="25"/>
    </row>
    <row r="236" spans="1:21" ht="16" x14ac:dyDescent="0.15">
      <c r="A236" s="2">
        <v>80</v>
      </c>
      <c r="B236" s="8" t="s">
        <v>184</v>
      </c>
      <c r="C236" s="28" t="s">
        <v>185</v>
      </c>
      <c r="D236" s="8" t="s">
        <v>16</v>
      </c>
      <c r="E236" s="2" t="s">
        <v>26</v>
      </c>
      <c r="F236" s="9" t="str">
        <f t="shared" si="29"/>
        <v>FIN-RTS-070</v>
      </c>
      <c r="G236" s="2" t="s">
        <v>13</v>
      </c>
      <c r="H236" t="str">
        <f>IFERROR(VLOOKUP($D236,القوائم!$A$2:$B$4,2,0),"")</f>
        <v>FIN</v>
      </c>
      <c r="I236" t="str">
        <f t="shared" si="30"/>
        <v>RTS</v>
      </c>
      <c r="J236">
        <f>IF($H236="","",IF($N236=0,$Q236,SUMPRODUCT(($O$157:$O$590=$H236)*($P$157:$P$590=$I236)*$Q$157:$Q$590)+COUNTIFS($H$157:$H236,$H236,$I$157:$I236,$I236,$N$157:$N236,1)))</f>
        <v>70</v>
      </c>
      <c r="M236">
        <f>IF($I236="","",COUNTIF($I$5:$I236,$I236))</f>
        <v>70</v>
      </c>
      <c r="N236">
        <f t="shared" si="31"/>
        <v>0</v>
      </c>
      <c r="O236" t="s">
        <v>27</v>
      </c>
      <c r="P236" t="s">
        <v>28</v>
      </c>
      <c r="Q236">
        <v>70</v>
      </c>
      <c r="R236" s="25">
        <v>250</v>
      </c>
      <c r="S236" s="25">
        <v>100</v>
      </c>
      <c r="T236" s="24">
        <f t="shared" si="32"/>
        <v>2.5</v>
      </c>
      <c r="U236" s="25"/>
    </row>
    <row r="237" spans="1:21" ht="28.5" customHeight="1" x14ac:dyDescent="0.15">
      <c r="A237" s="2">
        <v>81</v>
      </c>
      <c r="B237" s="8" t="s">
        <v>186</v>
      </c>
      <c r="C237" s="28" t="s">
        <v>187</v>
      </c>
      <c r="D237" s="8" t="s">
        <v>16</v>
      </c>
      <c r="E237" s="2" t="s">
        <v>26</v>
      </c>
      <c r="F237" s="9" t="str">
        <f t="shared" si="29"/>
        <v>FIN-RTS-071</v>
      </c>
      <c r="G237" s="2" t="s">
        <v>13</v>
      </c>
      <c r="H237" t="str">
        <f>IFERROR(VLOOKUP($D237,القوائم!$A$2:$B$4,2,0),"")</f>
        <v>FIN</v>
      </c>
      <c r="I237" t="str">
        <f t="shared" si="30"/>
        <v>RTS</v>
      </c>
      <c r="J237">
        <f>IF($H237="","",IF($N237=0,$Q237,SUMPRODUCT(($O$157:$O$590=$H237)*($P$157:$P$590=$I237)*$Q$157:$Q$590)+COUNTIFS($H$157:$H237,$H237,$I$157:$I237,$I237,$N$157:$N237,1)))</f>
        <v>71</v>
      </c>
      <c r="M237">
        <f>IF($I237="","",COUNTIF($I$5:$I237,$I237))</f>
        <v>71</v>
      </c>
      <c r="N237">
        <f t="shared" si="31"/>
        <v>0</v>
      </c>
      <c r="O237" t="s">
        <v>27</v>
      </c>
      <c r="P237" t="s">
        <v>28</v>
      </c>
      <c r="Q237">
        <v>71</v>
      </c>
      <c r="R237" s="25">
        <v>180</v>
      </c>
      <c r="S237" s="25">
        <v>100</v>
      </c>
      <c r="T237" s="24">
        <f t="shared" si="32"/>
        <v>1.8</v>
      </c>
      <c r="U237" s="25"/>
    </row>
    <row r="238" spans="1:21" ht="16" x14ac:dyDescent="0.15">
      <c r="A238" s="2">
        <v>82</v>
      </c>
      <c r="B238" s="8" t="s">
        <v>188</v>
      </c>
      <c r="C238" s="28" t="s">
        <v>189</v>
      </c>
      <c r="D238" s="8" t="s">
        <v>16</v>
      </c>
      <c r="E238" s="2" t="s">
        <v>26</v>
      </c>
      <c r="F238" s="9" t="str">
        <f t="shared" si="29"/>
        <v>FIN-RTS-072</v>
      </c>
      <c r="G238" s="2" t="s">
        <v>13</v>
      </c>
      <c r="H238" t="str">
        <f>IFERROR(VLOOKUP($D238,القوائم!$A$2:$B$4,2,0),"")</f>
        <v>FIN</v>
      </c>
      <c r="I238" t="str">
        <f t="shared" si="30"/>
        <v>RTS</v>
      </c>
      <c r="J238">
        <f>IF($H238="","",IF($N238=0,$Q238,SUMPRODUCT(($O$157:$O$590=$H238)*($P$157:$P$590=$I238)*$Q$157:$Q$590)+COUNTIFS($H$157:$H238,$H238,$I$157:$I238,$I238,$N$157:$N238,1)))</f>
        <v>72</v>
      </c>
      <c r="M238">
        <f>IF($I238="","",COUNTIF($I$5:$I238,$I238))</f>
        <v>72</v>
      </c>
      <c r="N238">
        <f t="shared" si="31"/>
        <v>0</v>
      </c>
      <c r="O238" t="s">
        <v>27</v>
      </c>
      <c r="P238" t="s">
        <v>28</v>
      </c>
      <c r="Q238">
        <v>72</v>
      </c>
      <c r="R238" s="25">
        <v>160</v>
      </c>
      <c r="S238" s="25">
        <v>100</v>
      </c>
      <c r="T238" s="24">
        <f t="shared" si="32"/>
        <v>1.6</v>
      </c>
      <c r="U238" s="25"/>
    </row>
    <row r="239" spans="1:21" ht="28.5" customHeight="1" x14ac:dyDescent="0.15">
      <c r="A239" s="2">
        <v>83</v>
      </c>
      <c r="B239" s="8" t="s">
        <v>190</v>
      </c>
      <c r="C239" s="28" t="s">
        <v>191</v>
      </c>
      <c r="D239" s="8" t="s">
        <v>16</v>
      </c>
      <c r="E239" s="2" t="s">
        <v>26</v>
      </c>
      <c r="F239" s="9" t="str">
        <f t="shared" si="29"/>
        <v>FIN-RTS-073</v>
      </c>
      <c r="G239" s="2" t="s">
        <v>13</v>
      </c>
      <c r="H239" t="str">
        <f>IFERROR(VLOOKUP($D239,القوائم!$A$2:$B$4,2,0),"")</f>
        <v>FIN</v>
      </c>
      <c r="I239" t="str">
        <f t="shared" si="30"/>
        <v>RTS</v>
      </c>
      <c r="J239">
        <f>IF($H239="","",IF($N239=0,$Q239,SUMPRODUCT(($O$157:$O$590=$H239)*($P$157:$P$590=$I239)*$Q$157:$Q$590)+COUNTIFS($H$157:$H239,$H239,$I$157:$I239,$I239,$N$157:$N239,1)))</f>
        <v>73</v>
      </c>
      <c r="M239">
        <f>IF($I239="","",COUNTIF($I$5:$I239,$I239))</f>
        <v>73</v>
      </c>
      <c r="N239">
        <f t="shared" si="31"/>
        <v>0</v>
      </c>
      <c r="O239" t="s">
        <v>27</v>
      </c>
      <c r="P239" t="s">
        <v>28</v>
      </c>
      <c r="Q239">
        <v>73</v>
      </c>
      <c r="R239" s="25">
        <v>140</v>
      </c>
      <c r="S239" s="25">
        <v>100</v>
      </c>
      <c r="T239" s="24">
        <f t="shared" si="32"/>
        <v>1.4</v>
      </c>
      <c r="U239" s="25"/>
    </row>
    <row r="240" spans="1:21" ht="16" x14ac:dyDescent="0.15">
      <c r="A240" s="2">
        <v>84</v>
      </c>
      <c r="B240" s="8" t="s">
        <v>192</v>
      </c>
      <c r="C240" s="28" t="s">
        <v>193</v>
      </c>
      <c r="D240" s="8" t="s">
        <v>16</v>
      </c>
      <c r="E240" s="2" t="s">
        <v>26</v>
      </c>
      <c r="F240" s="9" t="str">
        <f t="shared" si="29"/>
        <v>FIN-RTS-074</v>
      </c>
      <c r="G240" s="2" t="s">
        <v>13</v>
      </c>
      <c r="H240" t="str">
        <f>IFERROR(VLOOKUP($D240,القوائم!$A$2:$B$4,2,0),"")</f>
        <v>FIN</v>
      </c>
      <c r="I240" t="str">
        <f t="shared" si="30"/>
        <v>RTS</v>
      </c>
      <c r="J240">
        <f>IF($H240="","",IF($N240=0,$Q240,SUMPRODUCT(($O$157:$O$590=$H240)*($P$157:$P$590=$I240)*$Q$157:$Q$590)+COUNTIFS($H$157:$H240,$H240,$I$157:$I240,$I240,$N$157:$N240,1)))</f>
        <v>74</v>
      </c>
      <c r="M240">
        <f>IF($I240="","",COUNTIF($I$5:$I240,$I240))</f>
        <v>74</v>
      </c>
      <c r="N240">
        <f t="shared" si="31"/>
        <v>0</v>
      </c>
      <c r="O240" t="s">
        <v>27</v>
      </c>
      <c r="P240" t="s">
        <v>28</v>
      </c>
      <c r="Q240">
        <v>74</v>
      </c>
      <c r="R240" s="25">
        <v>175</v>
      </c>
      <c r="S240" s="25">
        <v>100</v>
      </c>
      <c r="T240" s="24">
        <f t="shared" si="32"/>
        <v>1.75</v>
      </c>
      <c r="U240" s="25"/>
    </row>
    <row r="241" spans="1:21" ht="16" x14ac:dyDescent="0.15">
      <c r="A241" s="2">
        <v>85</v>
      </c>
      <c r="B241" s="8" t="s">
        <v>194</v>
      </c>
      <c r="C241" s="28" t="s">
        <v>195</v>
      </c>
      <c r="D241" s="8" t="s">
        <v>16</v>
      </c>
      <c r="E241" s="2" t="s">
        <v>26</v>
      </c>
      <c r="F241" s="9" t="str">
        <f t="shared" si="29"/>
        <v>FIN-RTS-075</v>
      </c>
      <c r="G241" s="2" t="s">
        <v>13</v>
      </c>
      <c r="H241" t="str">
        <f>IFERROR(VLOOKUP($D241,القوائم!$A$2:$B$4,2,0),"")</f>
        <v>FIN</v>
      </c>
      <c r="I241" t="str">
        <f t="shared" si="30"/>
        <v>RTS</v>
      </c>
      <c r="J241">
        <f>IF($H241="","",IF($N241=0,$Q241,SUMPRODUCT(($O$157:$O$590=$H241)*($P$157:$P$590=$I241)*$Q$157:$Q$590)+COUNTIFS($H$157:$H241,$H241,$I$157:$I241,$I241,$N$157:$N241,1)))</f>
        <v>75</v>
      </c>
      <c r="M241">
        <f>IF($I241="","",COUNTIF($I$5:$I241,$I241))</f>
        <v>75</v>
      </c>
      <c r="N241">
        <f t="shared" si="31"/>
        <v>0</v>
      </c>
      <c r="O241" t="s">
        <v>27</v>
      </c>
      <c r="P241" t="s">
        <v>28</v>
      </c>
      <c r="Q241">
        <v>75</v>
      </c>
      <c r="R241" s="25">
        <v>38</v>
      </c>
      <c r="S241" s="25">
        <v>100</v>
      </c>
      <c r="T241" s="24">
        <f t="shared" si="32"/>
        <v>0.38</v>
      </c>
      <c r="U241" s="25"/>
    </row>
    <row r="242" spans="1:21" ht="16" x14ac:dyDescent="0.15">
      <c r="A242" s="2">
        <v>86</v>
      </c>
      <c r="B242" s="8" t="s">
        <v>196</v>
      </c>
      <c r="C242" s="28" t="s">
        <v>197</v>
      </c>
      <c r="D242" s="8" t="s">
        <v>16</v>
      </c>
      <c r="E242" s="2" t="s">
        <v>26</v>
      </c>
      <c r="F242" s="9" t="str">
        <f t="shared" si="29"/>
        <v>FIN-RTS-076</v>
      </c>
      <c r="G242" s="2" t="s">
        <v>13</v>
      </c>
      <c r="H242" t="str">
        <f>IFERROR(VLOOKUP($D242,القوائم!$A$2:$B$4,2,0),"")</f>
        <v>FIN</v>
      </c>
      <c r="I242" t="str">
        <f t="shared" si="30"/>
        <v>RTS</v>
      </c>
      <c r="J242">
        <f>IF($H242="","",IF($N242=0,$Q242,SUMPRODUCT(($O$157:$O$590=$H242)*($P$157:$P$590=$I242)*$Q$157:$Q$590)+COUNTIFS($H$157:$H242,$H242,$I$157:$I242,$I242,$N$157:$N242,1)))</f>
        <v>76</v>
      </c>
      <c r="M242">
        <f>IF($I242="","",COUNTIF($I$5:$I242,$I242))</f>
        <v>76</v>
      </c>
      <c r="N242">
        <f t="shared" si="31"/>
        <v>0</v>
      </c>
      <c r="O242" t="s">
        <v>27</v>
      </c>
      <c r="P242" t="s">
        <v>28</v>
      </c>
      <c r="Q242">
        <v>76</v>
      </c>
      <c r="R242" s="25">
        <v>350</v>
      </c>
      <c r="S242" s="25">
        <v>100</v>
      </c>
      <c r="T242" s="24">
        <f t="shared" si="32"/>
        <v>3.5</v>
      </c>
      <c r="U242" s="25"/>
    </row>
    <row r="243" spans="1:21" ht="16" x14ac:dyDescent="0.15">
      <c r="A243" s="2">
        <v>87</v>
      </c>
      <c r="B243" s="8" t="s">
        <v>198</v>
      </c>
      <c r="C243" s="28" t="s">
        <v>199</v>
      </c>
      <c r="D243" s="8" t="s">
        <v>16</v>
      </c>
      <c r="E243" s="2" t="s">
        <v>26</v>
      </c>
      <c r="F243" s="9" t="str">
        <f t="shared" si="29"/>
        <v>FIN-RTS-077</v>
      </c>
      <c r="G243" s="2" t="s">
        <v>13</v>
      </c>
      <c r="H243" t="str">
        <f>IFERROR(VLOOKUP($D243,القوائم!$A$2:$B$4,2,0),"")</f>
        <v>FIN</v>
      </c>
      <c r="I243" t="str">
        <f t="shared" si="30"/>
        <v>RTS</v>
      </c>
      <c r="J243">
        <f>IF($H243="","",IF($N243=0,$Q243,SUMPRODUCT(($O$157:$O$590=$H243)*($P$157:$P$590=$I243)*$Q$157:$Q$590)+COUNTIFS($H$157:$H243,$H243,$I$157:$I243,$I243,$N$157:$N243,1)))</f>
        <v>77</v>
      </c>
      <c r="M243">
        <f>IF($I243="","",COUNTIF($I$5:$I243,$I243))</f>
        <v>77</v>
      </c>
      <c r="N243">
        <f t="shared" si="31"/>
        <v>0</v>
      </c>
      <c r="O243" t="s">
        <v>27</v>
      </c>
      <c r="P243" t="s">
        <v>28</v>
      </c>
      <c r="Q243">
        <v>77</v>
      </c>
      <c r="R243" s="25">
        <v>180</v>
      </c>
      <c r="S243" s="25">
        <v>100</v>
      </c>
      <c r="T243" s="24">
        <f t="shared" si="32"/>
        <v>1.8</v>
      </c>
      <c r="U243" s="25"/>
    </row>
    <row r="244" spans="1:21" ht="16" x14ac:dyDescent="0.15">
      <c r="A244" s="2">
        <v>88</v>
      </c>
      <c r="B244" s="8" t="s">
        <v>200</v>
      </c>
      <c r="C244" s="28" t="s">
        <v>201</v>
      </c>
      <c r="D244" s="8" t="s">
        <v>16</v>
      </c>
      <c r="E244" s="2" t="s">
        <v>26</v>
      </c>
      <c r="F244" s="9" t="str">
        <f t="shared" si="29"/>
        <v>FIN-RTS-078</v>
      </c>
      <c r="G244" s="2" t="s">
        <v>13</v>
      </c>
      <c r="H244" t="str">
        <f>IFERROR(VLOOKUP($D244,القوائم!$A$2:$B$4,2,0),"")</f>
        <v>FIN</v>
      </c>
      <c r="I244" t="str">
        <f t="shared" si="30"/>
        <v>RTS</v>
      </c>
      <c r="J244">
        <f>IF($H244="","",IF($N244=0,$Q244,SUMPRODUCT(($O$157:$O$590=$H244)*($P$157:$P$590=$I244)*$Q$157:$Q$590)+COUNTIFS($H$157:$H244,$H244,$I$157:$I244,$I244,$N$157:$N244,1)))</f>
        <v>78</v>
      </c>
      <c r="M244">
        <f>IF($I244="","",COUNTIF($I$5:$I244,$I244))</f>
        <v>78</v>
      </c>
      <c r="N244">
        <f t="shared" si="31"/>
        <v>0</v>
      </c>
      <c r="O244" t="s">
        <v>27</v>
      </c>
      <c r="P244" t="s">
        <v>28</v>
      </c>
      <c r="Q244">
        <v>78</v>
      </c>
      <c r="R244" s="25">
        <v>150</v>
      </c>
      <c r="S244" s="25">
        <v>100</v>
      </c>
      <c r="T244" s="24">
        <f t="shared" si="32"/>
        <v>1.5</v>
      </c>
      <c r="U244" s="25"/>
    </row>
    <row r="245" spans="1:21" ht="16" x14ac:dyDescent="0.15">
      <c r="A245" s="2">
        <v>89</v>
      </c>
      <c r="B245" s="8" t="s">
        <v>202</v>
      </c>
      <c r="C245" s="28" t="s">
        <v>203</v>
      </c>
      <c r="D245" s="8" t="s">
        <v>16</v>
      </c>
      <c r="E245" s="2" t="s">
        <v>26</v>
      </c>
      <c r="F245" s="9" t="str">
        <f t="shared" si="29"/>
        <v>FIN-RTS-079</v>
      </c>
      <c r="G245" s="2" t="s">
        <v>13</v>
      </c>
      <c r="H245" t="str">
        <f>IFERROR(VLOOKUP($D245,القوائم!$A$2:$B$4,2,0),"")</f>
        <v>FIN</v>
      </c>
      <c r="I245" t="str">
        <f t="shared" si="30"/>
        <v>RTS</v>
      </c>
      <c r="J245">
        <f>IF($H245="","",IF($N245=0,$Q245,SUMPRODUCT(($O$157:$O$590=$H245)*($P$157:$P$590=$I245)*$Q$157:$Q$590)+COUNTIFS($H$157:$H245,$H245,$I$157:$I245,$I245,$N$157:$N245,1)))</f>
        <v>79</v>
      </c>
      <c r="M245">
        <f>IF($I245="","",COUNTIF($I$5:$I245,$I245))</f>
        <v>79</v>
      </c>
      <c r="N245">
        <f t="shared" si="31"/>
        <v>0</v>
      </c>
      <c r="O245" t="s">
        <v>27</v>
      </c>
      <c r="P245" t="s">
        <v>28</v>
      </c>
      <c r="Q245">
        <v>79</v>
      </c>
      <c r="R245" s="25">
        <v>130</v>
      </c>
      <c r="S245" s="25">
        <v>100</v>
      </c>
      <c r="T245" s="24">
        <f t="shared" si="32"/>
        <v>1.3</v>
      </c>
      <c r="U245" s="25"/>
    </row>
    <row r="246" spans="1:21" ht="16" x14ac:dyDescent="0.15">
      <c r="A246" s="2">
        <v>90</v>
      </c>
      <c r="B246" s="8" t="s">
        <v>204</v>
      </c>
      <c r="C246" s="28" t="s">
        <v>205</v>
      </c>
      <c r="D246" s="8" t="s">
        <v>16</v>
      </c>
      <c r="E246" s="2" t="s">
        <v>26</v>
      </c>
      <c r="F246" s="9" t="str">
        <f t="shared" si="29"/>
        <v>FIN-RTS-080</v>
      </c>
      <c r="G246" s="2" t="s">
        <v>13</v>
      </c>
      <c r="H246" t="str">
        <f>IFERROR(VLOOKUP($D246,القوائم!$A$2:$B$4,2,0),"")</f>
        <v>FIN</v>
      </c>
      <c r="I246" t="str">
        <f t="shared" si="30"/>
        <v>RTS</v>
      </c>
      <c r="J246">
        <f>IF($H246="","",IF($N246=0,$Q246,SUMPRODUCT(($O$157:$O$590=$H246)*($P$157:$P$590=$I246)*$Q$157:$Q$590)+COUNTIFS($H$157:$H246,$H246,$I$157:$I246,$I246,$N$157:$N246,1)))</f>
        <v>80</v>
      </c>
      <c r="M246">
        <f>IF($I246="","",COUNTIF($I$5:$I246,$I246))</f>
        <v>80</v>
      </c>
      <c r="N246">
        <f t="shared" si="31"/>
        <v>0</v>
      </c>
      <c r="O246" t="s">
        <v>27</v>
      </c>
      <c r="P246" t="s">
        <v>28</v>
      </c>
      <c r="Q246">
        <v>80</v>
      </c>
      <c r="R246" s="25">
        <v>300</v>
      </c>
      <c r="S246" s="25">
        <v>100</v>
      </c>
      <c r="T246" s="24">
        <f t="shared" si="32"/>
        <v>3</v>
      </c>
      <c r="U246" s="25"/>
    </row>
    <row r="247" spans="1:21" ht="16" x14ac:dyDescent="0.15">
      <c r="A247" s="2">
        <v>91</v>
      </c>
      <c r="B247" s="8" t="s">
        <v>206</v>
      </c>
      <c r="C247" s="28" t="s">
        <v>205</v>
      </c>
      <c r="D247" s="8" t="s">
        <v>16</v>
      </c>
      <c r="E247" s="2" t="s">
        <v>26</v>
      </c>
      <c r="F247" s="9" t="str">
        <f t="shared" si="29"/>
        <v>FIN-RTS-081</v>
      </c>
      <c r="G247" s="2" t="s">
        <v>13</v>
      </c>
      <c r="H247" t="str">
        <f>IFERROR(VLOOKUP($D247,القوائم!$A$2:$B$4,2,0),"")</f>
        <v>FIN</v>
      </c>
      <c r="I247" t="str">
        <f t="shared" si="30"/>
        <v>RTS</v>
      </c>
      <c r="J247">
        <f>IF($H247="","",IF($N247=0,$Q247,SUMPRODUCT(($O$157:$O$590=$H247)*($P$157:$P$590=$I247)*$Q$157:$Q$590)+COUNTIFS($H$157:$H247,$H247,$I$157:$I247,$I247,$N$157:$N247,1)))</f>
        <v>81</v>
      </c>
      <c r="M247">
        <f>IF($I247="","",COUNTIF($I$5:$I247,$I247))</f>
        <v>81</v>
      </c>
      <c r="N247">
        <f t="shared" si="31"/>
        <v>0</v>
      </c>
      <c r="O247" t="s">
        <v>27</v>
      </c>
      <c r="P247" t="s">
        <v>28</v>
      </c>
      <c r="Q247">
        <v>81</v>
      </c>
      <c r="R247" s="25">
        <v>300</v>
      </c>
      <c r="S247" s="25">
        <v>100</v>
      </c>
      <c r="T247" s="24">
        <f t="shared" si="32"/>
        <v>3</v>
      </c>
      <c r="U247" s="25"/>
    </row>
    <row r="248" spans="1:21" ht="16" x14ac:dyDescent="0.15">
      <c r="A248" s="2">
        <v>92</v>
      </c>
      <c r="B248" s="8" t="s">
        <v>207</v>
      </c>
      <c r="C248" s="28" t="s">
        <v>205</v>
      </c>
      <c r="D248" s="8" t="s">
        <v>16</v>
      </c>
      <c r="E248" s="2" t="s">
        <v>26</v>
      </c>
      <c r="F248" s="9" t="str">
        <f t="shared" si="29"/>
        <v>FIN-RTS-082</v>
      </c>
      <c r="G248" s="2" t="s">
        <v>13</v>
      </c>
      <c r="H248" t="str">
        <f>IFERROR(VLOOKUP($D248,القوائم!$A$2:$B$4,2,0),"")</f>
        <v>FIN</v>
      </c>
      <c r="I248" t="str">
        <f t="shared" si="30"/>
        <v>RTS</v>
      </c>
      <c r="J248">
        <f>IF($H248="","",IF($N248=0,$Q248,SUMPRODUCT(($O$157:$O$590=$H248)*($P$157:$P$590=$I248)*$Q$157:$Q$590)+COUNTIFS($H$157:$H248,$H248,$I$157:$I248,$I248,$N$157:$N248,1)))</f>
        <v>82</v>
      </c>
      <c r="M248">
        <f>IF($I248="","",COUNTIF($I$5:$I248,$I248))</f>
        <v>82</v>
      </c>
      <c r="N248">
        <f t="shared" si="31"/>
        <v>0</v>
      </c>
      <c r="O248" t="s">
        <v>27</v>
      </c>
      <c r="P248" t="s">
        <v>28</v>
      </c>
      <c r="Q248">
        <v>82</v>
      </c>
      <c r="R248" s="25">
        <v>300</v>
      </c>
      <c r="S248" s="25">
        <v>100</v>
      </c>
      <c r="T248" s="24">
        <f t="shared" si="32"/>
        <v>3</v>
      </c>
      <c r="U248" s="25"/>
    </row>
    <row r="249" spans="1:21" ht="16" x14ac:dyDescent="0.15">
      <c r="A249" s="2">
        <v>93</v>
      </c>
      <c r="B249" s="8" t="s">
        <v>208</v>
      </c>
      <c r="C249" s="28" t="s">
        <v>209</v>
      </c>
      <c r="D249" s="8" t="s">
        <v>136</v>
      </c>
      <c r="E249" s="2" t="s">
        <v>137</v>
      </c>
      <c r="F249" s="9" t="str">
        <f t="shared" si="29"/>
        <v>TRN-CHL-005</v>
      </c>
      <c r="G249" s="2" t="s">
        <v>15</v>
      </c>
      <c r="H249" t="str">
        <f>IFERROR(VLOOKUP($D249,القوائم!$A$2:$B$4,2,0),"")</f>
        <v>TRN</v>
      </c>
      <c r="I249" t="str">
        <f t="shared" si="30"/>
        <v>CHL</v>
      </c>
      <c r="J249">
        <f>IF($H249="","",IF($N249=0,$Q249,SUMPRODUCT(($O$157:$O$590=$H249)*($P$157:$P$590=$I249)*$Q$157:$Q$590)+COUNTIFS($H$157:$H249,$H249,$I$157:$I249,$I249,$N$157:$N249,1)))</f>
        <v>5</v>
      </c>
      <c r="M249">
        <f>IF($I249="","",COUNTIF($I$5:$I249,$I249))</f>
        <v>6</v>
      </c>
      <c r="N249">
        <f t="shared" si="31"/>
        <v>0</v>
      </c>
      <c r="O249" t="s">
        <v>138</v>
      </c>
      <c r="P249" t="s">
        <v>139</v>
      </c>
      <c r="Q249">
        <v>5</v>
      </c>
      <c r="R249" s="25">
        <v>270</v>
      </c>
      <c r="S249" s="25">
        <v>100</v>
      </c>
      <c r="T249" s="24">
        <f t="shared" si="32"/>
        <v>2.7</v>
      </c>
      <c r="U249" s="25"/>
    </row>
    <row r="250" spans="1:21" ht="16" x14ac:dyDescent="0.15">
      <c r="A250" s="2">
        <v>94</v>
      </c>
      <c r="B250" s="8" t="s">
        <v>210</v>
      </c>
      <c r="C250" s="28" t="s">
        <v>211</v>
      </c>
      <c r="D250" s="8" t="s">
        <v>16</v>
      </c>
      <c r="E250" s="2" t="s">
        <v>26</v>
      </c>
      <c r="F250" s="9" t="str">
        <f t="shared" si="29"/>
        <v>FIN-RTS-083</v>
      </c>
      <c r="G250" s="2" t="s">
        <v>13</v>
      </c>
      <c r="H250" t="str">
        <f>IFERROR(VLOOKUP($D250,القوائم!$A$2:$B$4,2,0),"")</f>
        <v>FIN</v>
      </c>
      <c r="I250" t="str">
        <f t="shared" si="30"/>
        <v>RTS</v>
      </c>
      <c r="J250">
        <f>IF($H250="","",IF($N250=0,$Q250,SUMPRODUCT(($O$157:$O$590=$H250)*($P$157:$P$590=$I250)*$Q$157:$Q$590)+COUNTIFS($H$157:$H250,$H250,$I$157:$I250,$I250,$N$157:$N250,1)))</f>
        <v>83</v>
      </c>
      <c r="M250">
        <f>IF($I250="","",COUNTIF($I$5:$I250,$I250))</f>
        <v>83</v>
      </c>
      <c r="N250">
        <f t="shared" si="31"/>
        <v>0</v>
      </c>
      <c r="O250" t="s">
        <v>27</v>
      </c>
      <c r="P250" t="s">
        <v>28</v>
      </c>
      <c r="Q250">
        <v>83</v>
      </c>
      <c r="R250" s="25">
        <v>45</v>
      </c>
      <c r="S250" s="25">
        <v>100</v>
      </c>
      <c r="T250" s="24">
        <f t="shared" si="32"/>
        <v>0.45</v>
      </c>
      <c r="U250" s="25"/>
    </row>
    <row r="251" spans="1:21" ht="16" x14ac:dyDescent="0.15">
      <c r="A251" s="2">
        <v>95</v>
      </c>
      <c r="B251" s="8" t="s">
        <v>212</v>
      </c>
      <c r="C251" s="28" t="s">
        <v>213</v>
      </c>
      <c r="D251" s="8" t="s">
        <v>16</v>
      </c>
      <c r="E251" s="2" t="s">
        <v>26</v>
      </c>
      <c r="F251" s="9" t="str">
        <f t="shared" si="29"/>
        <v>FIN-RTS-084</v>
      </c>
      <c r="G251" s="2" t="s">
        <v>13</v>
      </c>
      <c r="H251" t="str">
        <f>IFERROR(VLOOKUP($D251,القوائم!$A$2:$B$4,2,0),"")</f>
        <v>FIN</v>
      </c>
      <c r="I251" t="str">
        <f t="shared" si="30"/>
        <v>RTS</v>
      </c>
      <c r="J251">
        <f>IF($H251="","",IF($N251=0,$Q251,SUMPRODUCT(($O$157:$O$590=$H251)*($P$157:$P$590=$I251)*$Q$157:$Q$590)+COUNTIFS($H$157:$H251,$H251,$I$157:$I251,$I251,$N$157:$N251,1)))</f>
        <v>84</v>
      </c>
      <c r="M251">
        <f>IF($I251="","",COUNTIF($I$5:$I251,$I251))</f>
        <v>84</v>
      </c>
      <c r="N251">
        <f t="shared" si="31"/>
        <v>0</v>
      </c>
      <c r="O251" t="s">
        <v>27</v>
      </c>
      <c r="P251" t="s">
        <v>28</v>
      </c>
      <c r="Q251">
        <v>84</v>
      </c>
      <c r="R251" s="25">
        <v>54</v>
      </c>
      <c r="S251" s="25">
        <v>100</v>
      </c>
      <c r="T251" s="24">
        <f t="shared" si="32"/>
        <v>0.54</v>
      </c>
      <c r="U251" s="25"/>
    </row>
    <row r="252" spans="1:21" ht="16" x14ac:dyDescent="0.15">
      <c r="A252" s="2">
        <v>96</v>
      </c>
      <c r="B252" s="8" t="s">
        <v>214</v>
      </c>
      <c r="C252" s="28" t="s">
        <v>215</v>
      </c>
      <c r="D252" s="8" t="s">
        <v>16</v>
      </c>
      <c r="E252" s="2" t="s">
        <v>26</v>
      </c>
      <c r="F252" s="9" t="str">
        <f t="shared" si="29"/>
        <v>FIN-RTS-085</v>
      </c>
      <c r="G252" s="2" t="s">
        <v>13</v>
      </c>
      <c r="H252" t="str">
        <f>IFERROR(VLOOKUP($D252,القوائم!$A$2:$B$4,2,0),"")</f>
        <v>FIN</v>
      </c>
      <c r="I252" t="str">
        <f t="shared" si="30"/>
        <v>RTS</v>
      </c>
      <c r="J252">
        <f>IF($H252="","",IF($N252=0,$Q252,SUMPRODUCT(($O$157:$O$590=$H252)*($P$157:$P$590=$I252)*$Q$157:$Q$590)+COUNTIFS($H$157:$H252,$H252,$I$157:$I252,$I252,$N$157:$N252,1)))</f>
        <v>85</v>
      </c>
      <c r="M252">
        <f>IF($I252="","",COUNTIF($I$5:$I252,$I252))</f>
        <v>85</v>
      </c>
      <c r="N252">
        <f t="shared" si="31"/>
        <v>0</v>
      </c>
      <c r="O252" t="s">
        <v>27</v>
      </c>
      <c r="P252" t="s">
        <v>28</v>
      </c>
      <c r="Q252">
        <v>85</v>
      </c>
      <c r="R252" s="25">
        <v>40</v>
      </c>
      <c r="S252" s="25">
        <v>100</v>
      </c>
      <c r="T252" s="24">
        <f t="shared" si="32"/>
        <v>0.4</v>
      </c>
      <c r="U252" s="25"/>
    </row>
    <row r="253" spans="1:21" ht="16" x14ac:dyDescent="0.15">
      <c r="A253" s="2">
        <v>97</v>
      </c>
      <c r="B253" s="8" t="s">
        <v>216</v>
      </c>
      <c r="C253" s="28" t="s">
        <v>217</v>
      </c>
      <c r="D253" s="8" t="s">
        <v>12</v>
      </c>
      <c r="E253" s="2" t="s">
        <v>218</v>
      </c>
      <c r="F253" s="9" t="str">
        <f t="shared" si="29"/>
        <v>RAW-FRZ-001</v>
      </c>
      <c r="G253" s="2" t="s">
        <v>13</v>
      </c>
      <c r="H253" t="str">
        <f>IFERROR(VLOOKUP($D253,القوائم!$A$2:$B$4,2,0),"")</f>
        <v>RAW</v>
      </c>
      <c r="I253" t="str">
        <f t="shared" si="30"/>
        <v>FRZ</v>
      </c>
      <c r="J253">
        <f>IF($H253="","",IF($N253=0,$Q253,SUMPRODUCT(($O$157:$O$590=$H253)*($P$157:$P$590=$I253)*$Q$157:$Q$590)+COUNTIFS($H$157:$H253,$H253,$I$157:$I253,$I253,$N$157:$N253,1)))</f>
        <v>1</v>
      </c>
      <c r="M253">
        <f>IF($I253="","",COUNTIF($I$5:$I253,$I253))</f>
        <v>1</v>
      </c>
      <c r="N253">
        <f t="shared" si="31"/>
        <v>0</v>
      </c>
      <c r="O253" t="s">
        <v>22</v>
      </c>
      <c r="P253" t="s">
        <v>219</v>
      </c>
      <c r="Q253">
        <v>1</v>
      </c>
      <c r="R253" s="25">
        <v>0</v>
      </c>
      <c r="S253" s="25">
        <v>100</v>
      </c>
      <c r="T253" s="24">
        <f t="shared" si="32"/>
        <v>0</v>
      </c>
      <c r="U253" s="25"/>
    </row>
    <row r="254" spans="1:21" ht="16" x14ac:dyDescent="0.15">
      <c r="A254" s="2">
        <v>98</v>
      </c>
      <c r="B254" s="8" t="s">
        <v>220</v>
      </c>
      <c r="C254" s="28" t="s">
        <v>221</v>
      </c>
      <c r="D254" s="8" t="s">
        <v>16</v>
      </c>
      <c r="E254" s="2" t="s">
        <v>26</v>
      </c>
      <c r="F254" s="9" t="str">
        <f t="shared" si="29"/>
        <v>FIN-RTS-086</v>
      </c>
      <c r="G254" s="2" t="s">
        <v>13</v>
      </c>
      <c r="H254" t="str">
        <f>IFERROR(VLOOKUP($D254,القوائم!$A$2:$B$4,2,0),"")</f>
        <v>FIN</v>
      </c>
      <c r="I254" t="str">
        <f t="shared" si="30"/>
        <v>RTS</v>
      </c>
      <c r="J254">
        <f>IF($H254="","",IF($N254=0,$Q254,SUMPRODUCT(($O$157:$O$590=$H254)*($P$157:$P$590=$I254)*$Q$157:$Q$590)+COUNTIFS($H$157:$H254,$H254,$I$157:$I254,$I254,$N$157:$N254,1)))</f>
        <v>86</v>
      </c>
      <c r="M254">
        <f>IF($I254="","",COUNTIF($I$5:$I254,$I254))</f>
        <v>86</v>
      </c>
      <c r="N254">
        <f t="shared" si="31"/>
        <v>0</v>
      </c>
      <c r="O254" t="s">
        <v>27</v>
      </c>
      <c r="P254" t="s">
        <v>28</v>
      </c>
      <c r="Q254">
        <v>86</v>
      </c>
      <c r="R254" s="25">
        <v>260</v>
      </c>
      <c r="S254" s="25">
        <v>100</v>
      </c>
      <c r="T254" s="24">
        <f t="shared" si="32"/>
        <v>2.6</v>
      </c>
      <c r="U254" s="25"/>
    </row>
    <row r="255" spans="1:21" ht="16" x14ac:dyDescent="0.15">
      <c r="A255" s="2">
        <v>99</v>
      </c>
      <c r="B255" s="8" t="s">
        <v>222</v>
      </c>
      <c r="C255" s="28" t="s">
        <v>223</v>
      </c>
      <c r="D255" s="8" t="s">
        <v>12</v>
      </c>
      <c r="E255" s="2" t="s">
        <v>137</v>
      </c>
      <c r="F255" s="9" t="str">
        <f t="shared" si="29"/>
        <v>RAW-CHL-002</v>
      </c>
      <c r="G255" s="2" t="s">
        <v>15</v>
      </c>
      <c r="H255" t="str">
        <f>IFERROR(VLOOKUP($D255,القوائم!$A$2:$B$4,2,0),"")</f>
        <v>RAW</v>
      </c>
      <c r="I255" t="str">
        <f t="shared" si="30"/>
        <v>CHL</v>
      </c>
      <c r="J255">
        <f>IF($H255="","",IF($N255=0,$Q255,SUMPRODUCT(($O$157:$O$590=$H255)*($P$157:$P$590=$I255)*$Q$157:$Q$590)+COUNTIFS($H$157:$H255,$H255,$I$157:$I255,$I255,$N$157:$N255,1)))</f>
        <v>2</v>
      </c>
      <c r="M255">
        <f>IF($I255="","",COUNTIF($I$5:$I255,$I255))</f>
        <v>7</v>
      </c>
      <c r="N255">
        <f t="shared" si="31"/>
        <v>0</v>
      </c>
      <c r="O255" t="s">
        <v>22</v>
      </c>
      <c r="P255" t="s">
        <v>139</v>
      </c>
      <c r="Q255">
        <v>2</v>
      </c>
      <c r="R255" s="25">
        <v>16</v>
      </c>
      <c r="S255" s="25">
        <v>100</v>
      </c>
      <c r="T255" s="24">
        <f t="shared" si="32"/>
        <v>0.16</v>
      </c>
      <c r="U255" s="25"/>
    </row>
    <row r="256" spans="1:21" ht="16" x14ac:dyDescent="0.15">
      <c r="A256" s="2">
        <v>100</v>
      </c>
      <c r="B256" s="8" t="s">
        <v>224</v>
      </c>
      <c r="C256" s="28" t="s">
        <v>225</v>
      </c>
      <c r="D256" s="8" t="s">
        <v>16</v>
      </c>
      <c r="E256" s="2" t="s">
        <v>26</v>
      </c>
      <c r="F256" s="9" t="str">
        <f t="shared" si="29"/>
        <v>FIN-RTS-087</v>
      </c>
      <c r="G256" s="2" t="s">
        <v>13</v>
      </c>
      <c r="H256" t="str">
        <f>IFERROR(VLOOKUP($D256,القوائم!$A$2:$B$4,2,0),"")</f>
        <v>FIN</v>
      </c>
      <c r="I256" t="str">
        <f t="shared" si="30"/>
        <v>RTS</v>
      </c>
      <c r="J256">
        <f>IF($H256="","",IF($N256=0,$Q256,SUMPRODUCT(($O$157:$O$590=$H256)*($P$157:$P$590=$I256)*$Q$157:$Q$590)+COUNTIFS($H$157:$H256,$H256,$I$157:$I256,$I256,$N$157:$N256,1)))</f>
        <v>87</v>
      </c>
      <c r="M256">
        <f>IF($I256="","",COUNTIF($I$5:$I256,$I256))</f>
        <v>87</v>
      </c>
      <c r="N256">
        <f t="shared" si="31"/>
        <v>0</v>
      </c>
      <c r="O256" t="s">
        <v>27</v>
      </c>
      <c r="P256" t="s">
        <v>28</v>
      </c>
      <c r="Q256">
        <v>87</v>
      </c>
      <c r="R256" s="25">
        <v>320</v>
      </c>
      <c r="S256" s="25">
        <v>100</v>
      </c>
      <c r="T256" s="24">
        <f t="shared" si="32"/>
        <v>3.2</v>
      </c>
      <c r="U256" s="25"/>
    </row>
    <row r="257" spans="1:21" ht="16" x14ac:dyDescent="0.15">
      <c r="A257" s="2">
        <v>101</v>
      </c>
      <c r="B257" s="8" t="s">
        <v>226</v>
      </c>
      <c r="C257" s="28" t="s">
        <v>227</v>
      </c>
      <c r="D257" s="8" t="s">
        <v>136</v>
      </c>
      <c r="E257" s="2" t="s">
        <v>137</v>
      </c>
      <c r="F257" s="9" t="str">
        <f t="shared" si="29"/>
        <v>TRN-CHL-006</v>
      </c>
      <c r="G257" s="2" t="s">
        <v>15</v>
      </c>
      <c r="H257" t="str">
        <f>IFERROR(VLOOKUP($D257,القوائم!$A$2:$B$4,2,0),"")</f>
        <v>TRN</v>
      </c>
      <c r="I257" t="str">
        <f t="shared" si="30"/>
        <v>CHL</v>
      </c>
      <c r="J257">
        <f>IF($H257="","",IF($N257=0,$Q257,SUMPRODUCT(($O$157:$O$590=$H257)*($P$157:$P$590=$I257)*$Q$157:$Q$590)+COUNTIFS($H$157:$H257,$H257,$I$157:$I257,$I257,$N$157:$N257,1)))</f>
        <v>6</v>
      </c>
      <c r="M257">
        <f>IF($I257="","",COUNTIF($I$5:$I257,$I257))</f>
        <v>8</v>
      </c>
      <c r="N257">
        <f t="shared" si="31"/>
        <v>0</v>
      </c>
      <c r="O257" t="s">
        <v>138</v>
      </c>
      <c r="P257" t="s">
        <v>139</v>
      </c>
      <c r="Q257">
        <v>6</v>
      </c>
      <c r="R257" s="25">
        <v>330</v>
      </c>
      <c r="S257" s="25">
        <v>100</v>
      </c>
      <c r="T257" s="24">
        <f t="shared" si="32"/>
        <v>3.3</v>
      </c>
      <c r="U257" s="25"/>
    </row>
    <row r="258" spans="1:21" ht="16" x14ac:dyDescent="0.15">
      <c r="A258" s="2">
        <v>102</v>
      </c>
      <c r="B258" s="8" t="s">
        <v>228</v>
      </c>
      <c r="C258" s="28" t="s">
        <v>229</v>
      </c>
      <c r="D258" s="8" t="s">
        <v>16</v>
      </c>
      <c r="E258" s="2" t="s">
        <v>26</v>
      </c>
      <c r="F258" s="9" t="str">
        <f t="shared" si="29"/>
        <v>FIN-RTS-088</v>
      </c>
      <c r="G258" s="2" t="s">
        <v>13</v>
      </c>
      <c r="H258" t="str">
        <f>IFERROR(VLOOKUP($D258,القوائم!$A$2:$B$4,2,0),"")</f>
        <v>FIN</v>
      </c>
      <c r="I258" t="str">
        <f t="shared" si="30"/>
        <v>RTS</v>
      </c>
      <c r="J258">
        <f>IF($H258="","",IF($N258=0,$Q258,SUMPRODUCT(($O$157:$O$590=$H258)*($P$157:$P$590=$I258)*$Q$157:$Q$590)+COUNTIFS($H$157:$H258,$H258,$I$157:$I258,$I258,$N$157:$N258,1)))</f>
        <v>88</v>
      </c>
      <c r="M258">
        <f>IF($I258="","",COUNTIF($I$5:$I258,$I258))</f>
        <v>88</v>
      </c>
      <c r="N258">
        <f t="shared" si="31"/>
        <v>0</v>
      </c>
      <c r="O258" t="s">
        <v>27</v>
      </c>
      <c r="P258" t="s">
        <v>28</v>
      </c>
      <c r="Q258">
        <v>88</v>
      </c>
      <c r="R258" s="25">
        <v>42</v>
      </c>
      <c r="S258" s="25">
        <v>100</v>
      </c>
      <c r="T258" s="24">
        <f t="shared" si="32"/>
        <v>0.42</v>
      </c>
      <c r="U258" s="25"/>
    </row>
    <row r="259" spans="1:21" ht="16" x14ac:dyDescent="0.15">
      <c r="A259" s="2">
        <v>103</v>
      </c>
      <c r="B259" s="8" t="s">
        <v>230</v>
      </c>
      <c r="C259" s="28" t="s">
        <v>231</v>
      </c>
      <c r="D259" s="8" t="s">
        <v>16</v>
      </c>
      <c r="E259" s="2" t="s">
        <v>26</v>
      </c>
      <c r="F259" s="9" t="str">
        <f t="shared" si="29"/>
        <v>FIN-RTS-089</v>
      </c>
      <c r="G259" s="2" t="s">
        <v>13</v>
      </c>
      <c r="H259" t="str">
        <f>IFERROR(VLOOKUP($D259,القوائم!$A$2:$B$4,2,0),"")</f>
        <v>FIN</v>
      </c>
      <c r="I259" t="str">
        <f t="shared" si="30"/>
        <v>RTS</v>
      </c>
      <c r="J259">
        <f>IF($H259="","",IF($N259=0,$Q259,SUMPRODUCT(($O$157:$O$590=$H259)*($P$157:$P$590=$I259)*$Q$157:$Q$590)+COUNTIFS($H$157:$H259,$H259,$I$157:$I259,$I259,$N$157:$N259,1)))</f>
        <v>89</v>
      </c>
      <c r="M259">
        <f>IF($I259="","",COUNTIF($I$5:$I259,$I259))</f>
        <v>89</v>
      </c>
      <c r="N259">
        <f t="shared" si="31"/>
        <v>0</v>
      </c>
      <c r="O259" t="s">
        <v>27</v>
      </c>
      <c r="P259" t="s">
        <v>28</v>
      </c>
      <c r="Q259">
        <v>89</v>
      </c>
      <c r="R259" s="25">
        <v>0</v>
      </c>
      <c r="S259" s="25">
        <v>100</v>
      </c>
      <c r="T259" s="24">
        <f t="shared" si="32"/>
        <v>0</v>
      </c>
      <c r="U259" s="25"/>
    </row>
    <row r="260" spans="1:21" ht="16" x14ac:dyDescent="0.15">
      <c r="A260" s="2">
        <v>104</v>
      </c>
      <c r="B260" s="8" t="s">
        <v>232</v>
      </c>
      <c r="C260" s="28" t="s">
        <v>233</v>
      </c>
      <c r="D260" s="8" t="s">
        <v>16</v>
      </c>
      <c r="E260" s="2" t="s">
        <v>26</v>
      </c>
      <c r="F260" s="9" t="str">
        <f t="shared" si="29"/>
        <v>FIN-RTS-090</v>
      </c>
      <c r="G260" s="2" t="s">
        <v>13</v>
      </c>
      <c r="H260" t="str">
        <f>IFERROR(VLOOKUP($D260,القوائم!$A$2:$B$4,2,0),"")</f>
        <v>FIN</v>
      </c>
      <c r="I260" t="str">
        <f t="shared" si="30"/>
        <v>RTS</v>
      </c>
      <c r="J260">
        <f>IF($H260="","",IF($N260=0,$Q260,SUMPRODUCT(($O$157:$O$590=$H260)*($P$157:$P$590=$I260)*$Q$157:$Q$590)+COUNTIFS($H$157:$H260,$H260,$I$157:$I260,$I260,$N$157:$N260,1)))</f>
        <v>90</v>
      </c>
      <c r="M260">
        <f>IF($I260="","",COUNTIF($I$5:$I260,$I260))</f>
        <v>90</v>
      </c>
      <c r="N260">
        <f t="shared" si="31"/>
        <v>0</v>
      </c>
      <c r="O260" t="s">
        <v>27</v>
      </c>
      <c r="P260" t="s">
        <v>28</v>
      </c>
      <c r="Q260">
        <v>90</v>
      </c>
      <c r="R260" s="25">
        <v>0</v>
      </c>
      <c r="S260" s="25">
        <v>100</v>
      </c>
      <c r="T260" s="24">
        <f t="shared" si="32"/>
        <v>0</v>
      </c>
      <c r="U260" s="25"/>
    </row>
    <row r="261" spans="1:21" ht="16" x14ac:dyDescent="0.15">
      <c r="A261" s="2">
        <v>105</v>
      </c>
      <c r="B261" s="8" t="s">
        <v>234</v>
      </c>
      <c r="C261" s="28" t="s">
        <v>235</v>
      </c>
      <c r="D261" s="8" t="s">
        <v>16</v>
      </c>
      <c r="E261" s="2" t="s">
        <v>26</v>
      </c>
      <c r="F261" s="9" t="str">
        <f t="shared" si="29"/>
        <v>FIN-RTS-091</v>
      </c>
      <c r="G261" s="2" t="s">
        <v>13</v>
      </c>
      <c r="H261" t="str">
        <f>IFERROR(VLOOKUP($D261,القوائم!$A$2:$B$4,2,0),"")</f>
        <v>FIN</v>
      </c>
      <c r="I261" t="str">
        <f t="shared" si="30"/>
        <v>RTS</v>
      </c>
      <c r="J261">
        <f>IF($H261="","",IF($N261=0,$Q261,SUMPRODUCT(($O$157:$O$590=$H261)*($P$157:$P$590=$I261)*$Q$157:$Q$590)+COUNTIFS($H$157:$H261,$H261,$I$157:$I261,$I261,$N$157:$N261,1)))</f>
        <v>91</v>
      </c>
      <c r="M261">
        <f>IF($I261="","",COUNTIF($I$5:$I261,$I261))</f>
        <v>91</v>
      </c>
      <c r="N261">
        <f t="shared" si="31"/>
        <v>0</v>
      </c>
      <c r="O261" t="s">
        <v>27</v>
      </c>
      <c r="P261" t="s">
        <v>28</v>
      </c>
      <c r="Q261">
        <v>91</v>
      </c>
      <c r="R261" s="25">
        <v>170</v>
      </c>
      <c r="S261" s="25">
        <v>100</v>
      </c>
      <c r="T261" s="24">
        <f t="shared" si="32"/>
        <v>1.7</v>
      </c>
      <c r="U261" s="25"/>
    </row>
    <row r="262" spans="1:21" ht="16" x14ac:dyDescent="0.15">
      <c r="A262" s="2">
        <v>106</v>
      </c>
      <c r="B262" s="8" t="s">
        <v>236</v>
      </c>
      <c r="C262" s="28" t="s">
        <v>237</v>
      </c>
      <c r="D262" s="8" t="s">
        <v>16</v>
      </c>
      <c r="E262" s="2" t="s">
        <v>26</v>
      </c>
      <c r="F262" s="9" t="str">
        <f t="shared" si="29"/>
        <v>FIN-RTS-092</v>
      </c>
      <c r="G262" s="2" t="s">
        <v>13</v>
      </c>
      <c r="H262" t="str">
        <f>IFERROR(VLOOKUP($D262,القوائم!$A$2:$B$4,2,0),"")</f>
        <v>FIN</v>
      </c>
      <c r="I262" t="str">
        <f t="shared" si="30"/>
        <v>RTS</v>
      </c>
      <c r="J262">
        <f>IF($H262="","",IF($N262=0,$Q262,SUMPRODUCT(($O$157:$O$590=$H262)*($P$157:$P$590=$I262)*$Q$157:$Q$590)+COUNTIFS($H$157:$H262,$H262,$I$157:$I262,$I262,$N$157:$N262,1)))</f>
        <v>92</v>
      </c>
      <c r="M262">
        <f>IF($I262="","",COUNTIF($I$5:$I262,$I262))</f>
        <v>92</v>
      </c>
      <c r="N262">
        <f t="shared" si="31"/>
        <v>0</v>
      </c>
      <c r="O262" t="s">
        <v>27</v>
      </c>
      <c r="P262" t="s">
        <v>28</v>
      </c>
      <c r="Q262">
        <v>92</v>
      </c>
      <c r="R262" s="25">
        <v>0</v>
      </c>
      <c r="S262" s="25">
        <v>100</v>
      </c>
      <c r="T262" s="24">
        <f t="shared" si="32"/>
        <v>0</v>
      </c>
      <c r="U262" s="25"/>
    </row>
    <row r="263" spans="1:21" ht="16" x14ac:dyDescent="0.15">
      <c r="A263" s="2">
        <v>107</v>
      </c>
      <c r="B263" s="8" t="s">
        <v>238</v>
      </c>
      <c r="C263" s="28" t="s">
        <v>239</v>
      </c>
      <c r="D263" s="8" t="s">
        <v>16</v>
      </c>
      <c r="E263" s="2" t="s">
        <v>26</v>
      </c>
      <c r="F263" s="9" t="str">
        <f t="shared" si="29"/>
        <v>FIN-RTS-093</v>
      </c>
      <c r="G263" s="2" t="s">
        <v>13</v>
      </c>
      <c r="H263" t="str">
        <f>IFERROR(VLOOKUP($D263,القوائم!$A$2:$B$4,2,0),"")</f>
        <v>FIN</v>
      </c>
      <c r="I263" t="str">
        <f t="shared" si="30"/>
        <v>RTS</v>
      </c>
      <c r="J263">
        <f>IF($H263="","",IF($N263=0,$Q263,SUMPRODUCT(($O$157:$O$590=$H263)*($P$157:$P$590=$I263)*$Q$157:$Q$590)+COUNTIFS($H$157:$H263,$H263,$I$157:$I263,$I263,$N$157:$N263,1)))</f>
        <v>93</v>
      </c>
      <c r="M263">
        <f>IF($I263="","",COUNTIF($I$5:$I263,$I263))</f>
        <v>93</v>
      </c>
      <c r="N263">
        <f t="shared" si="31"/>
        <v>0</v>
      </c>
      <c r="O263" t="s">
        <v>27</v>
      </c>
      <c r="P263" t="s">
        <v>28</v>
      </c>
      <c r="Q263">
        <v>93</v>
      </c>
      <c r="R263" s="25">
        <v>0</v>
      </c>
      <c r="S263" s="25">
        <v>100</v>
      </c>
      <c r="T263" s="24">
        <f t="shared" si="32"/>
        <v>0</v>
      </c>
      <c r="U263" s="25"/>
    </row>
    <row r="264" spans="1:21" ht="16" x14ac:dyDescent="0.15">
      <c r="A264" s="2">
        <v>108</v>
      </c>
      <c r="B264" s="8" t="s">
        <v>240</v>
      </c>
      <c r="C264" s="28" t="s">
        <v>241</v>
      </c>
      <c r="D264" s="8" t="s">
        <v>16</v>
      </c>
      <c r="E264" s="2" t="s">
        <v>26</v>
      </c>
      <c r="F264" s="9" t="str">
        <f t="shared" si="29"/>
        <v>FIN-RTS-094</v>
      </c>
      <c r="G264" s="2" t="s">
        <v>13</v>
      </c>
      <c r="H264" t="str">
        <f>IFERROR(VLOOKUP($D264,القوائم!$A$2:$B$4,2,0),"")</f>
        <v>FIN</v>
      </c>
      <c r="I264" t="str">
        <f t="shared" si="30"/>
        <v>RTS</v>
      </c>
      <c r="J264">
        <f>IF($H264="","",IF($N264=0,$Q264,SUMPRODUCT(($O$157:$O$590=$H264)*($P$157:$P$590=$I264)*$Q$157:$Q$590)+COUNTIFS($H$157:$H264,$H264,$I$157:$I264,$I264,$N$157:$N264,1)))</f>
        <v>94</v>
      </c>
      <c r="M264">
        <f>IF($I264="","",COUNTIF($I$5:$I264,$I264))</f>
        <v>94</v>
      </c>
      <c r="N264">
        <f t="shared" si="31"/>
        <v>0</v>
      </c>
      <c r="O264" t="s">
        <v>27</v>
      </c>
      <c r="P264" t="s">
        <v>28</v>
      </c>
      <c r="Q264">
        <v>94</v>
      </c>
      <c r="R264" s="25">
        <v>0</v>
      </c>
      <c r="S264" s="25">
        <v>100</v>
      </c>
      <c r="T264" s="24">
        <f t="shared" si="32"/>
        <v>0</v>
      </c>
      <c r="U264" s="25"/>
    </row>
    <row r="265" spans="1:21" ht="16" x14ac:dyDescent="0.15">
      <c r="A265" s="2">
        <v>109</v>
      </c>
      <c r="B265" s="8" t="s">
        <v>242</v>
      </c>
      <c r="C265" s="28" t="s">
        <v>243</v>
      </c>
      <c r="D265" s="8" t="s">
        <v>16</v>
      </c>
      <c r="E265" s="2" t="s">
        <v>26</v>
      </c>
      <c r="F265" s="9" t="str">
        <f t="shared" si="29"/>
        <v>FIN-RTS-095</v>
      </c>
      <c r="G265" s="2" t="s">
        <v>13</v>
      </c>
      <c r="H265" t="str">
        <f>IFERROR(VLOOKUP($D265,القوائم!$A$2:$B$4,2,0),"")</f>
        <v>FIN</v>
      </c>
      <c r="I265" t="str">
        <f t="shared" si="30"/>
        <v>RTS</v>
      </c>
      <c r="J265">
        <f>IF($H265="","",IF($N265=0,$Q265,SUMPRODUCT(($O$157:$O$590=$H265)*($P$157:$P$590=$I265)*$Q$157:$Q$590)+COUNTIFS($H$157:$H265,$H265,$I$157:$I265,$I265,$N$157:$N265,1)))</f>
        <v>95</v>
      </c>
      <c r="M265">
        <f>IF($I265="","",COUNTIF($I$5:$I265,$I265))</f>
        <v>95</v>
      </c>
      <c r="N265">
        <f t="shared" si="31"/>
        <v>0</v>
      </c>
      <c r="O265" t="s">
        <v>27</v>
      </c>
      <c r="P265" t="s">
        <v>28</v>
      </c>
      <c r="Q265">
        <v>95</v>
      </c>
      <c r="R265" s="25">
        <v>180</v>
      </c>
      <c r="S265" s="25">
        <v>100</v>
      </c>
      <c r="T265" s="24">
        <f t="shared" si="32"/>
        <v>1.8</v>
      </c>
      <c r="U265" s="25"/>
    </row>
    <row r="266" spans="1:21" ht="16" x14ac:dyDescent="0.15">
      <c r="A266" s="2">
        <v>110</v>
      </c>
      <c r="B266" s="8" t="s">
        <v>244</v>
      </c>
      <c r="C266" s="28" t="s">
        <v>245</v>
      </c>
      <c r="D266" s="8" t="s">
        <v>16</v>
      </c>
      <c r="E266" s="2" t="s">
        <v>26</v>
      </c>
      <c r="F266" s="9" t="str">
        <f t="shared" si="29"/>
        <v>FIN-RTS-096</v>
      </c>
      <c r="G266" s="2" t="s">
        <v>13</v>
      </c>
      <c r="H266" t="str">
        <f>IFERROR(VLOOKUP($D266,القوائم!$A$2:$B$4,2,0),"")</f>
        <v>FIN</v>
      </c>
      <c r="I266" t="str">
        <f t="shared" si="30"/>
        <v>RTS</v>
      </c>
      <c r="J266">
        <f>IF($H266="","",IF($N266=0,$Q266,SUMPRODUCT(($O$157:$O$590=$H266)*($P$157:$P$590=$I266)*$Q$157:$Q$590)+COUNTIFS($H$157:$H266,$H266,$I$157:$I266,$I266,$N$157:$N266,1)))</f>
        <v>96</v>
      </c>
      <c r="M266">
        <f>IF($I266="","",COUNTIF($I$5:$I266,$I266))</f>
        <v>96</v>
      </c>
      <c r="N266">
        <f t="shared" si="31"/>
        <v>0</v>
      </c>
      <c r="O266" t="s">
        <v>27</v>
      </c>
      <c r="P266" t="s">
        <v>28</v>
      </c>
      <c r="Q266">
        <v>96</v>
      </c>
      <c r="R266" s="25">
        <v>180</v>
      </c>
      <c r="S266" s="25">
        <v>100</v>
      </c>
      <c r="T266" s="24">
        <f t="shared" si="32"/>
        <v>1.8</v>
      </c>
      <c r="U266" s="25"/>
    </row>
    <row r="267" spans="1:21" ht="17" x14ac:dyDescent="0.15">
      <c r="A267" s="2">
        <v>111</v>
      </c>
      <c r="B267" s="8" t="s">
        <v>246</v>
      </c>
      <c r="C267" s="28" t="s">
        <v>247</v>
      </c>
      <c r="D267" s="8" t="s">
        <v>12</v>
      </c>
      <c r="E267" s="2" t="s">
        <v>14</v>
      </c>
      <c r="F267" s="9" t="str">
        <f t="shared" si="29"/>
        <v>RAW-CNS-006</v>
      </c>
      <c r="G267" s="2" t="s">
        <v>13</v>
      </c>
      <c r="H267" t="str">
        <f>IFERROR(VLOOKUP($D267,القوائم!$A$2:$B$4,2,0),"")</f>
        <v>RAW</v>
      </c>
      <c r="I267" t="str">
        <f t="shared" si="30"/>
        <v>CNS</v>
      </c>
      <c r="J267">
        <f>IF($H267="","",IF($N267=0,$Q267,SUMPRODUCT(($O$157:$O$590=$H267)*($P$157:$P$590=$I267)*$Q$157:$Q$590)+COUNTIFS($H$157:$H267,$H267,$I$157:$I267,$I267,$N$157:$N267,1)))</f>
        <v>6</v>
      </c>
      <c r="M267">
        <f>IF($I267="","",COUNTIF($I$5:$I267,$I267))</f>
        <v>7</v>
      </c>
      <c r="N267">
        <f t="shared" si="31"/>
        <v>0</v>
      </c>
      <c r="O267" t="s">
        <v>22</v>
      </c>
      <c r="P267" t="s">
        <v>23</v>
      </c>
      <c r="Q267">
        <v>6</v>
      </c>
      <c r="R267" s="25"/>
      <c r="S267" s="25"/>
      <c r="T267" s="24" t="str">
        <f t="shared" si="32"/>
        <v/>
      </c>
      <c r="U267" s="25"/>
    </row>
    <row r="268" spans="1:21" ht="17" x14ac:dyDescent="0.15">
      <c r="A268" s="2">
        <v>112</v>
      </c>
      <c r="B268" s="8" t="s">
        <v>248</v>
      </c>
      <c r="C268" s="28" t="s">
        <v>249</v>
      </c>
      <c r="D268" s="8" t="s">
        <v>12</v>
      </c>
      <c r="E268" s="2" t="s">
        <v>14</v>
      </c>
      <c r="F268" s="9" t="str">
        <f t="shared" si="29"/>
        <v>RAW-CNS-007</v>
      </c>
      <c r="G268" s="2" t="s">
        <v>13</v>
      </c>
      <c r="H268" t="str">
        <f>IFERROR(VLOOKUP($D268,القوائم!$A$2:$B$4,2,0),"")</f>
        <v>RAW</v>
      </c>
      <c r="I268" t="str">
        <f t="shared" si="30"/>
        <v>CNS</v>
      </c>
      <c r="J268">
        <f>IF($H268="","",IF($N268=0,$Q268,SUMPRODUCT(($O$157:$O$590=$H268)*($P$157:$P$590=$I268)*$Q$157:$Q$590)+COUNTIFS($H$157:$H268,$H268,$I$157:$I268,$I268,$N$157:$N268,1)))</f>
        <v>7</v>
      </c>
      <c r="M268">
        <f>IF($I268="","",COUNTIF($I$5:$I268,$I268))</f>
        <v>8</v>
      </c>
      <c r="N268">
        <f t="shared" si="31"/>
        <v>0</v>
      </c>
      <c r="O268" t="s">
        <v>22</v>
      </c>
      <c r="P268" t="s">
        <v>23</v>
      </c>
      <c r="Q268">
        <v>7</v>
      </c>
      <c r="R268" s="25"/>
      <c r="S268" s="25"/>
      <c r="T268" s="24" t="str">
        <f t="shared" si="32"/>
        <v/>
      </c>
      <c r="U268" s="25"/>
    </row>
    <row r="269" spans="1:21" ht="16" x14ac:dyDescent="0.15">
      <c r="A269" s="2">
        <v>113</v>
      </c>
      <c r="B269" s="8" t="s">
        <v>250</v>
      </c>
      <c r="C269" s="28" t="s">
        <v>251</v>
      </c>
      <c r="D269" s="8" t="s">
        <v>16</v>
      </c>
      <c r="E269" s="2" t="s">
        <v>26</v>
      </c>
      <c r="F269" s="9" t="str">
        <f t="shared" si="29"/>
        <v>FIN-RTS-097</v>
      </c>
      <c r="G269" s="2" t="s">
        <v>13</v>
      </c>
      <c r="H269" t="str">
        <f>IFERROR(VLOOKUP($D269,القوائم!$A$2:$B$4,2,0),"")</f>
        <v>FIN</v>
      </c>
      <c r="I269" t="str">
        <f t="shared" si="30"/>
        <v>RTS</v>
      </c>
      <c r="J269">
        <f>IF($H269="","",IF($N269=0,$Q269,SUMPRODUCT(($O$157:$O$590=$H269)*($P$157:$P$590=$I269)*$Q$157:$Q$590)+COUNTIFS($H$157:$H269,$H269,$I$157:$I269,$I269,$N$157:$N269,1)))</f>
        <v>97</v>
      </c>
      <c r="M269">
        <f>IF($I269="","",COUNTIF($I$5:$I269,$I269))</f>
        <v>97</v>
      </c>
      <c r="N269">
        <f t="shared" si="31"/>
        <v>0</v>
      </c>
      <c r="O269" t="s">
        <v>27</v>
      </c>
      <c r="P269" t="s">
        <v>28</v>
      </c>
      <c r="Q269">
        <v>97</v>
      </c>
      <c r="R269" s="25">
        <v>45</v>
      </c>
      <c r="S269" s="25">
        <v>100</v>
      </c>
      <c r="T269" s="24">
        <f t="shared" si="32"/>
        <v>0.45</v>
      </c>
      <c r="U269" s="25"/>
    </row>
    <row r="270" spans="1:21" ht="17" x14ac:dyDescent="0.15">
      <c r="A270" s="2">
        <v>114</v>
      </c>
      <c r="B270" s="8" t="s">
        <v>252</v>
      </c>
      <c r="C270" s="28" t="s">
        <v>253</v>
      </c>
      <c r="D270" s="8" t="s">
        <v>12</v>
      </c>
      <c r="E270" s="2" t="s">
        <v>14</v>
      </c>
      <c r="F270" s="9" t="str">
        <f t="shared" si="29"/>
        <v>RAW-CNS-008</v>
      </c>
      <c r="G270" s="2" t="s">
        <v>13</v>
      </c>
      <c r="H270" t="str">
        <f>IFERROR(VLOOKUP($D270,القوائم!$A$2:$B$4,2,0),"")</f>
        <v>RAW</v>
      </c>
      <c r="I270" t="str">
        <f t="shared" si="30"/>
        <v>CNS</v>
      </c>
      <c r="J270">
        <f>IF($H270="","",IF($N270=0,$Q270,SUMPRODUCT(($O$157:$O$590=$H270)*($P$157:$P$590=$I270)*$Q$157:$Q$590)+COUNTIFS($H$157:$H270,$H270,$I$157:$I270,$I270,$N$157:$N270,1)))</f>
        <v>8</v>
      </c>
      <c r="M270">
        <f>IF($I270="","",COUNTIF($I$5:$I270,$I270))</f>
        <v>9</v>
      </c>
      <c r="N270">
        <f t="shared" si="31"/>
        <v>0</v>
      </c>
      <c r="O270" t="s">
        <v>22</v>
      </c>
      <c r="P270" t="s">
        <v>23</v>
      </c>
      <c r="Q270">
        <v>8</v>
      </c>
      <c r="R270" s="25"/>
      <c r="S270" s="25"/>
      <c r="T270" s="24" t="str">
        <f t="shared" si="32"/>
        <v/>
      </c>
      <c r="U270" s="25"/>
    </row>
    <row r="271" spans="1:21" ht="17" x14ac:dyDescent="0.15">
      <c r="A271" s="2">
        <v>115</v>
      </c>
      <c r="B271" s="8" t="s">
        <v>254</v>
      </c>
      <c r="C271" s="28" t="s">
        <v>255</v>
      </c>
      <c r="D271" s="8" t="s">
        <v>12</v>
      </c>
      <c r="E271" s="2" t="s">
        <v>14</v>
      </c>
      <c r="F271" s="9" t="str">
        <f t="shared" si="29"/>
        <v>RAW-CNS-009</v>
      </c>
      <c r="G271" s="2" t="s">
        <v>13</v>
      </c>
      <c r="H271" t="str">
        <f>IFERROR(VLOOKUP($D271,القوائم!$A$2:$B$4,2,0),"")</f>
        <v>RAW</v>
      </c>
      <c r="I271" t="str">
        <f t="shared" si="30"/>
        <v>CNS</v>
      </c>
      <c r="J271">
        <f>IF($H271="","",IF($N271=0,$Q271,SUMPRODUCT(($O$157:$O$590=$H271)*($P$157:$P$590=$I271)*$Q$157:$Q$590)+COUNTIFS($H$157:$H271,$H271,$I$157:$I271,$I271,$N$157:$N271,1)))</f>
        <v>9</v>
      </c>
      <c r="M271">
        <f>IF($I271="","",COUNTIF($I$5:$I271,$I271))</f>
        <v>10</v>
      </c>
      <c r="N271">
        <f t="shared" si="31"/>
        <v>0</v>
      </c>
      <c r="O271" t="s">
        <v>22</v>
      </c>
      <c r="P271" t="s">
        <v>23</v>
      </c>
      <c r="Q271">
        <v>9</v>
      </c>
      <c r="R271" s="25"/>
      <c r="S271" s="25"/>
      <c r="T271" s="24" t="str">
        <f t="shared" si="32"/>
        <v/>
      </c>
      <c r="U271" s="25"/>
    </row>
    <row r="272" spans="1:21" ht="17" x14ac:dyDescent="0.15">
      <c r="A272" s="2">
        <v>116</v>
      </c>
      <c r="B272" s="8" t="s">
        <v>256</v>
      </c>
      <c r="C272" s="28" t="s">
        <v>257</v>
      </c>
      <c r="D272" s="8" t="s">
        <v>12</v>
      </c>
      <c r="E272" s="2" t="s">
        <v>14</v>
      </c>
      <c r="F272" s="9" t="str">
        <f t="shared" si="29"/>
        <v>RAW-CNS-010</v>
      </c>
      <c r="G272" s="2" t="s">
        <v>13</v>
      </c>
      <c r="H272" t="str">
        <f>IFERROR(VLOOKUP($D272,القوائم!$A$2:$B$4,2,0),"")</f>
        <v>RAW</v>
      </c>
      <c r="I272" t="str">
        <f t="shared" si="30"/>
        <v>CNS</v>
      </c>
      <c r="J272">
        <f>IF($H272="","",IF($N272=0,$Q272,SUMPRODUCT(($O$157:$O$590=$H272)*($P$157:$P$590=$I272)*$Q$157:$Q$590)+COUNTIFS($H$157:$H272,$H272,$I$157:$I272,$I272,$N$157:$N272,1)))</f>
        <v>10</v>
      </c>
      <c r="M272">
        <f>IF($I272="","",COUNTIF($I$5:$I272,$I272))</f>
        <v>11</v>
      </c>
      <c r="N272">
        <f t="shared" si="31"/>
        <v>0</v>
      </c>
      <c r="O272" t="s">
        <v>22</v>
      </c>
      <c r="P272" t="s">
        <v>23</v>
      </c>
      <c r="Q272">
        <v>10</v>
      </c>
      <c r="R272" s="25"/>
      <c r="S272" s="25"/>
      <c r="T272" s="24" t="str">
        <f t="shared" si="32"/>
        <v/>
      </c>
      <c r="U272" s="25"/>
    </row>
    <row r="273" spans="1:21" ht="17" x14ac:dyDescent="0.15">
      <c r="A273" s="2">
        <v>117</v>
      </c>
      <c r="B273" s="8" t="s">
        <v>258</v>
      </c>
      <c r="C273" s="28" t="s">
        <v>259</v>
      </c>
      <c r="D273" s="8" t="s">
        <v>12</v>
      </c>
      <c r="E273" s="2" t="s">
        <v>14</v>
      </c>
      <c r="F273" s="9" t="str">
        <f t="shared" si="29"/>
        <v>RAW-CNS-011</v>
      </c>
      <c r="G273" s="2" t="s">
        <v>13</v>
      </c>
      <c r="H273" t="str">
        <f>IFERROR(VLOOKUP($D273,القوائم!$A$2:$B$4,2,0),"")</f>
        <v>RAW</v>
      </c>
      <c r="I273" t="str">
        <f t="shared" si="30"/>
        <v>CNS</v>
      </c>
      <c r="J273">
        <f>IF($H273="","",IF($N273=0,$Q273,SUMPRODUCT(($O$157:$O$590=$H273)*($P$157:$P$590=$I273)*$Q$157:$Q$590)+COUNTIFS($H$157:$H273,$H273,$I$157:$I273,$I273,$N$157:$N273,1)))</f>
        <v>11</v>
      </c>
      <c r="M273">
        <f>IF($I273="","",COUNTIF($I$5:$I273,$I273))</f>
        <v>12</v>
      </c>
      <c r="N273">
        <f t="shared" si="31"/>
        <v>0</v>
      </c>
      <c r="O273" t="s">
        <v>22</v>
      </c>
      <c r="P273" t="s">
        <v>23</v>
      </c>
      <c r="Q273">
        <v>11</v>
      </c>
      <c r="R273" s="25"/>
      <c r="S273" s="25"/>
      <c r="T273" s="24" t="str">
        <f t="shared" si="32"/>
        <v/>
      </c>
      <c r="U273" s="25"/>
    </row>
    <row r="274" spans="1:21" ht="17" x14ac:dyDescent="0.15">
      <c r="A274" s="2">
        <v>118</v>
      </c>
      <c r="B274" s="8" t="s">
        <v>260</v>
      </c>
      <c r="C274" s="28" t="s">
        <v>259</v>
      </c>
      <c r="D274" s="8" t="s">
        <v>12</v>
      </c>
      <c r="E274" s="2" t="s">
        <v>14</v>
      </c>
      <c r="F274" s="9" t="str">
        <f t="shared" si="29"/>
        <v>RAW-CNS-012</v>
      </c>
      <c r="G274" s="2" t="s">
        <v>13</v>
      </c>
      <c r="H274" t="str">
        <f>IFERROR(VLOOKUP($D274,القوائم!$A$2:$B$4,2,0),"")</f>
        <v>RAW</v>
      </c>
      <c r="I274" t="str">
        <f t="shared" si="30"/>
        <v>CNS</v>
      </c>
      <c r="J274">
        <f>IF($H274="","",IF($N274=0,$Q274,SUMPRODUCT(($O$157:$O$590=$H274)*($P$157:$P$590=$I274)*$Q$157:$Q$590)+COUNTIFS($H$157:$H274,$H274,$I$157:$I274,$I274,$N$157:$N274,1)))</f>
        <v>12</v>
      </c>
      <c r="M274">
        <f>IF($I274="","",COUNTIF($I$5:$I274,$I274))</f>
        <v>13</v>
      </c>
      <c r="N274">
        <f t="shared" si="31"/>
        <v>0</v>
      </c>
      <c r="O274" t="s">
        <v>22</v>
      </c>
      <c r="P274" t="s">
        <v>23</v>
      </c>
      <c r="Q274">
        <v>12</v>
      </c>
      <c r="R274" s="25"/>
      <c r="S274" s="25"/>
      <c r="T274" s="24" t="str">
        <f t="shared" si="32"/>
        <v/>
      </c>
      <c r="U274" s="25"/>
    </row>
    <row r="275" spans="1:21" ht="17" x14ac:dyDescent="0.15">
      <c r="A275" s="2">
        <v>119</v>
      </c>
      <c r="B275" s="8" t="s">
        <v>261</v>
      </c>
      <c r="C275" s="28" t="s">
        <v>262</v>
      </c>
      <c r="D275" s="8" t="s">
        <v>12</v>
      </c>
      <c r="E275" s="2" t="s">
        <v>14</v>
      </c>
      <c r="F275" s="9" t="str">
        <f t="shared" si="29"/>
        <v>RAW-CNS-013</v>
      </c>
      <c r="G275" s="2" t="s">
        <v>13</v>
      </c>
      <c r="H275" t="str">
        <f>IFERROR(VLOOKUP($D275,القوائم!$A$2:$B$4,2,0),"")</f>
        <v>RAW</v>
      </c>
      <c r="I275" t="str">
        <f t="shared" si="30"/>
        <v>CNS</v>
      </c>
      <c r="J275">
        <f>IF($H275="","",IF($N275=0,$Q275,SUMPRODUCT(($O$157:$O$590=$H275)*($P$157:$P$590=$I275)*$Q$157:$Q$590)+COUNTIFS($H$157:$H275,$H275,$I$157:$I275,$I275,$N$157:$N275,1)))</f>
        <v>13</v>
      </c>
      <c r="M275">
        <f>IF($I275="","",COUNTIF($I$5:$I275,$I275))</f>
        <v>14</v>
      </c>
      <c r="N275">
        <f t="shared" si="31"/>
        <v>0</v>
      </c>
      <c r="O275" t="s">
        <v>22</v>
      </c>
      <c r="P275" t="s">
        <v>23</v>
      </c>
      <c r="Q275">
        <v>13</v>
      </c>
      <c r="R275" s="25"/>
      <c r="S275" s="25"/>
      <c r="T275" s="24" t="str">
        <f t="shared" si="32"/>
        <v/>
      </c>
      <c r="U275" s="25"/>
    </row>
    <row r="276" spans="1:21" ht="16" x14ac:dyDescent="0.15">
      <c r="A276" s="2">
        <v>120</v>
      </c>
      <c r="B276" s="8" t="s">
        <v>263</v>
      </c>
      <c r="C276" s="28" t="s">
        <v>264</v>
      </c>
      <c r="D276" s="8" t="s">
        <v>12</v>
      </c>
      <c r="E276" s="2" t="s">
        <v>265</v>
      </c>
      <c r="F276" s="9" t="str">
        <f t="shared" si="29"/>
        <v>RAW-DRY-001</v>
      </c>
      <c r="G276" s="2" t="s">
        <v>15</v>
      </c>
      <c r="H276" t="str">
        <f>IFERROR(VLOOKUP($D276,القوائم!$A$2:$B$4,2,0),"")</f>
        <v>RAW</v>
      </c>
      <c r="I276" t="str">
        <f t="shared" si="30"/>
        <v>DRY</v>
      </c>
      <c r="J276">
        <f>IF($H276="","",IF($N276=0,$Q276,SUMPRODUCT(($O$157:$O$590=$H276)*($P$157:$P$590=$I276)*$Q$157:$Q$590)+COUNTIFS($H$157:$H276,$H276,$I$157:$I276,$I276,$N$157:$N276,1)))</f>
        <v>1</v>
      </c>
      <c r="M276">
        <f>IF($I276="","",COUNTIF($I$5:$I276,$I276))</f>
        <v>2</v>
      </c>
      <c r="N276">
        <f t="shared" si="31"/>
        <v>0</v>
      </c>
      <c r="O276" t="s">
        <v>22</v>
      </c>
      <c r="P276" t="s">
        <v>266</v>
      </c>
      <c r="Q276">
        <v>1</v>
      </c>
      <c r="R276" s="25">
        <v>131</v>
      </c>
      <c r="S276" s="25">
        <v>100</v>
      </c>
      <c r="T276" s="24">
        <f t="shared" si="32"/>
        <v>1.31</v>
      </c>
      <c r="U276" s="25"/>
    </row>
    <row r="277" spans="1:21" ht="17" x14ac:dyDescent="0.15">
      <c r="A277" s="2">
        <v>121</v>
      </c>
      <c r="B277" s="8" t="s">
        <v>267</v>
      </c>
      <c r="C277" s="28" t="s">
        <v>268</v>
      </c>
      <c r="D277" s="8" t="s">
        <v>12</v>
      </c>
      <c r="E277" s="2" t="s">
        <v>14</v>
      </c>
      <c r="F277" s="9" t="str">
        <f t="shared" si="29"/>
        <v>RAW-CNS-014</v>
      </c>
      <c r="G277" s="2" t="s">
        <v>13</v>
      </c>
      <c r="H277" t="str">
        <f>IFERROR(VLOOKUP($D277,القوائم!$A$2:$B$4,2,0),"")</f>
        <v>RAW</v>
      </c>
      <c r="I277" t="str">
        <f t="shared" si="30"/>
        <v>CNS</v>
      </c>
      <c r="J277">
        <f>IF($H277="","",IF($N277=0,$Q277,SUMPRODUCT(($O$157:$O$590=$H277)*($P$157:$P$590=$I277)*$Q$157:$Q$590)+COUNTIFS($H$157:$H277,$H277,$I$157:$I277,$I277,$N$157:$N277,1)))</f>
        <v>14</v>
      </c>
      <c r="M277">
        <f>IF($I277="","",COUNTIF($I$5:$I277,$I277))</f>
        <v>15</v>
      </c>
      <c r="N277">
        <f t="shared" si="31"/>
        <v>0</v>
      </c>
      <c r="O277" t="s">
        <v>22</v>
      </c>
      <c r="P277" t="s">
        <v>23</v>
      </c>
      <c r="Q277">
        <v>14</v>
      </c>
      <c r="R277" s="25"/>
      <c r="S277" s="25"/>
      <c r="T277" s="24" t="str">
        <f t="shared" si="32"/>
        <v/>
      </c>
      <c r="U277" s="25"/>
    </row>
    <row r="278" spans="1:21" ht="17" x14ac:dyDescent="0.15">
      <c r="A278" s="2">
        <v>122</v>
      </c>
      <c r="B278" s="8" t="s">
        <v>269</v>
      </c>
      <c r="C278" s="28" t="s">
        <v>270</v>
      </c>
      <c r="D278" s="8" t="s">
        <v>12</v>
      </c>
      <c r="E278" s="2" t="s">
        <v>14</v>
      </c>
      <c r="F278" s="9" t="str">
        <f t="shared" si="29"/>
        <v>RAW-CNS-015</v>
      </c>
      <c r="G278" s="2" t="s">
        <v>13</v>
      </c>
      <c r="H278" t="str">
        <f>IFERROR(VLOOKUP($D278,القوائم!$A$2:$B$4,2,0),"")</f>
        <v>RAW</v>
      </c>
      <c r="I278" t="str">
        <f t="shared" si="30"/>
        <v>CNS</v>
      </c>
      <c r="J278">
        <f>IF($H278="","",IF($N278=0,$Q278,SUMPRODUCT(($O$157:$O$590=$H278)*($P$157:$P$590=$I278)*$Q$157:$Q$590)+COUNTIFS($H$157:$H278,$H278,$I$157:$I278,$I278,$N$157:$N278,1)))</f>
        <v>15</v>
      </c>
      <c r="M278">
        <f>IF($I278="","",COUNTIF($I$5:$I278,$I278))</f>
        <v>16</v>
      </c>
      <c r="N278">
        <f t="shared" si="31"/>
        <v>0</v>
      </c>
      <c r="O278" t="s">
        <v>22</v>
      </c>
      <c r="P278" t="s">
        <v>23</v>
      </c>
      <c r="Q278">
        <v>15</v>
      </c>
      <c r="R278" s="25"/>
      <c r="S278" s="25"/>
      <c r="T278" s="24" t="str">
        <f t="shared" si="32"/>
        <v/>
      </c>
      <c r="U278" s="25"/>
    </row>
    <row r="279" spans="1:21" ht="16" x14ac:dyDescent="0.15">
      <c r="A279" s="2">
        <v>123</v>
      </c>
      <c r="B279" s="8" t="s">
        <v>271</v>
      </c>
      <c r="C279" s="28" t="s">
        <v>272</v>
      </c>
      <c r="D279" s="8" t="s">
        <v>12</v>
      </c>
      <c r="E279" s="2" t="s">
        <v>265</v>
      </c>
      <c r="F279" s="9" t="str">
        <f t="shared" si="29"/>
        <v>RAW-DRY-002</v>
      </c>
      <c r="G279" s="2" t="s">
        <v>15</v>
      </c>
      <c r="H279" t="str">
        <f>IFERROR(VLOOKUP($D279,القوائم!$A$2:$B$4,2,0),"")</f>
        <v>RAW</v>
      </c>
      <c r="I279" t="str">
        <f t="shared" si="30"/>
        <v>DRY</v>
      </c>
      <c r="J279">
        <f>IF($H279="","",IF($N279=0,$Q279,SUMPRODUCT(($O$157:$O$590=$H279)*($P$157:$P$590=$I279)*$Q$157:$Q$590)+COUNTIFS($H$157:$H279,$H279,$I$157:$I279,$I279,$N$157:$N279,1)))</f>
        <v>2</v>
      </c>
      <c r="M279">
        <f>IF($I279="","",COUNTIF($I$5:$I279,$I279))</f>
        <v>3</v>
      </c>
      <c r="N279">
        <f t="shared" si="31"/>
        <v>0</v>
      </c>
      <c r="O279" t="s">
        <v>22</v>
      </c>
      <c r="P279" t="s">
        <v>266</v>
      </c>
      <c r="Q279">
        <v>2</v>
      </c>
      <c r="R279" s="25">
        <v>368</v>
      </c>
      <c r="S279" s="25">
        <v>100</v>
      </c>
      <c r="T279" s="24">
        <f t="shared" si="32"/>
        <v>3.68</v>
      </c>
      <c r="U279" s="25"/>
    </row>
    <row r="280" spans="1:21" ht="16" x14ac:dyDescent="0.15">
      <c r="A280" s="2">
        <v>124</v>
      </c>
      <c r="B280" s="8" t="s">
        <v>273</v>
      </c>
      <c r="C280" s="28" t="s">
        <v>274</v>
      </c>
      <c r="D280" s="8" t="s">
        <v>136</v>
      </c>
      <c r="E280" s="2" t="s">
        <v>137</v>
      </c>
      <c r="F280" s="9" t="str">
        <f t="shared" si="29"/>
        <v>TRN-CHL-007</v>
      </c>
      <c r="G280" s="2" t="s">
        <v>15</v>
      </c>
      <c r="H280" t="str">
        <f>IFERROR(VLOOKUP($D280,القوائم!$A$2:$B$4,2,0),"")</f>
        <v>TRN</v>
      </c>
      <c r="I280" t="str">
        <f t="shared" si="30"/>
        <v>CHL</v>
      </c>
      <c r="J280">
        <f>IF($H280="","",IF($N280=0,$Q280,SUMPRODUCT(($O$157:$O$590=$H280)*($P$157:$P$590=$I280)*$Q$157:$Q$590)+COUNTIFS($H$157:$H280,$H280,$I$157:$I280,$I280,$N$157:$N280,1)))</f>
        <v>7</v>
      </c>
      <c r="M280">
        <f>IF($I280="","",COUNTIF($I$5:$I280,$I280))</f>
        <v>9</v>
      </c>
      <c r="N280">
        <f t="shared" si="31"/>
        <v>0</v>
      </c>
      <c r="O280" t="s">
        <v>138</v>
      </c>
      <c r="P280" t="s">
        <v>139</v>
      </c>
      <c r="Q280">
        <v>7</v>
      </c>
      <c r="R280" s="25">
        <v>160</v>
      </c>
      <c r="S280" s="25">
        <v>100</v>
      </c>
      <c r="T280" s="24">
        <f t="shared" si="32"/>
        <v>1.6</v>
      </c>
      <c r="U280" s="25"/>
    </row>
    <row r="281" spans="1:21" ht="16" x14ac:dyDescent="0.15">
      <c r="A281" s="2">
        <v>125</v>
      </c>
      <c r="B281" s="8" t="s">
        <v>275</v>
      </c>
      <c r="C281" s="28" t="s">
        <v>276</v>
      </c>
      <c r="D281" s="8" t="s">
        <v>136</v>
      </c>
      <c r="E281" s="2" t="s">
        <v>137</v>
      </c>
      <c r="F281" s="9" t="str">
        <f t="shared" si="29"/>
        <v>TRN-CHL-008</v>
      </c>
      <c r="G281" s="2" t="s">
        <v>15</v>
      </c>
      <c r="H281" t="str">
        <f>IFERROR(VLOOKUP($D281,القوائم!$A$2:$B$4,2,0),"")</f>
        <v>TRN</v>
      </c>
      <c r="I281" t="str">
        <f t="shared" si="30"/>
        <v>CHL</v>
      </c>
      <c r="J281">
        <f>IF($H281="","",IF($N281=0,$Q281,SUMPRODUCT(($O$157:$O$590=$H281)*($P$157:$P$590=$I281)*$Q$157:$Q$590)+COUNTIFS($H$157:$H281,$H281,$I$157:$I281,$I281,$N$157:$N281,1)))</f>
        <v>8</v>
      </c>
      <c r="M281">
        <f>IF($I281="","",COUNTIF($I$5:$I281,$I281))</f>
        <v>10</v>
      </c>
      <c r="N281">
        <f t="shared" si="31"/>
        <v>0</v>
      </c>
      <c r="O281" t="s">
        <v>138</v>
      </c>
      <c r="P281" t="s">
        <v>139</v>
      </c>
      <c r="Q281">
        <v>8</v>
      </c>
      <c r="R281" s="25">
        <v>250</v>
      </c>
      <c r="S281" s="25">
        <v>100</v>
      </c>
      <c r="T281" s="24">
        <f t="shared" si="32"/>
        <v>2.5</v>
      </c>
      <c r="U281" s="25"/>
    </row>
    <row r="282" spans="1:21" ht="16" x14ac:dyDescent="0.15">
      <c r="A282" s="2">
        <v>126</v>
      </c>
      <c r="B282" s="8" t="s">
        <v>277</v>
      </c>
      <c r="C282" s="28" t="s">
        <v>278</v>
      </c>
      <c r="D282" s="8" t="s">
        <v>136</v>
      </c>
      <c r="E282" s="2" t="s">
        <v>137</v>
      </c>
      <c r="F282" s="9" t="str">
        <f t="shared" si="29"/>
        <v>TRN-CHL-009</v>
      </c>
      <c r="G282" s="2" t="s">
        <v>15</v>
      </c>
      <c r="H282" t="str">
        <f>IFERROR(VLOOKUP($D282,القوائم!$A$2:$B$4,2,0),"")</f>
        <v>TRN</v>
      </c>
      <c r="I282" t="str">
        <f t="shared" si="30"/>
        <v>CHL</v>
      </c>
      <c r="J282">
        <f>IF($H282="","",IF($N282=0,$Q282,SUMPRODUCT(($O$157:$O$590=$H282)*($P$157:$P$590=$I282)*$Q$157:$Q$590)+COUNTIFS($H$157:$H282,$H282,$I$157:$I282,$I282,$N$157:$N282,1)))</f>
        <v>9</v>
      </c>
      <c r="M282">
        <f>IF($I282="","",COUNTIF($I$5:$I282,$I282))</f>
        <v>11</v>
      </c>
      <c r="N282">
        <f t="shared" si="31"/>
        <v>0</v>
      </c>
      <c r="O282" t="s">
        <v>138</v>
      </c>
      <c r="P282" t="s">
        <v>139</v>
      </c>
      <c r="Q282">
        <v>9</v>
      </c>
      <c r="R282" s="25">
        <v>250</v>
      </c>
      <c r="S282" s="25">
        <v>100</v>
      </c>
      <c r="T282" s="24">
        <f t="shared" si="32"/>
        <v>2.5</v>
      </c>
      <c r="U282" s="25"/>
    </row>
    <row r="283" spans="1:21" ht="16" x14ac:dyDescent="0.15">
      <c r="A283" s="2">
        <v>127</v>
      </c>
      <c r="B283" s="8" t="s">
        <v>279</v>
      </c>
      <c r="C283" s="28" t="s">
        <v>280</v>
      </c>
      <c r="D283" s="8" t="s">
        <v>12</v>
      </c>
      <c r="E283" s="2" t="s">
        <v>137</v>
      </c>
      <c r="F283" s="9" t="str">
        <f t="shared" si="29"/>
        <v>RAW-CHL-003</v>
      </c>
      <c r="G283" s="2" t="s">
        <v>15</v>
      </c>
      <c r="H283" t="str">
        <f>IFERROR(VLOOKUP($D283,القوائم!$A$2:$B$4,2,0),"")</f>
        <v>RAW</v>
      </c>
      <c r="I283" t="str">
        <f t="shared" si="30"/>
        <v>CHL</v>
      </c>
      <c r="J283">
        <f>IF($H283="","",IF($N283=0,$Q283,SUMPRODUCT(($O$157:$O$590=$H283)*($P$157:$P$590=$I283)*$Q$157:$Q$590)+COUNTIFS($H$157:$H283,$H283,$I$157:$I283,$I283,$N$157:$N283,1)))</f>
        <v>3</v>
      </c>
      <c r="M283">
        <f>IF($I283="","",COUNTIF($I$5:$I283,$I283))</f>
        <v>12</v>
      </c>
      <c r="N283">
        <f t="shared" si="31"/>
        <v>0</v>
      </c>
      <c r="O283" t="s">
        <v>22</v>
      </c>
      <c r="P283" t="s">
        <v>139</v>
      </c>
      <c r="Q283">
        <v>3</v>
      </c>
      <c r="R283" s="25">
        <v>25</v>
      </c>
      <c r="S283" s="25">
        <v>100</v>
      </c>
      <c r="T283" s="24">
        <f t="shared" si="32"/>
        <v>0.25</v>
      </c>
      <c r="U283" s="25"/>
    </row>
    <row r="284" spans="1:21" ht="17" x14ac:dyDescent="0.15">
      <c r="A284" s="2">
        <v>128</v>
      </c>
      <c r="B284" s="8" t="s">
        <v>281</v>
      </c>
      <c r="C284" s="28" t="s">
        <v>282</v>
      </c>
      <c r="D284" s="8" t="s">
        <v>12</v>
      </c>
      <c r="E284" s="2" t="s">
        <v>14</v>
      </c>
      <c r="F284" s="9" t="str">
        <f t="shared" si="29"/>
        <v>RAW-CNS-016</v>
      </c>
      <c r="G284" s="2" t="s">
        <v>13</v>
      </c>
      <c r="H284" t="str">
        <f>IFERROR(VLOOKUP($D284,القوائم!$A$2:$B$4,2,0),"")</f>
        <v>RAW</v>
      </c>
      <c r="I284" t="str">
        <f t="shared" si="30"/>
        <v>CNS</v>
      </c>
      <c r="J284">
        <f>IF($H284="","",IF($N284=0,$Q284,SUMPRODUCT(($O$157:$O$590=$H284)*($P$157:$P$590=$I284)*$Q$157:$Q$590)+COUNTIFS($H$157:$H284,$H284,$I$157:$I284,$I284,$N$157:$N284,1)))</f>
        <v>16</v>
      </c>
      <c r="M284">
        <f>IF($I284="","",COUNTIF($I$5:$I284,$I284))</f>
        <v>17</v>
      </c>
      <c r="N284">
        <f t="shared" si="31"/>
        <v>0</v>
      </c>
      <c r="O284" t="s">
        <v>22</v>
      </c>
      <c r="P284" t="s">
        <v>23</v>
      </c>
      <c r="Q284">
        <v>16</v>
      </c>
      <c r="R284" s="25"/>
      <c r="S284" s="25"/>
      <c r="T284" s="24" t="str">
        <f t="shared" si="32"/>
        <v/>
      </c>
      <c r="U284" s="25"/>
    </row>
    <row r="285" spans="1:21" ht="16" x14ac:dyDescent="0.15">
      <c r="A285" s="2">
        <v>129</v>
      </c>
      <c r="B285" s="8" t="s">
        <v>283</v>
      </c>
      <c r="C285" s="28" t="s">
        <v>284</v>
      </c>
      <c r="D285" s="8" t="s">
        <v>12</v>
      </c>
      <c r="E285" s="2" t="s">
        <v>265</v>
      </c>
      <c r="F285" s="9" t="str">
        <f t="shared" ref="F285:F348" si="33">IF($H285="","",$H285&amp;"-"&amp;$I285&amp;"-"&amp;TEXT($J285,"000"))</f>
        <v>RAW-DRY-003</v>
      </c>
      <c r="G285" s="2" t="s">
        <v>15</v>
      </c>
      <c r="H285" t="str">
        <f>IFERROR(VLOOKUP($D285,القوائم!$A$2:$B$4,2,0),"")</f>
        <v>RAW</v>
      </c>
      <c r="I285" t="str">
        <f t="shared" ref="I285:I348" si="34">IF($H285="FIN","RTS",IF(ISNUMBER(SEARCH("مجمد",$E285)),"FRZ",IF(ISNUMBER(SEARCH("مبرد",$E285)),"CHL",IF(ISNUMBER(SEARCH("جاف",$E285)),"DRY",IF(ISNUMBER(SEARCH("استهلاك",$E285)),"CNS",IF(ISNUMBER(SEARCH("بيع",$E285)),"RTS",""))))))</f>
        <v>DRY</v>
      </c>
      <c r="J285">
        <f>IF($H285="","",IF($N285=0,$Q285,SUMPRODUCT(($O$157:$O$590=$H285)*($P$157:$P$590=$I285)*$Q$157:$Q$590)+COUNTIFS($H$157:$H285,$H285,$I$157:$I285,$I285,$N$157:$N285,1)))</f>
        <v>3</v>
      </c>
      <c r="M285">
        <f>IF($I285="","",COUNTIF($I$5:$I285,$I285))</f>
        <v>4</v>
      </c>
      <c r="N285">
        <f t="shared" ref="N285:N348" si="35">IF($H285="","",IF(OR($H285&lt;&gt;$O285,$I285&lt;&gt;$P285),1,0))</f>
        <v>0</v>
      </c>
      <c r="O285" t="s">
        <v>22</v>
      </c>
      <c r="P285" t="s">
        <v>266</v>
      </c>
      <c r="Q285">
        <v>3</v>
      </c>
      <c r="R285" s="25">
        <v>282</v>
      </c>
      <c r="S285" s="25">
        <v>100</v>
      </c>
      <c r="T285" s="24">
        <f t="shared" ref="T285:T348" si="36">IF(OR($R285="",$S285="",$S285=0),"",ROUND($R285/$S285,2))</f>
        <v>2.82</v>
      </c>
      <c r="U285" s="25"/>
    </row>
    <row r="286" spans="1:21" ht="16" x14ac:dyDescent="0.15">
      <c r="A286" s="2">
        <v>130</v>
      </c>
      <c r="B286" s="8" t="s">
        <v>285</v>
      </c>
      <c r="C286" s="28" t="s">
        <v>286</v>
      </c>
      <c r="D286" s="8" t="s">
        <v>12</v>
      </c>
      <c r="E286" s="2" t="s">
        <v>265</v>
      </c>
      <c r="F286" s="9" t="str">
        <f t="shared" si="33"/>
        <v>RAW-DRY-004</v>
      </c>
      <c r="G286" s="2" t="s">
        <v>15</v>
      </c>
      <c r="H286" t="str">
        <f>IFERROR(VLOOKUP($D286,القوائم!$A$2:$B$4,2,0),"")</f>
        <v>RAW</v>
      </c>
      <c r="I286" t="str">
        <f t="shared" si="34"/>
        <v>DRY</v>
      </c>
      <c r="J286">
        <f>IF($H286="","",IF($N286=0,$Q286,SUMPRODUCT(($O$157:$O$590=$H286)*($P$157:$P$590=$I286)*$Q$157:$Q$590)+COUNTIFS($H$157:$H286,$H286,$I$157:$I286,$I286,$N$157:$N286,1)))</f>
        <v>4</v>
      </c>
      <c r="M286">
        <f>IF($I286="","",COUNTIF($I$5:$I286,$I286))</f>
        <v>5</v>
      </c>
      <c r="N286">
        <f t="shared" si="35"/>
        <v>0</v>
      </c>
      <c r="O286" t="s">
        <v>22</v>
      </c>
      <c r="P286" t="s">
        <v>266</v>
      </c>
      <c r="Q286">
        <v>4</v>
      </c>
      <c r="R286" s="25">
        <v>282</v>
      </c>
      <c r="S286" s="25">
        <v>100</v>
      </c>
      <c r="T286" s="24">
        <f t="shared" si="36"/>
        <v>2.82</v>
      </c>
      <c r="U286" s="25"/>
    </row>
    <row r="287" spans="1:21" ht="16" x14ac:dyDescent="0.15">
      <c r="A287" s="2">
        <v>131</v>
      </c>
      <c r="B287" s="8" t="s">
        <v>287</v>
      </c>
      <c r="C287" s="28" t="s">
        <v>288</v>
      </c>
      <c r="D287" s="8" t="s">
        <v>12</v>
      </c>
      <c r="E287" s="2" t="s">
        <v>137</v>
      </c>
      <c r="F287" s="9" t="str">
        <f t="shared" si="33"/>
        <v>RAW-CHL-004</v>
      </c>
      <c r="G287" s="2" t="s">
        <v>15</v>
      </c>
      <c r="H287" t="str">
        <f>IFERROR(VLOOKUP($D287,القوائم!$A$2:$B$4,2,0),"")</f>
        <v>RAW</v>
      </c>
      <c r="I287" t="str">
        <f t="shared" si="34"/>
        <v>CHL</v>
      </c>
      <c r="J287">
        <f>IF($H287="","",IF($N287=0,$Q287,SUMPRODUCT(($O$157:$O$590=$H287)*($P$157:$P$590=$I287)*$Q$157:$Q$590)+COUNTIFS($H$157:$H287,$H287,$I$157:$I287,$I287,$N$157:$N287,1)))</f>
        <v>4</v>
      </c>
      <c r="M287">
        <f>IF($I287="","",COUNTIF($I$5:$I287,$I287))</f>
        <v>13</v>
      </c>
      <c r="N287">
        <f t="shared" si="35"/>
        <v>0</v>
      </c>
      <c r="O287" t="s">
        <v>22</v>
      </c>
      <c r="P287" t="s">
        <v>139</v>
      </c>
      <c r="Q287">
        <v>4</v>
      </c>
      <c r="R287" s="25">
        <v>25</v>
      </c>
      <c r="S287" s="25">
        <v>100</v>
      </c>
      <c r="T287" s="24">
        <f t="shared" si="36"/>
        <v>0.25</v>
      </c>
      <c r="U287" s="25"/>
    </row>
    <row r="288" spans="1:21" ht="16" x14ac:dyDescent="0.15">
      <c r="A288" s="2">
        <v>132</v>
      </c>
      <c r="B288" s="8" t="s">
        <v>289</v>
      </c>
      <c r="C288" s="28" t="s">
        <v>290</v>
      </c>
      <c r="D288" s="8" t="s">
        <v>12</v>
      </c>
      <c r="E288" s="2" t="s">
        <v>218</v>
      </c>
      <c r="F288" s="9" t="str">
        <f t="shared" si="33"/>
        <v>RAW-FRZ-002</v>
      </c>
      <c r="G288" s="2" t="s">
        <v>15</v>
      </c>
      <c r="H288" t="str">
        <f>IFERROR(VLOOKUP($D288,القوائم!$A$2:$B$4,2,0),"")</f>
        <v>RAW</v>
      </c>
      <c r="I288" t="str">
        <f t="shared" si="34"/>
        <v>FRZ</v>
      </c>
      <c r="J288">
        <f>IF($H288="","",IF($N288=0,$Q288,SUMPRODUCT(($O$157:$O$590=$H288)*($P$157:$P$590=$I288)*$Q$157:$Q$590)+COUNTIFS($H$157:$H288,$H288,$I$157:$I288,$I288,$N$157:$N288,1)))</f>
        <v>2</v>
      </c>
      <c r="M288">
        <f>IF($I288="","",COUNTIF($I$5:$I288,$I288))</f>
        <v>2</v>
      </c>
      <c r="N288">
        <f t="shared" si="35"/>
        <v>0</v>
      </c>
      <c r="O288" t="s">
        <v>22</v>
      </c>
      <c r="P288" t="s">
        <v>219</v>
      </c>
      <c r="Q288">
        <v>2</v>
      </c>
      <c r="R288" s="25">
        <v>490</v>
      </c>
      <c r="S288" s="25">
        <v>100</v>
      </c>
      <c r="T288" s="24">
        <f t="shared" si="36"/>
        <v>4.9000000000000004</v>
      </c>
      <c r="U288" s="25"/>
    </row>
    <row r="289" spans="1:21" ht="16" x14ac:dyDescent="0.15">
      <c r="A289" s="2">
        <v>133</v>
      </c>
      <c r="B289" s="8" t="s">
        <v>291</v>
      </c>
      <c r="C289" s="28" t="s">
        <v>292</v>
      </c>
      <c r="D289" s="8" t="s">
        <v>12</v>
      </c>
      <c r="E289" s="2" t="s">
        <v>265</v>
      </c>
      <c r="F289" s="9" t="str">
        <f t="shared" si="33"/>
        <v>RAW-DRY-005</v>
      </c>
      <c r="G289" s="2" t="s">
        <v>15</v>
      </c>
      <c r="H289" t="str">
        <f>IFERROR(VLOOKUP($D289,القوائم!$A$2:$B$4,2,0),"")</f>
        <v>RAW</v>
      </c>
      <c r="I289" t="str">
        <f t="shared" si="34"/>
        <v>DRY</v>
      </c>
      <c r="J289">
        <f>IF($H289="","",IF($N289=0,$Q289,SUMPRODUCT(($O$157:$O$590=$H289)*($P$157:$P$590=$I289)*$Q$157:$Q$590)+COUNTIFS($H$157:$H289,$H289,$I$157:$I289,$I289,$N$157:$N289,1)))</f>
        <v>5</v>
      </c>
      <c r="M289">
        <f>IF($I289="","",COUNTIF($I$5:$I289,$I289))</f>
        <v>6</v>
      </c>
      <c r="N289">
        <f t="shared" si="35"/>
        <v>0</v>
      </c>
      <c r="O289" t="s">
        <v>22</v>
      </c>
      <c r="P289" t="s">
        <v>266</v>
      </c>
      <c r="Q289">
        <v>5</v>
      </c>
      <c r="R289" s="25">
        <v>486</v>
      </c>
      <c r="S289" s="25">
        <v>100</v>
      </c>
      <c r="T289" s="24">
        <f t="shared" si="36"/>
        <v>4.8600000000000003</v>
      </c>
      <c r="U289" s="25"/>
    </row>
    <row r="290" spans="1:21" ht="16" x14ac:dyDescent="0.15">
      <c r="A290" s="2">
        <v>134</v>
      </c>
      <c r="B290" s="8" t="s">
        <v>293</v>
      </c>
      <c r="C290" s="28" t="s">
        <v>294</v>
      </c>
      <c r="D290" s="8" t="s">
        <v>12</v>
      </c>
      <c r="E290" s="2" t="s">
        <v>265</v>
      </c>
      <c r="F290" s="9" t="str">
        <f t="shared" si="33"/>
        <v>RAW-DRY-006</v>
      </c>
      <c r="G290" s="2" t="s">
        <v>15</v>
      </c>
      <c r="H290" t="str">
        <f>IFERROR(VLOOKUP($D290,القوائم!$A$2:$B$4,2,0),"")</f>
        <v>RAW</v>
      </c>
      <c r="I290" t="str">
        <f t="shared" si="34"/>
        <v>DRY</v>
      </c>
      <c r="J290">
        <f>IF($H290="","",IF($N290=0,$Q290,SUMPRODUCT(($O$157:$O$590=$H290)*($P$157:$P$590=$I290)*$Q$157:$Q$590)+COUNTIFS($H$157:$H290,$H290,$I$157:$I290,$I290,$N$157:$N290,1)))</f>
        <v>6</v>
      </c>
      <c r="M290">
        <f>IF($I290="","",COUNTIF($I$5:$I290,$I290))</f>
        <v>7</v>
      </c>
      <c r="N290">
        <f t="shared" si="35"/>
        <v>0</v>
      </c>
      <c r="O290" t="s">
        <v>22</v>
      </c>
      <c r="P290" t="s">
        <v>266</v>
      </c>
      <c r="Q290">
        <v>6</v>
      </c>
      <c r="R290" s="25">
        <v>534</v>
      </c>
      <c r="S290" s="25">
        <v>100</v>
      </c>
      <c r="T290" s="24">
        <f t="shared" si="36"/>
        <v>5.34</v>
      </c>
      <c r="U290" s="25"/>
    </row>
    <row r="291" spans="1:21" ht="16" x14ac:dyDescent="0.15">
      <c r="A291" s="2">
        <v>135</v>
      </c>
      <c r="B291" s="8" t="s">
        <v>295</v>
      </c>
      <c r="C291" s="28" t="s">
        <v>296</v>
      </c>
      <c r="D291" s="8" t="s">
        <v>12</v>
      </c>
      <c r="E291" s="2" t="s">
        <v>137</v>
      </c>
      <c r="F291" s="9" t="str">
        <f t="shared" si="33"/>
        <v>RAW-CHL-005</v>
      </c>
      <c r="G291" s="2" t="s">
        <v>15</v>
      </c>
      <c r="H291" t="str">
        <f>IFERROR(VLOOKUP($D291,القوائم!$A$2:$B$4,2,0),"")</f>
        <v>RAW</v>
      </c>
      <c r="I291" t="str">
        <f t="shared" si="34"/>
        <v>CHL</v>
      </c>
      <c r="J291">
        <f>IF($H291="","",IF($N291=0,$Q291,SUMPRODUCT(($O$157:$O$590=$H291)*($P$157:$P$590=$I291)*$Q$157:$Q$590)+COUNTIFS($H$157:$H291,$H291,$I$157:$I291,$I291,$N$157:$N291,1)))</f>
        <v>5</v>
      </c>
      <c r="M291">
        <f>IF($I291="","",COUNTIF($I$5:$I291,$I291))</f>
        <v>14</v>
      </c>
      <c r="N291">
        <f t="shared" si="35"/>
        <v>0</v>
      </c>
      <c r="O291" t="s">
        <v>22</v>
      </c>
      <c r="P291" t="s">
        <v>139</v>
      </c>
      <c r="Q291">
        <v>5</v>
      </c>
      <c r="R291" s="25">
        <v>47</v>
      </c>
      <c r="S291" s="25">
        <v>100</v>
      </c>
      <c r="T291" s="24">
        <f t="shared" si="36"/>
        <v>0.47</v>
      </c>
      <c r="U291" s="25"/>
    </row>
    <row r="292" spans="1:21" ht="17" x14ac:dyDescent="0.15">
      <c r="A292" s="2">
        <v>136</v>
      </c>
      <c r="B292" s="8" t="s">
        <v>297</v>
      </c>
      <c r="C292" s="28" t="s">
        <v>298</v>
      </c>
      <c r="D292" s="8" t="s">
        <v>12</v>
      </c>
      <c r="E292" s="2" t="s">
        <v>14</v>
      </c>
      <c r="F292" s="9" t="str">
        <f t="shared" si="33"/>
        <v>RAW-CNS-017</v>
      </c>
      <c r="G292" s="2" t="s">
        <v>13</v>
      </c>
      <c r="H292" t="str">
        <f>IFERROR(VLOOKUP($D292,القوائم!$A$2:$B$4,2,0),"")</f>
        <v>RAW</v>
      </c>
      <c r="I292" t="str">
        <f t="shared" si="34"/>
        <v>CNS</v>
      </c>
      <c r="J292">
        <f>IF($H292="","",IF($N292=0,$Q292,SUMPRODUCT(($O$157:$O$590=$H292)*($P$157:$P$590=$I292)*$Q$157:$Q$590)+COUNTIFS($H$157:$H292,$H292,$I$157:$I292,$I292,$N$157:$N292,1)))</f>
        <v>17</v>
      </c>
      <c r="M292">
        <f>IF($I292="","",COUNTIF($I$5:$I292,$I292))</f>
        <v>18</v>
      </c>
      <c r="N292">
        <f t="shared" si="35"/>
        <v>0</v>
      </c>
      <c r="O292" t="s">
        <v>22</v>
      </c>
      <c r="P292" t="s">
        <v>23</v>
      </c>
      <c r="Q292">
        <v>17</v>
      </c>
      <c r="R292" s="25"/>
      <c r="S292" s="25"/>
      <c r="T292" s="24" t="str">
        <f t="shared" si="36"/>
        <v/>
      </c>
      <c r="U292" s="25"/>
    </row>
    <row r="293" spans="1:21" ht="16" x14ac:dyDescent="0.15">
      <c r="A293" s="2">
        <v>137</v>
      </c>
      <c r="B293" s="8" t="s">
        <v>299</v>
      </c>
      <c r="C293" s="28" t="s">
        <v>300</v>
      </c>
      <c r="D293" s="8" t="s">
        <v>12</v>
      </c>
      <c r="E293" s="2" t="s">
        <v>265</v>
      </c>
      <c r="F293" s="9" t="str">
        <f t="shared" si="33"/>
        <v>RAW-DRY-007</v>
      </c>
      <c r="G293" s="2" t="s">
        <v>15</v>
      </c>
      <c r="H293" t="str">
        <f>IFERROR(VLOOKUP($D293,القوائم!$A$2:$B$4,2,0),"")</f>
        <v>RAW</v>
      </c>
      <c r="I293" t="str">
        <f t="shared" si="34"/>
        <v>DRY</v>
      </c>
      <c r="J293">
        <f>IF($H293="","",IF($N293=0,$Q293,SUMPRODUCT(($O$157:$O$590=$H293)*($P$157:$P$590=$I293)*$Q$157:$Q$590)+COUNTIFS($H$157:$H293,$H293,$I$157:$I293,$I293,$N$157:$N293,1)))</f>
        <v>7</v>
      </c>
      <c r="M293">
        <f>IF($I293="","",COUNTIF($I$5:$I293,$I293))</f>
        <v>8</v>
      </c>
      <c r="N293">
        <f t="shared" si="35"/>
        <v>0</v>
      </c>
      <c r="O293" t="s">
        <v>22</v>
      </c>
      <c r="P293" t="s">
        <v>266</v>
      </c>
      <c r="Q293">
        <v>7</v>
      </c>
      <c r="R293" s="25">
        <v>420</v>
      </c>
      <c r="S293" s="25">
        <v>100</v>
      </c>
      <c r="T293" s="24">
        <f t="shared" si="36"/>
        <v>4.2</v>
      </c>
      <c r="U293" s="25"/>
    </row>
    <row r="294" spans="1:21" ht="16" x14ac:dyDescent="0.15">
      <c r="A294" s="2">
        <v>138</v>
      </c>
      <c r="B294" s="8" t="s">
        <v>301</v>
      </c>
      <c r="C294" s="28" t="s">
        <v>302</v>
      </c>
      <c r="D294" s="8" t="s">
        <v>12</v>
      </c>
      <c r="E294" s="2" t="s">
        <v>265</v>
      </c>
      <c r="F294" s="9" t="str">
        <f t="shared" si="33"/>
        <v>RAW-DRY-008</v>
      </c>
      <c r="G294" s="2" t="s">
        <v>15</v>
      </c>
      <c r="H294" t="str">
        <f>IFERROR(VLOOKUP($D294,القوائم!$A$2:$B$4,2,0),"")</f>
        <v>RAW</v>
      </c>
      <c r="I294" t="str">
        <f t="shared" si="34"/>
        <v>DRY</v>
      </c>
      <c r="J294">
        <f>IF($H294="","",IF($N294=0,$Q294,SUMPRODUCT(($O$157:$O$590=$H294)*($P$157:$P$590=$I294)*$Q$157:$Q$590)+COUNTIFS($H$157:$H294,$H294,$I$157:$I294,$I294,$N$157:$N294,1)))</f>
        <v>8</v>
      </c>
      <c r="M294">
        <f>IF($I294="","",COUNTIF($I$5:$I294,$I294))</f>
        <v>9</v>
      </c>
      <c r="N294">
        <f t="shared" si="35"/>
        <v>0</v>
      </c>
      <c r="O294" t="s">
        <v>22</v>
      </c>
      <c r="P294" t="s">
        <v>266</v>
      </c>
      <c r="Q294">
        <v>8</v>
      </c>
      <c r="R294" s="25">
        <v>400</v>
      </c>
      <c r="S294" s="25">
        <v>100</v>
      </c>
      <c r="T294" s="24">
        <f t="shared" si="36"/>
        <v>4</v>
      </c>
      <c r="U294" s="25"/>
    </row>
    <row r="295" spans="1:21" ht="16" x14ac:dyDescent="0.15">
      <c r="A295" s="2">
        <v>139</v>
      </c>
      <c r="B295" s="8" t="s">
        <v>303</v>
      </c>
      <c r="C295" s="28" t="s">
        <v>304</v>
      </c>
      <c r="D295" s="8" t="s">
        <v>12</v>
      </c>
      <c r="E295" s="2" t="s">
        <v>265</v>
      </c>
      <c r="F295" s="9" t="str">
        <f t="shared" si="33"/>
        <v>RAW-DRY-009</v>
      </c>
      <c r="G295" s="2" t="s">
        <v>15</v>
      </c>
      <c r="H295" t="str">
        <f>IFERROR(VLOOKUP($D295,القوائم!$A$2:$B$4,2,0),"")</f>
        <v>RAW</v>
      </c>
      <c r="I295" t="str">
        <f t="shared" si="34"/>
        <v>DRY</v>
      </c>
      <c r="J295">
        <f>IF($H295="","",IF($N295=0,$Q295,SUMPRODUCT(($O$157:$O$590=$H295)*($P$157:$P$590=$I295)*$Q$157:$Q$590)+COUNTIFS($H$157:$H295,$H295,$I$157:$I295,$I295,$N$157:$N295,1)))</f>
        <v>9</v>
      </c>
      <c r="M295">
        <f>IF($I295="","",COUNTIF($I$5:$I295,$I295))</f>
        <v>10</v>
      </c>
      <c r="N295">
        <f t="shared" si="35"/>
        <v>0</v>
      </c>
      <c r="O295" t="s">
        <v>22</v>
      </c>
      <c r="P295" t="s">
        <v>266</v>
      </c>
      <c r="Q295">
        <v>9</v>
      </c>
      <c r="R295" s="25">
        <v>400</v>
      </c>
      <c r="S295" s="25">
        <v>100</v>
      </c>
      <c r="T295" s="24">
        <f t="shared" si="36"/>
        <v>4</v>
      </c>
      <c r="U295" s="25"/>
    </row>
    <row r="296" spans="1:21" ht="16" x14ac:dyDescent="0.15">
      <c r="A296" s="2">
        <v>140</v>
      </c>
      <c r="B296" s="8" t="s">
        <v>305</v>
      </c>
      <c r="C296" s="28" t="s">
        <v>306</v>
      </c>
      <c r="D296" s="8" t="s">
        <v>12</v>
      </c>
      <c r="E296" s="2" t="s">
        <v>265</v>
      </c>
      <c r="F296" s="9" t="str">
        <f t="shared" si="33"/>
        <v>RAW-DRY-010</v>
      </c>
      <c r="G296" s="2" t="s">
        <v>15</v>
      </c>
      <c r="H296" t="str">
        <f>IFERROR(VLOOKUP($D296,القوائم!$A$2:$B$4,2,0),"")</f>
        <v>RAW</v>
      </c>
      <c r="I296" t="str">
        <f t="shared" si="34"/>
        <v>DRY</v>
      </c>
      <c r="J296">
        <f>IF($H296="","",IF($N296=0,$Q296,SUMPRODUCT(($O$157:$O$590=$H296)*($P$157:$P$590=$I296)*$Q$157:$Q$590)+COUNTIFS($H$157:$H296,$H296,$I$157:$I296,$I296,$N$157:$N296,1)))</f>
        <v>10</v>
      </c>
      <c r="M296">
        <f>IF($I296="","",COUNTIF($I$5:$I296,$I296))</f>
        <v>11</v>
      </c>
      <c r="N296">
        <f t="shared" si="35"/>
        <v>0</v>
      </c>
      <c r="O296" t="s">
        <v>22</v>
      </c>
      <c r="P296" t="s">
        <v>266</v>
      </c>
      <c r="Q296">
        <v>10</v>
      </c>
      <c r="R296" s="25">
        <v>40</v>
      </c>
      <c r="S296" s="25">
        <v>100</v>
      </c>
      <c r="T296" s="24">
        <f t="shared" si="36"/>
        <v>0.4</v>
      </c>
      <c r="U296" s="25"/>
    </row>
    <row r="297" spans="1:21" ht="16" x14ac:dyDescent="0.15">
      <c r="A297" s="2">
        <v>141</v>
      </c>
      <c r="B297" s="8" t="s">
        <v>307</v>
      </c>
      <c r="C297" s="28" t="s">
        <v>306</v>
      </c>
      <c r="D297" s="8" t="s">
        <v>12</v>
      </c>
      <c r="E297" s="2" t="s">
        <v>265</v>
      </c>
      <c r="F297" s="9" t="str">
        <f t="shared" si="33"/>
        <v>RAW-DRY-011</v>
      </c>
      <c r="G297" s="2" t="s">
        <v>15</v>
      </c>
      <c r="H297" t="str">
        <f>IFERROR(VLOOKUP($D297,القوائم!$A$2:$B$4,2,0),"")</f>
        <v>RAW</v>
      </c>
      <c r="I297" t="str">
        <f t="shared" si="34"/>
        <v>DRY</v>
      </c>
      <c r="J297">
        <f>IF($H297="","",IF($N297=0,$Q297,SUMPRODUCT(($O$157:$O$590=$H297)*($P$157:$P$590=$I297)*$Q$157:$Q$590)+COUNTIFS($H$157:$H297,$H297,$I$157:$I297,$I297,$N$157:$N297,1)))</f>
        <v>11</v>
      </c>
      <c r="M297">
        <f>IF($I297="","",COUNTIF($I$5:$I297,$I297))</f>
        <v>12</v>
      </c>
      <c r="N297">
        <f t="shared" si="35"/>
        <v>0</v>
      </c>
      <c r="O297" t="s">
        <v>22</v>
      </c>
      <c r="P297" t="s">
        <v>266</v>
      </c>
      <c r="Q297">
        <v>11</v>
      </c>
      <c r="R297" s="25">
        <v>40</v>
      </c>
      <c r="S297" s="25">
        <v>100</v>
      </c>
      <c r="T297" s="24">
        <f t="shared" si="36"/>
        <v>0.4</v>
      </c>
      <c r="U297" s="25"/>
    </row>
    <row r="298" spans="1:21" ht="16" x14ac:dyDescent="0.15">
      <c r="A298" s="2">
        <v>142</v>
      </c>
      <c r="B298" s="8" t="s">
        <v>308</v>
      </c>
      <c r="C298" s="28" t="s">
        <v>306</v>
      </c>
      <c r="D298" s="8" t="s">
        <v>136</v>
      </c>
      <c r="E298" s="2" t="s">
        <v>265</v>
      </c>
      <c r="F298" s="9" t="str">
        <f t="shared" si="33"/>
        <v>TRN-DRY-001</v>
      </c>
      <c r="G298" s="2" t="s">
        <v>15</v>
      </c>
      <c r="H298" t="str">
        <f>IFERROR(VLOOKUP($D298,القوائم!$A$2:$B$4,2,0),"")</f>
        <v>TRN</v>
      </c>
      <c r="I298" t="str">
        <f t="shared" si="34"/>
        <v>DRY</v>
      </c>
      <c r="J298">
        <f>IF($H298="","",IF($N298=0,$Q298,SUMPRODUCT(($O$157:$O$590=$H298)*($P$157:$P$590=$I298)*$Q$157:$Q$590)+COUNTIFS($H$157:$H298,$H298,$I$157:$I298,$I298,$N$157:$N298,1)))</f>
        <v>1</v>
      </c>
      <c r="M298">
        <f>IF($I298="","",COUNTIF($I$5:$I298,$I298))</f>
        <v>13</v>
      </c>
      <c r="N298">
        <f t="shared" si="35"/>
        <v>0</v>
      </c>
      <c r="O298" t="s">
        <v>138</v>
      </c>
      <c r="P298" t="s">
        <v>266</v>
      </c>
      <c r="Q298">
        <v>1</v>
      </c>
      <c r="R298" s="25">
        <v>150</v>
      </c>
      <c r="S298" s="25">
        <v>100</v>
      </c>
      <c r="T298" s="24">
        <f t="shared" si="36"/>
        <v>1.5</v>
      </c>
      <c r="U298" s="25"/>
    </row>
    <row r="299" spans="1:21" ht="16" x14ac:dyDescent="0.15">
      <c r="A299" s="2">
        <v>143</v>
      </c>
      <c r="B299" s="8" t="s">
        <v>309</v>
      </c>
      <c r="C299" s="28" t="s">
        <v>310</v>
      </c>
      <c r="D299" s="8" t="s">
        <v>12</v>
      </c>
      <c r="E299" s="2" t="s">
        <v>265</v>
      </c>
      <c r="F299" s="9" t="str">
        <f t="shared" si="33"/>
        <v>RAW-DRY-012</v>
      </c>
      <c r="G299" s="2" t="s">
        <v>15</v>
      </c>
      <c r="H299" t="str">
        <f>IFERROR(VLOOKUP($D299,القوائم!$A$2:$B$4,2,0),"")</f>
        <v>RAW</v>
      </c>
      <c r="I299" t="str">
        <f t="shared" si="34"/>
        <v>DRY</v>
      </c>
      <c r="J299">
        <f>IF($H299="","",IF($N299=0,$Q299,SUMPRODUCT(($O$157:$O$590=$H299)*($P$157:$P$590=$I299)*$Q$157:$Q$590)+COUNTIFS($H$157:$H299,$H299,$I$157:$I299,$I299,$N$157:$N299,1)))</f>
        <v>12</v>
      </c>
      <c r="M299">
        <f>IF($I299="","",COUNTIF($I$5:$I299,$I299))</f>
        <v>14</v>
      </c>
      <c r="N299">
        <f t="shared" si="35"/>
        <v>0</v>
      </c>
      <c r="O299" t="s">
        <v>22</v>
      </c>
      <c r="P299" t="s">
        <v>266</v>
      </c>
      <c r="Q299">
        <v>12</v>
      </c>
      <c r="R299" s="25">
        <v>77</v>
      </c>
      <c r="S299" s="25">
        <v>100</v>
      </c>
      <c r="T299" s="24">
        <f t="shared" si="36"/>
        <v>0.77</v>
      </c>
      <c r="U299" s="25"/>
    </row>
    <row r="300" spans="1:21" ht="16" x14ac:dyDescent="0.15">
      <c r="A300" s="2">
        <v>144</v>
      </c>
      <c r="B300" s="8" t="s">
        <v>311</v>
      </c>
      <c r="C300" s="28" t="s">
        <v>312</v>
      </c>
      <c r="D300" s="8" t="s">
        <v>12</v>
      </c>
      <c r="E300" s="2" t="s">
        <v>265</v>
      </c>
      <c r="F300" s="9" t="str">
        <f t="shared" si="33"/>
        <v>RAW-DRY-013</v>
      </c>
      <c r="G300" s="2" t="s">
        <v>15</v>
      </c>
      <c r="H300" t="str">
        <f>IFERROR(VLOOKUP($D300,القوائم!$A$2:$B$4,2,0),"")</f>
        <v>RAW</v>
      </c>
      <c r="I300" t="str">
        <f t="shared" si="34"/>
        <v>DRY</v>
      </c>
      <c r="J300">
        <f>IF($H300="","",IF($N300=0,$Q300,SUMPRODUCT(($O$157:$O$590=$H300)*($P$157:$P$590=$I300)*$Q$157:$Q$590)+COUNTIFS($H$157:$H300,$H300,$I$157:$I300,$I300,$N$157:$N300,1)))</f>
        <v>13</v>
      </c>
      <c r="M300">
        <f>IF($I300="","",COUNTIF($I$5:$I300,$I300))</f>
        <v>15</v>
      </c>
      <c r="N300">
        <f t="shared" si="35"/>
        <v>0</v>
      </c>
      <c r="O300" t="s">
        <v>22</v>
      </c>
      <c r="P300" t="s">
        <v>266</v>
      </c>
      <c r="Q300">
        <v>13</v>
      </c>
      <c r="R300" s="25">
        <v>86</v>
      </c>
      <c r="S300" s="25">
        <v>100</v>
      </c>
      <c r="T300" s="24">
        <f t="shared" si="36"/>
        <v>0.86</v>
      </c>
      <c r="U300" s="25"/>
    </row>
    <row r="301" spans="1:21" ht="16" x14ac:dyDescent="0.15">
      <c r="A301" s="2">
        <v>145</v>
      </c>
      <c r="B301" s="8" t="s">
        <v>313</v>
      </c>
      <c r="C301" s="28" t="s">
        <v>314</v>
      </c>
      <c r="D301" s="8" t="s">
        <v>12</v>
      </c>
      <c r="E301" s="2" t="s">
        <v>265</v>
      </c>
      <c r="F301" s="9" t="str">
        <f t="shared" si="33"/>
        <v>RAW-DRY-014</v>
      </c>
      <c r="G301" s="2" t="s">
        <v>15</v>
      </c>
      <c r="H301" t="str">
        <f>IFERROR(VLOOKUP($D301,القوائم!$A$2:$B$4,2,0),"")</f>
        <v>RAW</v>
      </c>
      <c r="I301" t="str">
        <f t="shared" si="34"/>
        <v>DRY</v>
      </c>
      <c r="J301">
        <f>IF($H301="","",IF($N301=0,$Q301,SUMPRODUCT(($O$157:$O$590=$H301)*($P$157:$P$590=$I301)*$Q$157:$Q$590)+COUNTIFS($H$157:$H301,$H301,$I$157:$I301,$I301,$N$157:$N301,1)))</f>
        <v>14</v>
      </c>
      <c r="M301">
        <f>IF($I301="","",COUNTIF($I$5:$I301,$I301))</f>
        <v>16</v>
      </c>
      <c r="N301">
        <f t="shared" si="35"/>
        <v>0</v>
      </c>
      <c r="O301" t="s">
        <v>22</v>
      </c>
      <c r="P301" t="s">
        <v>266</v>
      </c>
      <c r="Q301">
        <v>14</v>
      </c>
      <c r="R301" s="25">
        <v>150</v>
      </c>
      <c r="S301" s="25">
        <v>100</v>
      </c>
      <c r="T301" s="24">
        <f t="shared" si="36"/>
        <v>1.5</v>
      </c>
      <c r="U301" s="25"/>
    </row>
    <row r="302" spans="1:21" ht="16" x14ac:dyDescent="0.15">
      <c r="A302" s="2">
        <v>146</v>
      </c>
      <c r="B302" s="8" t="s">
        <v>315</v>
      </c>
      <c r="C302" s="28" t="s">
        <v>316</v>
      </c>
      <c r="D302" s="8" t="s">
        <v>16</v>
      </c>
      <c r="E302" s="2" t="s">
        <v>26</v>
      </c>
      <c r="F302" s="9" t="str">
        <f t="shared" si="33"/>
        <v>FIN-RTS-098</v>
      </c>
      <c r="G302" s="2" t="s">
        <v>13</v>
      </c>
      <c r="H302" t="str">
        <f>IFERROR(VLOOKUP($D302,القوائم!$A$2:$B$4,2,0),"")</f>
        <v>FIN</v>
      </c>
      <c r="I302" t="str">
        <f t="shared" si="34"/>
        <v>RTS</v>
      </c>
      <c r="J302">
        <f>IF($H302="","",IF($N302=0,$Q302,SUMPRODUCT(($O$157:$O$590=$H302)*($P$157:$P$590=$I302)*$Q$157:$Q$590)+COUNTIFS($H$157:$H302,$H302,$I$157:$I302,$I302,$N$157:$N302,1)))</f>
        <v>98</v>
      </c>
      <c r="M302">
        <f>IF($I302="","",COUNTIF($I$5:$I302,$I302))</f>
        <v>98</v>
      </c>
      <c r="N302">
        <f t="shared" si="35"/>
        <v>0</v>
      </c>
      <c r="O302" t="s">
        <v>27</v>
      </c>
      <c r="P302" t="s">
        <v>28</v>
      </c>
      <c r="Q302">
        <v>98</v>
      </c>
      <c r="R302" s="25">
        <v>320</v>
      </c>
      <c r="S302" s="25">
        <v>100</v>
      </c>
      <c r="T302" s="24">
        <f t="shared" si="36"/>
        <v>3.2</v>
      </c>
      <c r="U302" s="25"/>
    </row>
    <row r="303" spans="1:21" ht="16" x14ac:dyDescent="0.15">
      <c r="A303" s="2">
        <v>147</v>
      </c>
      <c r="B303" s="8" t="s">
        <v>317</v>
      </c>
      <c r="C303" s="28" t="s">
        <v>318</v>
      </c>
      <c r="D303" s="8" t="s">
        <v>16</v>
      </c>
      <c r="E303" s="2" t="s">
        <v>26</v>
      </c>
      <c r="F303" s="9" t="str">
        <f t="shared" si="33"/>
        <v>FIN-RTS-099</v>
      </c>
      <c r="G303" s="2" t="s">
        <v>13</v>
      </c>
      <c r="H303" t="str">
        <f>IFERROR(VLOOKUP($D303,القوائم!$A$2:$B$4,2,0),"")</f>
        <v>FIN</v>
      </c>
      <c r="I303" t="str">
        <f t="shared" si="34"/>
        <v>RTS</v>
      </c>
      <c r="J303">
        <f>IF($H303="","",IF($N303=0,$Q303,SUMPRODUCT(($O$157:$O$590=$H303)*($P$157:$P$590=$I303)*$Q$157:$Q$590)+COUNTIFS($H$157:$H303,$H303,$I$157:$I303,$I303,$N$157:$N303,1)))</f>
        <v>99</v>
      </c>
      <c r="M303">
        <f>IF($I303="","",COUNTIF($I$5:$I303,$I303))</f>
        <v>99</v>
      </c>
      <c r="N303">
        <f t="shared" si="35"/>
        <v>0</v>
      </c>
      <c r="O303" t="s">
        <v>27</v>
      </c>
      <c r="P303" t="s">
        <v>28</v>
      </c>
      <c r="Q303">
        <v>99</v>
      </c>
      <c r="R303" s="25">
        <v>330</v>
      </c>
      <c r="S303" s="25">
        <v>100</v>
      </c>
      <c r="T303" s="24">
        <f t="shared" si="36"/>
        <v>3.3</v>
      </c>
      <c r="U303" s="25"/>
    </row>
    <row r="304" spans="1:21" ht="16" x14ac:dyDescent="0.15">
      <c r="A304" s="2">
        <v>148</v>
      </c>
      <c r="B304" s="8" t="s">
        <v>319</v>
      </c>
      <c r="C304" s="28" t="s">
        <v>318</v>
      </c>
      <c r="D304" s="8" t="s">
        <v>16</v>
      </c>
      <c r="E304" s="2" t="s">
        <v>26</v>
      </c>
      <c r="F304" s="9" t="str">
        <f t="shared" si="33"/>
        <v>FIN-RTS-100</v>
      </c>
      <c r="G304" s="2" t="s">
        <v>13</v>
      </c>
      <c r="H304" t="str">
        <f>IFERROR(VLOOKUP($D304,القوائم!$A$2:$B$4,2,0),"")</f>
        <v>FIN</v>
      </c>
      <c r="I304" t="str">
        <f t="shared" si="34"/>
        <v>RTS</v>
      </c>
      <c r="J304">
        <f>IF($H304="","",IF($N304=0,$Q304,SUMPRODUCT(($O$157:$O$590=$H304)*($P$157:$P$590=$I304)*$Q$157:$Q$590)+COUNTIFS($H$157:$H304,$H304,$I$157:$I304,$I304,$N$157:$N304,1)))</f>
        <v>100</v>
      </c>
      <c r="M304">
        <f>IF($I304="","",COUNTIF($I$5:$I304,$I304))</f>
        <v>100</v>
      </c>
      <c r="N304">
        <f t="shared" si="35"/>
        <v>0</v>
      </c>
      <c r="O304" t="s">
        <v>27</v>
      </c>
      <c r="P304" t="s">
        <v>28</v>
      </c>
      <c r="Q304">
        <v>100</v>
      </c>
      <c r="R304" s="25">
        <v>330</v>
      </c>
      <c r="S304" s="25">
        <v>100</v>
      </c>
      <c r="T304" s="24">
        <f t="shared" si="36"/>
        <v>3.3</v>
      </c>
      <c r="U304" s="25"/>
    </row>
    <row r="305" spans="1:21" ht="16" x14ac:dyDescent="0.15">
      <c r="A305" s="2">
        <v>149</v>
      </c>
      <c r="B305" s="8" t="s">
        <v>320</v>
      </c>
      <c r="C305" s="28" t="s">
        <v>321</v>
      </c>
      <c r="D305" s="8" t="s">
        <v>16</v>
      </c>
      <c r="E305" s="2" t="s">
        <v>26</v>
      </c>
      <c r="F305" s="9" t="str">
        <f t="shared" si="33"/>
        <v>FIN-RTS-101</v>
      </c>
      <c r="G305" s="2" t="s">
        <v>13</v>
      </c>
      <c r="H305" t="str">
        <f>IFERROR(VLOOKUP($D305,القوائم!$A$2:$B$4,2,0),"")</f>
        <v>FIN</v>
      </c>
      <c r="I305" t="str">
        <f t="shared" si="34"/>
        <v>RTS</v>
      </c>
      <c r="J305">
        <f>IF($H305="","",IF($N305=0,$Q305,SUMPRODUCT(($O$157:$O$590=$H305)*($P$157:$P$590=$I305)*$Q$157:$Q$590)+COUNTIFS($H$157:$H305,$H305,$I$157:$I305,$I305,$N$157:$N305,1)))</f>
        <v>101</v>
      </c>
      <c r="M305">
        <f>IF($I305="","",COUNTIF($I$5:$I305,$I305))</f>
        <v>101</v>
      </c>
      <c r="N305">
        <f t="shared" si="35"/>
        <v>0</v>
      </c>
      <c r="O305" t="s">
        <v>27</v>
      </c>
      <c r="P305" t="s">
        <v>28</v>
      </c>
      <c r="Q305">
        <v>101</v>
      </c>
      <c r="R305" s="25">
        <v>310</v>
      </c>
      <c r="S305" s="25">
        <v>100</v>
      </c>
      <c r="T305" s="24">
        <f t="shared" si="36"/>
        <v>3.1</v>
      </c>
      <c r="U305" s="25"/>
    </row>
    <row r="306" spans="1:21" ht="16" x14ac:dyDescent="0.15">
      <c r="A306" s="2">
        <v>150</v>
      </c>
      <c r="B306" s="8" t="s">
        <v>322</v>
      </c>
      <c r="C306" s="28" t="s">
        <v>323</v>
      </c>
      <c r="D306" s="8" t="s">
        <v>12</v>
      </c>
      <c r="E306" s="2" t="s">
        <v>137</v>
      </c>
      <c r="F306" s="9" t="str">
        <f t="shared" si="33"/>
        <v>RAW-CHL-006</v>
      </c>
      <c r="G306" s="2" t="s">
        <v>15</v>
      </c>
      <c r="H306" t="str">
        <f>IFERROR(VLOOKUP($D306,القوائم!$A$2:$B$4,2,0),"")</f>
        <v>RAW</v>
      </c>
      <c r="I306" t="str">
        <f t="shared" si="34"/>
        <v>CHL</v>
      </c>
      <c r="J306">
        <f>IF($H306="","",IF($N306=0,$Q306,SUMPRODUCT(($O$157:$O$590=$H306)*($P$157:$P$590=$I306)*$Q$157:$Q$590)+COUNTIFS($H$157:$H306,$H306,$I$157:$I306,$I306,$N$157:$N306,1)))</f>
        <v>6</v>
      </c>
      <c r="M306">
        <f>IF($I306="","",COUNTIF($I$5:$I306,$I306))</f>
        <v>15</v>
      </c>
      <c r="N306">
        <f t="shared" si="35"/>
        <v>0</v>
      </c>
      <c r="O306" t="s">
        <v>22</v>
      </c>
      <c r="P306" t="s">
        <v>139</v>
      </c>
      <c r="Q306">
        <v>6</v>
      </c>
      <c r="R306" s="25">
        <v>36</v>
      </c>
      <c r="S306" s="25">
        <v>100</v>
      </c>
      <c r="T306" s="24">
        <f t="shared" si="36"/>
        <v>0.36</v>
      </c>
      <c r="U306" s="25"/>
    </row>
    <row r="307" spans="1:21" ht="16" x14ac:dyDescent="0.15">
      <c r="A307" s="2">
        <v>151</v>
      </c>
      <c r="B307" s="8" t="s">
        <v>324</v>
      </c>
      <c r="C307" s="28" t="s">
        <v>325</v>
      </c>
      <c r="D307" s="8" t="s">
        <v>12</v>
      </c>
      <c r="E307" s="2" t="s">
        <v>265</v>
      </c>
      <c r="F307" s="9" t="str">
        <f t="shared" si="33"/>
        <v>RAW-DRY-015</v>
      </c>
      <c r="G307" s="2" t="s">
        <v>15</v>
      </c>
      <c r="H307" t="str">
        <f>IFERROR(VLOOKUP($D307,القوائم!$A$2:$B$4,2,0),"")</f>
        <v>RAW</v>
      </c>
      <c r="I307" t="str">
        <f t="shared" si="34"/>
        <v>DRY</v>
      </c>
      <c r="J307">
        <f>IF($H307="","",IF($N307=0,$Q307,SUMPRODUCT(($O$157:$O$590=$H307)*($P$157:$P$590=$I307)*$Q$157:$Q$590)+COUNTIFS($H$157:$H307,$H307,$I$157:$I307,$I307,$N$157:$N307,1)))</f>
        <v>15</v>
      </c>
      <c r="M307">
        <f>IF($I307="","",COUNTIF($I$5:$I307,$I307))</f>
        <v>17</v>
      </c>
      <c r="N307">
        <f t="shared" si="35"/>
        <v>0</v>
      </c>
      <c r="O307" t="s">
        <v>22</v>
      </c>
      <c r="P307" t="s">
        <v>266</v>
      </c>
      <c r="Q307">
        <v>15</v>
      </c>
      <c r="R307" s="25">
        <v>395</v>
      </c>
      <c r="S307" s="25">
        <v>100</v>
      </c>
      <c r="T307" s="24">
        <f t="shared" si="36"/>
        <v>3.95</v>
      </c>
      <c r="U307" s="25"/>
    </row>
    <row r="308" spans="1:21" ht="16" x14ac:dyDescent="0.15">
      <c r="A308" s="2">
        <v>152</v>
      </c>
      <c r="B308" s="8" t="s">
        <v>326</v>
      </c>
      <c r="C308" s="28" t="s">
        <v>327</v>
      </c>
      <c r="D308" s="8" t="s">
        <v>12</v>
      </c>
      <c r="E308" s="2" t="s">
        <v>265</v>
      </c>
      <c r="F308" s="9" t="str">
        <f t="shared" si="33"/>
        <v>RAW-DRY-016</v>
      </c>
      <c r="G308" s="2" t="s">
        <v>15</v>
      </c>
      <c r="H308" t="str">
        <f>IFERROR(VLOOKUP($D308,القوائم!$A$2:$B$4,2,0),"")</f>
        <v>RAW</v>
      </c>
      <c r="I308" t="str">
        <f t="shared" si="34"/>
        <v>DRY</v>
      </c>
      <c r="J308">
        <f>IF($H308="","",IF($N308=0,$Q308,SUMPRODUCT(($O$157:$O$590=$H308)*($P$157:$P$590=$I308)*$Q$157:$Q$590)+COUNTIFS($H$157:$H308,$H308,$I$157:$I308,$I308,$N$157:$N308,1)))</f>
        <v>16</v>
      </c>
      <c r="M308">
        <f>IF($I308="","",COUNTIF($I$5:$I308,$I308))</f>
        <v>18</v>
      </c>
      <c r="N308">
        <f t="shared" si="35"/>
        <v>0</v>
      </c>
      <c r="O308" t="s">
        <v>22</v>
      </c>
      <c r="P308" t="s">
        <v>266</v>
      </c>
      <c r="Q308">
        <v>16</v>
      </c>
      <c r="R308" s="25">
        <v>5</v>
      </c>
      <c r="S308" s="25">
        <v>100</v>
      </c>
      <c r="T308" s="24">
        <f t="shared" si="36"/>
        <v>0.05</v>
      </c>
      <c r="U308" s="25"/>
    </row>
    <row r="309" spans="1:21" ht="16" x14ac:dyDescent="0.15">
      <c r="A309" s="2">
        <v>153</v>
      </c>
      <c r="B309" s="8" t="s">
        <v>328</v>
      </c>
      <c r="C309" s="28" t="s">
        <v>329</v>
      </c>
      <c r="D309" s="8" t="s">
        <v>12</v>
      </c>
      <c r="E309" s="2" t="s">
        <v>265</v>
      </c>
      <c r="F309" s="9" t="str">
        <f t="shared" si="33"/>
        <v>RAW-DRY-017</v>
      </c>
      <c r="G309" s="2" t="s">
        <v>15</v>
      </c>
      <c r="H309" t="str">
        <f>IFERROR(VLOOKUP($D309,القوائم!$A$2:$B$4,2,0),"")</f>
        <v>RAW</v>
      </c>
      <c r="I309" t="str">
        <f t="shared" si="34"/>
        <v>DRY</v>
      </c>
      <c r="J309">
        <f>IF($H309="","",IF($N309=0,$Q309,SUMPRODUCT(($O$157:$O$590=$H309)*($P$157:$P$590=$I309)*$Q$157:$Q$590)+COUNTIFS($H$157:$H309,$H309,$I$157:$I309,$I309,$N$157:$N309,1)))</f>
        <v>17</v>
      </c>
      <c r="M309">
        <f>IF($I309="","",COUNTIF($I$5:$I309,$I309))</f>
        <v>19</v>
      </c>
      <c r="N309">
        <f t="shared" si="35"/>
        <v>0</v>
      </c>
      <c r="O309" t="s">
        <v>22</v>
      </c>
      <c r="P309" t="s">
        <v>266</v>
      </c>
      <c r="Q309">
        <v>17</v>
      </c>
      <c r="R309" s="25">
        <v>5</v>
      </c>
      <c r="S309" s="25">
        <v>100</v>
      </c>
      <c r="T309" s="24">
        <f t="shared" si="36"/>
        <v>0.05</v>
      </c>
      <c r="U309" s="25"/>
    </row>
    <row r="310" spans="1:21" ht="16" x14ac:dyDescent="0.15">
      <c r="A310" s="2">
        <v>154</v>
      </c>
      <c r="B310" s="8" t="s">
        <v>330</v>
      </c>
      <c r="C310" s="28" t="s">
        <v>331</v>
      </c>
      <c r="D310" s="8" t="s">
        <v>12</v>
      </c>
      <c r="E310" s="2" t="s">
        <v>265</v>
      </c>
      <c r="F310" s="9" t="str">
        <f t="shared" si="33"/>
        <v>RAW-DRY-018</v>
      </c>
      <c r="G310" s="2" t="s">
        <v>15</v>
      </c>
      <c r="H310" t="str">
        <f>IFERROR(VLOOKUP($D310,القوائم!$A$2:$B$4,2,0),"")</f>
        <v>RAW</v>
      </c>
      <c r="I310" t="str">
        <f t="shared" si="34"/>
        <v>DRY</v>
      </c>
      <c r="J310">
        <f>IF($H310="","",IF($N310=0,$Q310,SUMPRODUCT(($O$157:$O$590=$H310)*($P$157:$P$590=$I310)*$Q$157:$Q$590)+COUNTIFS($H$157:$H310,$H310,$I$157:$I310,$I310,$N$157:$N310,1)))</f>
        <v>18</v>
      </c>
      <c r="M310">
        <f>IF($I310="","",COUNTIF($I$5:$I310,$I310))</f>
        <v>20</v>
      </c>
      <c r="N310">
        <f t="shared" si="35"/>
        <v>0</v>
      </c>
      <c r="O310" t="s">
        <v>22</v>
      </c>
      <c r="P310" t="s">
        <v>266</v>
      </c>
      <c r="Q310">
        <v>18</v>
      </c>
      <c r="R310" s="25">
        <v>270</v>
      </c>
      <c r="S310" s="25">
        <v>100</v>
      </c>
      <c r="T310" s="24">
        <f t="shared" si="36"/>
        <v>2.7</v>
      </c>
      <c r="U310" s="25"/>
    </row>
    <row r="311" spans="1:21" ht="16" x14ac:dyDescent="0.15">
      <c r="A311" s="2">
        <v>155</v>
      </c>
      <c r="B311" s="8" t="s">
        <v>332</v>
      </c>
      <c r="C311" s="28" t="s">
        <v>333</v>
      </c>
      <c r="D311" s="8" t="s">
        <v>12</v>
      </c>
      <c r="E311" s="2" t="s">
        <v>265</v>
      </c>
      <c r="F311" s="9" t="str">
        <f t="shared" si="33"/>
        <v>RAW-DRY-019</v>
      </c>
      <c r="G311" s="2" t="s">
        <v>15</v>
      </c>
      <c r="H311" t="str">
        <f>IFERROR(VLOOKUP($D311,القوائم!$A$2:$B$4,2,0),"")</f>
        <v>RAW</v>
      </c>
      <c r="I311" t="str">
        <f t="shared" si="34"/>
        <v>DRY</v>
      </c>
      <c r="J311">
        <f>IF($H311="","",IF($N311=0,$Q311,SUMPRODUCT(($O$157:$O$590=$H311)*($P$157:$P$590=$I311)*$Q$157:$Q$590)+COUNTIFS($H$157:$H311,$H311,$I$157:$I311,$I311,$N$157:$N311,1)))</f>
        <v>19</v>
      </c>
      <c r="M311">
        <f>IF($I311="","",COUNTIF($I$5:$I311,$I311))</f>
        <v>21</v>
      </c>
      <c r="N311">
        <f t="shared" si="35"/>
        <v>0</v>
      </c>
      <c r="O311" t="s">
        <v>22</v>
      </c>
      <c r="P311" t="s">
        <v>266</v>
      </c>
      <c r="Q311">
        <v>19</v>
      </c>
      <c r="R311" s="25">
        <v>341</v>
      </c>
      <c r="S311" s="25">
        <v>100</v>
      </c>
      <c r="T311" s="24">
        <f t="shared" si="36"/>
        <v>3.41</v>
      </c>
      <c r="U311" s="25"/>
    </row>
    <row r="312" spans="1:21" ht="16" x14ac:dyDescent="0.15">
      <c r="A312" s="2">
        <v>156</v>
      </c>
      <c r="B312" s="8" t="s">
        <v>334</v>
      </c>
      <c r="C312" s="28" t="s">
        <v>335</v>
      </c>
      <c r="D312" s="8" t="s">
        <v>12</v>
      </c>
      <c r="E312" s="2" t="s">
        <v>265</v>
      </c>
      <c r="F312" s="9" t="str">
        <f t="shared" si="33"/>
        <v>RAW-DRY-020</v>
      </c>
      <c r="G312" s="2" t="s">
        <v>15</v>
      </c>
      <c r="H312" t="str">
        <f>IFERROR(VLOOKUP($D312,القوائم!$A$2:$B$4,2,0),"")</f>
        <v>RAW</v>
      </c>
      <c r="I312" t="str">
        <f t="shared" si="34"/>
        <v>DRY</v>
      </c>
      <c r="J312">
        <f>IF($H312="","",IF($N312=0,$Q312,SUMPRODUCT(($O$157:$O$590=$H312)*($P$157:$P$590=$I312)*$Q$157:$Q$590)+COUNTIFS($H$157:$H312,$H312,$I$157:$I312,$I312,$N$157:$N312,1)))</f>
        <v>20</v>
      </c>
      <c r="M312">
        <f>IF($I312="","",COUNTIF($I$5:$I312,$I312))</f>
        <v>22</v>
      </c>
      <c r="N312">
        <f t="shared" si="35"/>
        <v>0</v>
      </c>
      <c r="O312" t="s">
        <v>22</v>
      </c>
      <c r="P312" t="s">
        <v>266</v>
      </c>
      <c r="Q312">
        <v>20</v>
      </c>
      <c r="R312" s="25">
        <v>331</v>
      </c>
      <c r="S312" s="25">
        <v>100</v>
      </c>
      <c r="T312" s="24">
        <f t="shared" si="36"/>
        <v>3.31</v>
      </c>
      <c r="U312" s="25"/>
    </row>
    <row r="313" spans="1:21" ht="17" x14ac:dyDescent="0.15">
      <c r="A313" s="2">
        <v>157</v>
      </c>
      <c r="B313" s="8" t="s">
        <v>336</v>
      </c>
      <c r="C313" s="28" t="s">
        <v>337</v>
      </c>
      <c r="D313" s="8" t="s">
        <v>12</v>
      </c>
      <c r="E313" s="2" t="s">
        <v>14</v>
      </c>
      <c r="F313" s="9" t="str">
        <f t="shared" si="33"/>
        <v>RAW-CNS-018</v>
      </c>
      <c r="G313" s="2" t="s">
        <v>13</v>
      </c>
      <c r="H313" t="str">
        <f>IFERROR(VLOOKUP($D313,القوائم!$A$2:$B$4,2,0),"")</f>
        <v>RAW</v>
      </c>
      <c r="I313" t="str">
        <f t="shared" si="34"/>
        <v>CNS</v>
      </c>
      <c r="J313">
        <f>IF($H313="","",IF($N313=0,$Q313,SUMPRODUCT(($O$157:$O$590=$H313)*($P$157:$P$590=$I313)*$Q$157:$Q$590)+COUNTIFS($H$157:$H313,$H313,$I$157:$I313,$I313,$N$157:$N313,1)))</f>
        <v>18</v>
      </c>
      <c r="M313">
        <f>IF($I313="","",COUNTIF($I$5:$I313,$I313))</f>
        <v>19</v>
      </c>
      <c r="N313">
        <f t="shared" si="35"/>
        <v>0</v>
      </c>
      <c r="O313" t="s">
        <v>22</v>
      </c>
      <c r="P313" t="s">
        <v>23</v>
      </c>
      <c r="Q313">
        <v>18</v>
      </c>
      <c r="R313" s="25"/>
      <c r="S313" s="25"/>
      <c r="T313" s="24" t="str">
        <f t="shared" si="36"/>
        <v/>
      </c>
      <c r="U313" s="25"/>
    </row>
    <row r="314" spans="1:21" ht="16" x14ac:dyDescent="0.15">
      <c r="A314" s="2">
        <v>158</v>
      </c>
      <c r="B314" s="8" t="s">
        <v>338</v>
      </c>
      <c r="C314" s="28" t="s">
        <v>339</v>
      </c>
      <c r="D314" s="8" t="s">
        <v>12</v>
      </c>
      <c r="E314" s="2" t="s">
        <v>265</v>
      </c>
      <c r="F314" s="9" t="str">
        <f t="shared" si="33"/>
        <v>RAW-DRY-021</v>
      </c>
      <c r="G314" s="2" t="s">
        <v>15</v>
      </c>
      <c r="H314" t="str">
        <f>IFERROR(VLOOKUP($D314,القوائم!$A$2:$B$4,2,0),"")</f>
        <v>RAW</v>
      </c>
      <c r="I314" t="str">
        <f t="shared" si="34"/>
        <v>DRY</v>
      </c>
      <c r="J314">
        <f>IF($H314="","",IF($N314=0,$Q314,SUMPRODUCT(($O$157:$O$590=$H314)*($P$157:$P$590=$I314)*$Q$157:$Q$590)+COUNTIFS($H$157:$H314,$H314,$I$157:$I314,$I314,$N$157:$N314,1)))</f>
        <v>21</v>
      </c>
      <c r="M314">
        <f>IF($I314="","",COUNTIF($I$5:$I314,$I314))</f>
        <v>23</v>
      </c>
      <c r="N314">
        <f t="shared" si="35"/>
        <v>0</v>
      </c>
      <c r="O314" t="s">
        <v>22</v>
      </c>
      <c r="P314" t="s">
        <v>266</v>
      </c>
      <c r="Q314">
        <v>21</v>
      </c>
      <c r="R314" s="25">
        <v>35</v>
      </c>
      <c r="S314" s="25">
        <v>100</v>
      </c>
      <c r="T314" s="24">
        <f t="shared" si="36"/>
        <v>0.35</v>
      </c>
      <c r="U314" s="25"/>
    </row>
    <row r="315" spans="1:21" ht="16" x14ac:dyDescent="0.15">
      <c r="A315" s="2">
        <v>159</v>
      </c>
      <c r="B315" s="8" t="s">
        <v>340</v>
      </c>
      <c r="C315" s="28" t="s">
        <v>341</v>
      </c>
      <c r="D315" s="8" t="s">
        <v>16</v>
      </c>
      <c r="E315" s="2" t="s">
        <v>26</v>
      </c>
      <c r="F315" s="9" t="str">
        <f t="shared" si="33"/>
        <v>FIN-RTS-102</v>
      </c>
      <c r="G315" s="2" t="s">
        <v>13</v>
      </c>
      <c r="H315" t="str">
        <f>IFERROR(VLOOKUP($D315,القوائم!$A$2:$B$4,2,0),"")</f>
        <v>FIN</v>
      </c>
      <c r="I315" t="str">
        <f t="shared" si="34"/>
        <v>RTS</v>
      </c>
      <c r="J315">
        <f>IF($H315="","",IF($N315=0,$Q315,SUMPRODUCT(($O$157:$O$590=$H315)*($P$157:$P$590=$I315)*$Q$157:$Q$590)+COUNTIFS($H$157:$H315,$H315,$I$157:$I315,$I315,$N$157:$N315,1)))</f>
        <v>102</v>
      </c>
      <c r="M315">
        <f>IF($I315="","",COUNTIF($I$5:$I315,$I315))</f>
        <v>102</v>
      </c>
      <c r="N315">
        <f t="shared" si="35"/>
        <v>0</v>
      </c>
      <c r="O315" t="s">
        <v>27</v>
      </c>
      <c r="P315" t="s">
        <v>28</v>
      </c>
      <c r="Q315">
        <v>102</v>
      </c>
      <c r="R315" s="25">
        <v>40</v>
      </c>
      <c r="S315" s="25">
        <v>100</v>
      </c>
      <c r="T315" s="24">
        <f t="shared" si="36"/>
        <v>0.4</v>
      </c>
      <c r="U315" s="25"/>
    </row>
    <row r="316" spans="1:21" ht="16" x14ac:dyDescent="0.15">
      <c r="A316" s="2">
        <v>160</v>
      </c>
      <c r="B316" s="8" t="s">
        <v>342</v>
      </c>
      <c r="C316" s="28" t="s">
        <v>343</v>
      </c>
      <c r="D316" s="8" t="s">
        <v>136</v>
      </c>
      <c r="E316" s="2" t="s">
        <v>137</v>
      </c>
      <c r="F316" s="9" t="str">
        <f t="shared" si="33"/>
        <v>TRN-CHL-010</v>
      </c>
      <c r="G316" s="2" t="s">
        <v>15</v>
      </c>
      <c r="H316" t="str">
        <f>IFERROR(VLOOKUP($D316,القوائم!$A$2:$B$4,2,0),"")</f>
        <v>TRN</v>
      </c>
      <c r="I316" t="str">
        <f t="shared" si="34"/>
        <v>CHL</v>
      </c>
      <c r="J316">
        <f>IF($H316="","",IF($N316=0,$Q316,SUMPRODUCT(($O$157:$O$590=$H316)*($P$157:$P$590=$I316)*$Q$157:$Q$590)+COUNTIFS($H$157:$H316,$H316,$I$157:$I316,$I316,$N$157:$N316,1)))</f>
        <v>10</v>
      </c>
      <c r="M316">
        <f>IF($I316="","",COUNTIF($I$5:$I316,$I316))</f>
        <v>16</v>
      </c>
      <c r="N316">
        <f t="shared" si="35"/>
        <v>0</v>
      </c>
      <c r="O316" t="s">
        <v>138</v>
      </c>
      <c r="P316" t="s">
        <v>139</v>
      </c>
      <c r="Q316">
        <v>10</v>
      </c>
      <c r="R316" s="25">
        <v>450</v>
      </c>
      <c r="S316" s="25">
        <v>100</v>
      </c>
      <c r="T316" s="24">
        <f t="shared" si="36"/>
        <v>4.5</v>
      </c>
      <c r="U316" s="25"/>
    </row>
    <row r="317" spans="1:21" ht="16" x14ac:dyDescent="0.15">
      <c r="A317" s="2">
        <v>161</v>
      </c>
      <c r="B317" s="8" t="s">
        <v>345</v>
      </c>
      <c r="C317" s="28" t="s">
        <v>346</v>
      </c>
      <c r="D317" s="8" t="s">
        <v>12</v>
      </c>
      <c r="E317" s="2" t="s">
        <v>137</v>
      </c>
      <c r="F317" s="9" t="str">
        <f t="shared" si="33"/>
        <v>RAW-CHL-007</v>
      </c>
      <c r="G317" s="2" t="s">
        <v>13</v>
      </c>
      <c r="H317" t="str">
        <f>IFERROR(VLOOKUP($D317,القوائم!$A$2:$B$4,2,0),"")</f>
        <v>RAW</v>
      </c>
      <c r="I317" t="str">
        <f t="shared" si="34"/>
        <v>CHL</v>
      </c>
      <c r="J317">
        <f>IF($H317="","",IF($N317=0,$Q317,SUMPRODUCT(($O$157:$O$590=$H317)*($P$157:$P$590=$I317)*$Q$157:$Q$590)+COUNTIFS($H$157:$H317,$H317,$I$157:$I317,$I317,$N$157:$N317,1)))</f>
        <v>7</v>
      </c>
      <c r="M317">
        <f>IF($I317="","",COUNTIF($I$5:$I317,$I317))</f>
        <v>17</v>
      </c>
      <c r="N317">
        <f t="shared" si="35"/>
        <v>0</v>
      </c>
      <c r="O317" t="s">
        <v>22</v>
      </c>
      <c r="P317" t="s">
        <v>139</v>
      </c>
      <c r="Q317">
        <v>7</v>
      </c>
      <c r="R317" s="25">
        <v>143</v>
      </c>
      <c r="S317" s="25">
        <v>100</v>
      </c>
      <c r="T317" s="24">
        <f t="shared" si="36"/>
        <v>1.43</v>
      </c>
      <c r="U317" s="25"/>
    </row>
    <row r="318" spans="1:21" ht="16" x14ac:dyDescent="0.15">
      <c r="A318" s="2">
        <v>162</v>
      </c>
      <c r="B318" s="8" t="s">
        <v>347</v>
      </c>
      <c r="C318" s="28" t="s">
        <v>348</v>
      </c>
      <c r="D318" s="8" t="s">
        <v>16</v>
      </c>
      <c r="E318" s="2" t="s">
        <v>26</v>
      </c>
      <c r="F318" s="9" t="str">
        <f t="shared" si="33"/>
        <v>FIN-RTS-103</v>
      </c>
      <c r="G318" s="2" t="s">
        <v>13</v>
      </c>
      <c r="H318" t="str">
        <f>IFERROR(VLOOKUP($D318,القوائم!$A$2:$B$4,2,0),"")</f>
        <v>FIN</v>
      </c>
      <c r="I318" t="str">
        <f t="shared" si="34"/>
        <v>RTS</v>
      </c>
      <c r="J318">
        <f>IF($H318="","",IF($N318=0,$Q318,SUMPRODUCT(($O$157:$O$590=$H318)*($P$157:$P$590=$I318)*$Q$157:$Q$590)+COUNTIFS($H$157:$H318,$H318,$I$157:$I318,$I318,$N$157:$N318,1)))</f>
        <v>103</v>
      </c>
      <c r="M318">
        <f>IF($I318="","",COUNTIF($I$5:$I318,$I318))</f>
        <v>103</v>
      </c>
      <c r="N318">
        <f t="shared" si="35"/>
        <v>0</v>
      </c>
      <c r="O318" t="s">
        <v>27</v>
      </c>
      <c r="P318" t="s">
        <v>28</v>
      </c>
      <c r="Q318">
        <v>103</v>
      </c>
      <c r="R318" s="25">
        <v>300</v>
      </c>
      <c r="S318" s="25">
        <v>100</v>
      </c>
      <c r="T318" s="24">
        <f t="shared" si="36"/>
        <v>3</v>
      </c>
      <c r="U318" s="25"/>
    </row>
    <row r="319" spans="1:21" ht="16" x14ac:dyDescent="0.15">
      <c r="A319" s="2">
        <v>163</v>
      </c>
      <c r="B319" s="8" t="s">
        <v>349</v>
      </c>
      <c r="C319" s="28" t="s">
        <v>350</v>
      </c>
      <c r="D319" s="8" t="s">
        <v>12</v>
      </c>
      <c r="E319" s="2" t="s">
        <v>265</v>
      </c>
      <c r="F319" s="9" t="str">
        <f t="shared" si="33"/>
        <v>RAW-DRY-022</v>
      </c>
      <c r="G319" s="2" t="s">
        <v>15</v>
      </c>
      <c r="H319" t="str">
        <f>IFERROR(VLOOKUP($D319,القوائم!$A$2:$B$4,2,0),"")</f>
        <v>RAW</v>
      </c>
      <c r="I319" t="str">
        <f t="shared" si="34"/>
        <v>DRY</v>
      </c>
      <c r="J319">
        <f>IF($H319="","",IF($N319=0,$Q319,SUMPRODUCT(($O$157:$O$590=$H319)*($P$157:$P$590=$I319)*$Q$157:$Q$590)+COUNTIFS($H$157:$H319,$H319,$I$157:$I319,$I319,$N$157:$N319,1)))</f>
        <v>22</v>
      </c>
      <c r="M319">
        <f>IF($I319="","",COUNTIF($I$5:$I319,$I319))</f>
        <v>24</v>
      </c>
      <c r="N319">
        <f t="shared" si="35"/>
        <v>0</v>
      </c>
      <c r="O319" t="s">
        <v>22</v>
      </c>
      <c r="P319" t="s">
        <v>266</v>
      </c>
      <c r="Q319">
        <v>22</v>
      </c>
      <c r="R319" s="25">
        <v>360</v>
      </c>
      <c r="S319" s="25">
        <v>100</v>
      </c>
      <c r="T319" s="24">
        <f t="shared" si="36"/>
        <v>3.6</v>
      </c>
      <c r="U319" s="25"/>
    </row>
    <row r="320" spans="1:21" ht="17" x14ac:dyDescent="0.15">
      <c r="A320" s="2">
        <v>164</v>
      </c>
      <c r="B320" s="8" t="s">
        <v>351</v>
      </c>
      <c r="C320" s="28" t="s">
        <v>352</v>
      </c>
      <c r="D320" s="8" t="s">
        <v>12</v>
      </c>
      <c r="E320" s="2" t="s">
        <v>14</v>
      </c>
      <c r="F320" s="9" t="str">
        <f t="shared" si="33"/>
        <v>RAW-CNS-019</v>
      </c>
      <c r="G320" s="2" t="s">
        <v>13</v>
      </c>
      <c r="H320" t="str">
        <f>IFERROR(VLOOKUP($D320,القوائم!$A$2:$B$4,2,0),"")</f>
        <v>RAW</v>
      </c>
      <c r="I320" t="str">
        <f t="shared" si="34"/>
        <v>CNS</v>
      </c>
      <c r="J320">
        <f>IF($H320="","",IF($N320=0,$Q320,SUMPRODUCT(($O$157:$O$590=$H320)*($P$157:$P$590=$I320)*$Q$157:$Q$590)+COUNTIFS($H$157:$H320,$H320,$I$157:$I320,$I320,$N$157:$N320,1)))</f>
        <v>19</v>
      </c>
      <c r="M320">
        <f>IF($I320="","",COUNTIF($I$5:$I320,$I320))</f>
        <v>20</v>
      </c>
      <c r="N320">
        <f t="shared" si="35"/>
        <v>0</v>
      </c>
      <c r="O320" t="s">
        <v>22</v>
      </c>
      <c r="P320" t="s">
        <v>23</v>
      </c>
      <c r="Q320">
        <v>19</v>
      </c>
      <c r="R320" s="25"/>
      <c r="S320" s="25"/>
      <c r="T320" s="24" t="str">
        <f t="shared" si="36"/>
        <v/>
      </c>
      <c r="U320" s="25"/>
    </row>
    <row r="321" spans="1:21" ht="16" x14ac:dyDescent="0.15">
      <c r="A321" s="2">
        <v>165</v>
      </c>
      <c r="B321" s="8" t="s">
        <v>353</v>
      </c>
      <c r="C321" s="28" t="s">
        <v>354</v>
      </c>
      <c r="D321" s="8" t="s">
        <v>12</v>
      </c>
      <c r="E321" s="2" t="s">
        <v>265</v>
      </c>
      <c r="F321" s="9" t="str">
        <f t="shared" si="33"/>
        <v>RAW-DRY-023</v>
      </c>
      <c r="G321" s="2" t="s">
        <v>355</v>
      </c>
      <c r="H321" t="str">
        <f>IFERROR(VLOOKUP($D321,القوائم!$A$2:$B$4,2,0),"")</f>
        <v>RAW</v>
      </c>
      <c r="I321" t="str">
        <f t="shared" si="34"/>
        <v>DRY</v>
      </c>
      <c r="J321">
        <f>IF($H321="","",IF($N321=0,$Q321,SUMPRODUCT(($O$157:$O$590=$H321)*($P$157:$P$590=$I321)*$Q$157:$Q$590)+COUNTIFS($H$157:$H321,$H321,$I$157:$I321,$I321,$N$157:$N321,1)))</f>
        <v>23</v>
      </c>
      <c r="M321">
        <f>IF($I321="","",COUNTIF($I$5:$I321,$I321))</f>
        <v>25</v>
      </c>
      <c r="N321">
        <f t="shared" si="35"/>
        <v>0</v>
      </c>
      <c r="O321" t="s">
        <v>22</v>
      </c>
      <c r="P321" t="s">
        <v>266</v>
      </c>
      <c r="Q321">
        <v>23</v>
      </c>
      <c r="R321" s="25">
        <v>12</v>
      </c>
      <c r="S321" s="25">
        <v>100</v>
      </c>
      <c r="T321" s="24">
        <f t="shared" si="36"/>
        <v>0.12</v>
      </c>
      <c r="U321" s="25"/>
    </row>
    <row r="322" spans="1:21" ht="16" x14ac:dyDescent="0.15">
      <c r="A322" s="2">
        <v>166</v>
      </c>
      <c r="B322" s="8" t="s">
        <v>356</v>
      </c>
      <c r="C322" s="28" t="s">
        <v>354</v>
      </c>
      <c r="D322" s="8" t="s">
        <v>12</v>
      </c>
      <c r="E322" s="2" t="s">
        <v>265</v>
      </c>
      <c r="F322" s="9" t="str">
        <f t="shared" si="33"/>
        <v>RAW-DRY-024</v>
      </c>
      <c r="G322" s="2" t="s">
        <v>355</v>
      </c>
      <c r="H322" t="str">
        <f>IFERROR(VLOOKUP($D322,القوائم!$A$2:$B$4,2,0),"")</f>
        <v>RAW</v>
      </c>
      <c r="I322" t="str">
        <f t="shared" si="34"/>
        <v>DRY</v>
      </c>
      <c r="J322">
        <f>IF($H322="","",IF($N322=0,$Q322,SUMPRODUCT(($O$157:$O$590=$H322)*($P$157:$P$590=$I322)*$Q$157:$Q$590)+COUNTIFS($H$157:$H322,$H322,$I$157:$I322,$I322,$N$157:$N322,1)))</f>
        <v>24</v>
      </c>
      <c r="M322">
        <f>IF($I322="","",COUNTIF($I$5:$I322,$I322))</f>
        <v>26</v>
      </c>
      <c r="N322">
        <f t="shared" si="35"/>
        <v>0</v>
      </c>
      <c r="O322" t="s">
        <v>22</v>
      </c>
      <c r="P322" t="s">
        <v>266</v>
      </c>
      <c r="Q322">
        <v>24</v>
      </c>
      <c r="R322" s="25">
        <v>12</v>
      </c>
      <c r="S322" s="25">
        <v>100</v>
      </c>
      <c r="T322" s="24">
        <f t="shared" si="36"/>
        <v>0.12</v>
      </c>
      <c r="U322" s="25"/>
    </row>
    <row r="323" spans="1:21" ht="16" x14ac:dyDescent="0.15">
      <c r="A323" s="2">
        <v>167</v>
      </c>
      <c r="B323" s="8" t="s">
        <v>357</v>
      </c>
      <c r="C323" s="28" t="s">
        <v>358</v>
      </c>
      <c r="D323" s="8" t="s">
        <v>12</v>
      </c>
      <c r="E323" s="2" t="s">
        <v>137</v>
      </c>
      <c r="F323" s="9" t="str">
        <f t="shared" si="33"/>
        <v>RAW-CHL-008</v>
      </c>
      <c r="G323" s="2" t="s">
        <v>15</v>
      </c>
      <c r="H323" t="str">
        <f>IFERROR(VLOOKUP($D323,القوائم!$A$2:$B$4,2,0),"")</f>
        <v>RAW</v>
      </c>
      <c r="I323" t="str">
        <f t="shared" si="34"/>
        <v>CHL</v>
      </c>
      <c r="J323">
        <f>IF($H323="","",IF($N323=0,$Q323,SUMPRODUCT(($O$157:$O$590=$H323)*($P$157:$P$590=$I323)*$Q$157:$Q$590)+COUNTIFS($H$157:$H323,$H323,$I$157:$I323,$I323,$N$157:$N323,1)))</f>
        <v>8</v>
      </c>
      <c r="M323">
        <f>IF($I323="","",COUNTIF($I$5:$I323,$I323))</f>
        <v>18</v>
      </c>
      <c r="N323">
        <f t="shared" si="35"/>
        <v>0</v>
      </c>
      <c r="O323" t="s">
        <v>22</v>
      </c>
      <c r="P323" t="s">
        <v>139</v>
      </c>
      <c r="Q323">
        <v>8</v>
      </c>
      <c r="R323" s="25">
        <v>52</v>
      </c>
      <c r="S323" s="25">
        <v>100</v>
      </c>
      <c r="T323" s="24">
        <f t="shared" si="36"/>
        <v>0.52</v>
      </c>
      <c r="U323" s="25"/>
    </row>
    <row r="324" spans="1:21" ht="16" x14ac:dyDescent="0.15">
      <c r="A324" s="2">
        <v>168</v>
      </c>
      <c r="B324" s="8" t="s">
        <v>359</v>
      </c>
      <c r="C324" s="28" t="s">
        <v>360</v>
      </c>
      <c r="D324" s="8" t="s">
        <v>12</v>
      </c>
      <c r="E324" s="2" t="s">
        <v>14</v>
      </c>
      <c r="F324" s="9" t="str">
        <f t="shared" si="33"/>
        <v>RAW-CNS-020</v>
      </c>
      <c r="G324" s="2" t="s">
        <v>13</v>
      </c>
      <c r="H324" t="str">
        <f>IFERROR(VLOOKUP($D324,القوائم!$A$2:$B$4,2,0),"")</f>
        <v>RAW</v>
      </c>
      <c r="I324" t="str">
        <f t="shared" si="34"/>
        <v>CNS</v>
      </c>
      <c r="J324">
        <f>IF($H324="","",IF($N324=0,$Q324,SUMPRODUCT(($O$157:$O$590=$H324)*($P$157:$P$590=$I324)*$Q$157:$Q$590)+COUNTIFS($H$157:$H324,$H324,$I$157:$I324,$I324,$N$157:$N324,1)))</f>
        <v>20</v>
      </c>
      <c r="M324">
        <f>IF($I324="","",COUNTIF($I$5:$I324,$I324))</f>
        <v>21</v>
      </c>
      <c r="N324">
        <f t="shared" si="35"/>
        <v>0</v>
      </c>
      <c r="O324" t="s">
        <v>22</v>
      </c>
      <c r="P324" t="s">
        <v>23</v>
      </c>
      <c r="Q324">
        <v>20</v>
      </c>
      <c r="R324" s="25">
        <v>282</v>
      </c>
      <c r="S324" s="25">
        <v>100</v>
      </c>
      <c r="T324" s="24">
        <f t="shared" si="36"/>
        <v>2.82</v>
      </c>
      <c r="U324" s="25"/>
    </row>
    <row r="325" spans="1:21" ht="16" x14ac:dyDescent="0.15">
      <c r="A325" s="2">
        <v>169</v>
      </c>
      <c r="B325" s="8" t="s">
        <v>361</v>
      </c>
      <c r="C325" s="28" t="s">
        <v>362</v>
      </c>
      <c r="D325" s="8" t="s">
        <v>12</v>
      </c>
      <c r="E325" s="2" t="s">
        <v>265</v>
      </c>
      <c r="F325" s="9" t="str">
        <f t="shared" si="33"/>
        <v>RAW-DRY-025</v>
      </c>
      <c r="G325" s="2" t="s">
        <v>15</v>
      </c>
      <c r="H325" t="str">
        <f>IFERROR(VLOOKUP($D325,القوائم!$A$2:$B$4,2,0),"")</f>
        <v>RAW</v>
      </c>
      <c r="I325" t="str">
        <f t="shared" si="34"/>
        <v>DRY</v>
      </c>
      <c r="J325">
        <f>IF($H325="","",IF($N325=0,$Q325,SUMPRODUCT(($O$157:$O$590=$H325)*($P$157:$P$590=$I325)*$Q$157:$Q$590)+COUNTIFS($H$157:$H325,$H325,$I$157:$I325,$I325,$N$157:$N325,1)))</f>
        <v>25</v>
      </c>
      <c r="M325">
        <f>IF($I325="","",COUNTIF($I$5:$I325,$I325))</f>
        <v>27</v>
      </c>
      <c r="N325">
        <f t="shared" si="35"/>
        <v>0</v>
      </c>
      <c r="O325" t="s">
        <v>22</v>
      </c>
      <c r="P325" t="s">
        <v>266</v>
      </c>
      <c r="Q325">
        <v>25</v>
      </c>
      <c r="R325" s="25">
        <v>200</v>
      </c>
      <c r="S325" s="25">
        <v>100</v>
      </c>
      <c r="T325" s="24">
        <f t="shared" si="36"/>
        <v>2</v>
      </c>
      <c r="U325" s="25"/>
    </row>
    <row r="326" spans="1:21" ht="16" x14ac:dyDescent="0.15">
      <c r="A326" s="2">
        <v>170</v>
      </c>
      <c r="B326" s="8" t="s">
        <v>363</v>
      </c>
      <c r="C326" s="28" t="s">
        <v>364</v>
      </c>
      <c r="D326" s="8" t="s">
        <v>12</v>
      </c>
      <c r="E326" s="2" t="s">
        <v>137</v>
      </c>
      <c r="F326" s="9" t="str">
        <f t="shared" si="33"/>
        <v>RAW-CHL-009</v>
      </c>
      <c r="G326" s="2" t="s">
        <v>15</v>
      </c>
      <c r="H326" t="str">
        <f>IFERROR(VLOOKUP($D326,القوائم!$A$2:$B$4,2,0),"")</f>
        <v>RAW</v>
      </c>
      <c r="I326" t="str">
        <f t="shared" si="34"/>
        <v>CHL</v>
      </c>
      <c r="J326">
        <f>IF($H326="","",IF($N326=0,$Q326,SUMPRODUCT(($O$157:$O$590=$H326)*($P$157:$P$590=$I326)*$Q$157:$Q$590)+COUNTIFS($H$157:$H326,$H326,$I$157:$I326,$I326,$N$157:$N326,1)))</f>
        <v>9</v>
      </c>
      <c r="M326">
        <f>IF($I326="","",COUNTIF($I$5:$I326,$I326))</f>
        <v>19</v>
      </c>
      <c r="N326">
        <f t="shared" si="35"/>
        <v>0</v>
      </c>
      <c r="O326" t="s">
        <v>22</v>
      </c>
      <c r="P326" t="s">
        <v>139</v>
      </c>
      <c r="Q326">
        <v>9</v>
      </c>
      <c r="R326" s="25">
        <v>40</v>
      </c>
      <c r="S326" s="25">
        <v>100</v>
      </c>
      <c r="T326" s="24">
        <f t="shared" si="36"/>
        <v>0.4</v>
      </c>
      <c r="U326" s="25"/>
    </row>
    <row r="327" spans="1:21" ht="16" x14ac:dyDescent="0.15">
      <c r="A327" s="2">
        <v>171</v>
      </c>
      <c r="B327" s="8" t="s">
        <v>365</v>
      </c>
      <c r="C327" s="28" t="s">
        <v>366</v>
      </c>
      <c r="D327" s="8" t="s">
        <v>12</v>
      </c>
      <c r="E327" s="2" t="s">
        <v>218</v>
      </c>
      <c r="F327" s="9" t="str">
        <f t="shared" si="33"/>
        <v>RAW-FRZ-003</v>
      </c>
      <c r="G327" s="2" t="s">
        <v>15</v>
      </c>
      <c r="H327" t="str">
        <f>IFERROR(VLOOKUP($D327,القوائم!$A$2:$B$4,2,0),"")</f>
        <v>RAW</v>
      </c>
      <c r="I327" t="str">
        <f t="shared" si="34"/>
        <v>FRZ</v>
      </c>
      <c r="J327">
        <f>IF($H327="","",IF($N327=0,$Q327,SUMPRODUCT(($O$157:$O$590=$H327)*($P$157:$P$590=$I327)*$Q$157:$Q$590)+COUNTIFS($H$157:$H327,$H327,$I$157:$I327,$I327,$N$157:$N327,1)))</f>
        <v>3</v>
      </c>
      <c r="M327">
        <f>IF($I327="","",COUNTIF($I$5:$I327,$I327))</f>
        <v>3</v>
      </c>
      <c r="N327">
        <f t="shared" si="35"/>
        <v>0</v>
      </c>
      <c r="O327" t="s">
        <v>22</v>
      </c>
      <c r="P327" t="s">
        <v>219</v>
      </c>
      <c r="Q327">
        <v>3</v>
      </c>
      <c r="R327" s="25">
        <v>0</v>
      </c>
      <c r="S327" s="25">
        <v>100</v>
      </c>
      <c r="T327" s="24">
        <f t="shared" si="36"/>
        <v>0</v>
      </c>
      <c r="U327" s="25"/>
    </row>
    <row r="328" spans="1:21" ht="16" x14ac:dyDescent="0.15">
      <c r="A328" s="2">
        <v>172</v>
      </c>
      <c r="B328" s="8" t="s">
        <v>367</v>
      </c>
      <c r="C328" s="28" t="s">
        <v>368</v>
      </c>
      <c r="D328" s="8" t="s">
        <v>12</v>
      </c>
      <c r="E328" s="2" t="s">
        <v>265</v>
      </c>
      <c r="F328" s="9" t="str">
        <f t="shared" si="33"/>
        <v>RAW-DRY-026</v>
      </c>
      <c r="G328" s="2" t="s">
        <v>15</v>
      </c>
      <c r="H328" t="str">
        <f>IFERROR(VLOOKUP($D328,القوائم!$A$2:$B$4,2,0),"")</f>
        <v>RAW</v>
      </c>
      <c r="I328" t="str">
        <f t="shared" si="34"/>
        <v>DRY</v>
      </c>
      <c r="J328">
        <f>IF($H328="","",IF($N328=0,$Q328,SUMPRODUCT(($O$157:$O$590=$H328)*($P$157:$P$590=$I328)*$Q$157:$Q$590)+COUNTIFS($H$157:$H328,$H328,$I$157:$I328,$I328,$N$157:$N328,1)))</f>
        <v>26</v>
      </c>
      <c r="M328">
        <f>IF($I328="","",COUNTIF($I$5:$I328,$I328))</f>
        <v>28</v>
      </c>
      <c r="N328">
        <f t="shared" si="35"/>
        <v>0</v>
      </c>
      <c r="O328" t="s">
        <v>22</v>
      </c>
      <c r="P328" t="s">
        <v>266</v>
      </c>
      <c r="Q328">
        <v>26</v>
      </c>
      <c r="R328" s="25">
        <v>149</v>
      </c>
      <c r="S328" s="25">
        <v>100</v>
      </c>
      <c r="T328" s="24">
        <f t="shared" si="36"/>
        <v>1.49</v>
      </c>
      <c r="U328" s="25"/>
    </row>
    <row r="329" spans="1:21" ht="16" x14ac:dyDescent="0.15">
      <c r="A329" s="2">
        <v>173</v>
      </c>
      <c r="B329" s="8" t="s">
        <v>369</v>
      </c>
      <c r="C329" s="28" t="s">
        <v>368</v>
      </c>
      <c r="D329" s="8" t="s">
        <v>12</v>
      </c>
      <c r="E329" s="2" t="s">
        <v>265</v>
      </c>
      <c r="F329" s="9" t="str">
        <f t="shared" si="33"/>
        <v>RAW-DRY-027</v>
      </c>
      <c r="G329" s="2" t="s">
        <v>15</v>
      </c>
      <c r="H329" t="str">
        <f>IFERROR(VLOOKUP($D329,القوائم!$A$2:$B$4,2,0),"")</f>
        <v>RAW</v>
      </c>
      <c r="I329" t="str">
        <f t="shared" si="34"/>
        <v>DRY</v>
      </c>
      <c r="J329">
        <f>IF($H329="","",IF($N329=0,$Q329,SUMPRODUCT(($O$157:$O$590=$H329)*($P$157:$P$590=$I329)*$Q$157:$Q$590)+COUNTIFS($H$157:$H329,$H329,$I$157:$I329,$I329,$N$157:$N329,1)))</f>
        <v>27</v>
      </c>
      <c r="M329">
        <f>IF($I329="","",COUNTIF($I$5:$I329,$I329))</f>
        <v>29</v>
      </c>
      <c r="N329">
        <f t="shared" si="35"/>
        <v>0</v>
      </c>
      <c r="O329" t="s">
        <v>22</v>
      </c>
      <c r="P329" t="s">
        <v>266</v>
      </c>
      <c r="Q329">
        <v>27</v>
      </c>
      <c r="R329" s="25">
        <v>149</v>
      </c>
      <c r="S329" s="25">
        <v>100</v>
      </c>
      <c r="T329" s="24">
        <f t="shared" si="36"/>
        <v>1.49</v>
      </c>
      <c r="U329" s="25"/>
    </row>
    <row r="330" spans="1:21" ht="16" x14ac:dyDescent="0.15">
      <c r="A330" s="2">
        <v>174</v>
      </c>
      <c r="B330" s="8" t="s">
        <v>370</v>
      </c>
      <c r="C330" s="28" t="s">
        <v>371</v>
      </c>
      <c r="D330" s="8" t="s">
        <v>12</v>
      </c>
      <c r="E330" s="2" t="s">
        <v>265</v>
      </c>
      <c r="F330" s="9" t="str">
        <f t="shared" si="33"/>
        <v>RAW-DRY-028</v>
      </c>
      <c r="G330" s="2" t="s">
        <v>15</v>
      </c>
      <c r="H330" t="str">
        <f>IFERROR(VLOOKUP($D330,القوائم!$A$2:$B$4,2,0),"")</f>
        <v>RAW</v>
      </c>
      <c r="I330" t="str">
        <f t="shared" si="34"/>
        <v>DRY</v>
      </c>
      <c r="J330">
        <f>IF($H330="","",IF($N330=0,$Q330,SUMPRODUCT(($O$157:$O$590=$H330)*($P$157:$P$590=$I330)*$Q$157:$Q$590)+COUNTIFS($H$157:$H330,$H330,$I$157:$I330,$I330,$N$157:$N330,1)))</f>
        <v>28</v>
      </c>
      <c r="M330">
        <f>IF($I330="","",COUNTIF($I$5:$I330,$I330))</f>
        <v>30</v>
      </c>
      <c r="N330">
        <f t="shared" si="35"/>
        <v>0</v>
      </c>
      <c r="O330" t="s">
        <v>22</v>
      </c>
      <c r="P330" t="s">
        <v>266</v>
      </c>
      <c r="Q330">
        <v>28</v>
      </c>
      <c r="R330" s="25">
        <v>358</v>
      </c>
      <c r="S330" s="25">
        <v>100</v>
      </c>
      <c r="T330" s="24">
        <f t="shared" si="36"/>
        <v>3.58</v>
      </c>
      <c r="U330" s="25"/>
    </row>
    <row r="331" spans="1:21" ht="16" x14ac:dyDescent="0.15">
      <c r="A331" s="2">
        <v>175</v>
      </c>
      <c r="B331" s="8" t="s">
        <v>372</v>
      </c>
      <c r="C331" s="28" t="s">
        <v>373</v>
      </c>
      <c r="D331" s="8" t="s">
        <v>12</v>
      </c>
      <c r="E331" s="2" t="s">
        <v>137</v>
      </c>
      <c r="F331" s="9" t="str">
        <f t="shared" si="33"/>
        <v>RAW-CHL-010</v>
      </c>
      <c r="G331" s="2" t="s">
        <v>15</v>
      </c>
      <c r="H331" t="str">
        <f>IFERROR(VLOOKUP($D331,القوائم!$A$2:$B$4,2,0),"")</f>
        <v>RAW</v>
      </c>
      <c r="I331" t="str">
        <f t="shared" si="34"/>
        <v>CHL</v>
      </c>
      <c r="J331">
        <f>IF($H331="","",IF($N331=0,$Q331,SUMPRODUCT(($O$157:$O$590=$H331)*($P$157:$P$590=$I331)*$Q$157:$Q$590)+COUNTIFS($H$157:$H331,$H331,$I$157:$I331,$I331,$N$157:$N331,1)))</f>
        <v>10</v>
      </c>
      <c r="M331">
        <f>IF($I331="","",COUNTIF($I$5:$I331,$I331))</f>
        <v>20</v>
      </c>
      <c r="N331">
        <f t="shared" si="35"/>
        <v>0</v>
      </c>
      <c r="O331" t="s">
        <v>22</v>
      </c>
      <c r="P331" t="s">
        <v>139</v>
      </c>
      <c r="Q331">
        <v>10</v>
      </c>
      <c r="R331" s="25">
        <v>360</v>
      </c>
      <c r="S331" s="25">
        <v>100</v>
      </c>
      <c r="T331" s="24">
        <f t="shared" si="36"/>
        <v>3.6</v>
      </c>
      <c r="U331" s="25"/>
    </row>
    <row r="332" spans="1:21" ht="16" x14ac:dyDescent="0.15">
      <c r="A332" s="2">
        <v>176</v>
      </c>
      <c r="B332" s="8" t="s">
        <v>374</v>
      </c>
      <c r="C332" s="28" t="s">
        <v>375</v>
      </c>
      <c r="D332" s="8" t="s">
        <v>12</v>
      </c>
      <c r="E332" s="2" t="s">
        <v>137</v>
      </c>
      <c r="F332" s="9" t="str">
        <f t="shared" si="33"/>
        <v>RAW-CHL-011</v>
      </c>
      <c r="G332" s="2" t="s">
        <v>15</v>
      </c>
      <c r="H332" t="str">
        <f>IFERROR(VLOOKUP($D332,القوائم!$A$2:$B$4,2,0),"")</f>
        <v>RAW</v>
      </c>
      <c r="I332" t="str">
        <f t="shared" si="34"/>
        <v>CHL</v>
      </c>
      <c r="J332">
        <f>IF($H332="","",IF($N332=0,$Q332,SUMPRODUCT(($O$157:$O$590=$H332)*($P$157:$P$590=$I332)*$Q$157:$Q$590)+COUNTIFS($H$157:$H332,$H332,$I$157:$I332,$I332,$N$157:$N332,1)))</f>
        <v>11</v>
      </c>
      <c r="M332">
        <f>IF($I332="","",COUNTIF($I$5:$I332,$I332))</f>
        <v>21</v>
      </c>
      <c r="N332">
        <f t="shared" si="35"/>
        <v>0</v>
      </c>
      <c r="O332" t="s">
        <v>22</v>
      </c>
      <c r="P332" t="s">
        <v>139</v>
      </c>
      <c r="Q332">
        <v>11</v>
      </c>
      <c r="R332" s="25">
        <v>420</v>
      </c>
      <c r="S332" s="25">
        <v>100</v>
      </c>
      <c r="T332" s="24">
        <f t="shared" si="36"/>
        <v>4.2</v>
      </c>
      <c r="U332" s="25"/>
    </row>
    <row r="333" spans="1:21" ht="16" x14ac:dyDescent="0.15">
      <c r="A333" s="2">
        <v>177</v>
      </c>
      <c r="B333" s="8" t="s">
        <v>376</v>
      </c>
      <c r="C333" s="28" t="s">
        <v>377</v>
      </c>
      <c r="D333" s="8" t="s">
        <v>12</v>
      </c>
      <c r="E333" s="2" t="s">
        <v>137</v>
      </c>
      <c r="F333" s="9" t="str">
        <f t="shared" si="33"/>
        <v>RAW-CHL-012</v>
      </c>
      <c r="G333" s="2" t="s">
        <v>15</v>
      </c>
      <c r="H333" t="str">
        <f>IFERROR(VLOOKUP($D333,القوائم!$A$2:$B$4,2,0),"")</f>
        <v>RAW</v>
      </c>
      <c r="I333" t="str">
        <f t="shared" si="34"/>
        <v>CHL</v>
      </c>
      <c r="J333">
        <f>IF($H333="","",IF($N333=0,$Q333,SUMPRODUCT(($O$157:$O$590=$H333)*($P$157:$P$590=$I333)*$Q$157:$Q$590)+COUNTIFS($H$157:$H333,$H333,$I$157:$I333,$I333,$N$157:$N333,1)))</f>
        <v>12</v>
      </c>
      <c r="M333">
        <f>IF($I333="","",COUNTIF($I$5:$I333,$I333))</f>
        <v>22</v>
      </c>
      <c r="N333">
        <f t="shared" si="35"/>
        <v>0</v>
      </c>
      <c r="O333" t="s">
        <v>22</v>
      </c>
      <c r="P333" t="s">
        <v>139</v>
      </c>
      <c r="Q333">
        <v>12</v>
      </c>
      <c r="R333" s="25">
        <v>290</v>
      </c>
      <c r="S333" s="25">
        <v>100</v>
      </c>
      <c r="T333" s="24">
        <f t="shared" si="36"/>
        <v>2.9</v>
      </c>
      <c r="U333" s="25"/>
    </row>
    <row r="334" spans="1:21" ht="16" x14ac:dyDescent="0.15">
      <c r="A334" s="2">
        <v>178</v>
      </c>
      <c r="B334" s="8" t="s">
        <v>378</v>
      </c>
      <c r="C334" s="28" t="s">
        <v>379</v>
      </c>
      <c r="D334" s="8" t="s">
        <v>12</v>
      </c>
      <c r="E334" s="2" t="s">
        <v>137</v>
      </c>
      <c r="F334" s="9" t="str">
        <f t="shared" si="33"/>
        <v>RAW-CHL-013</v>
      </c>
      <c r="G334" s="2" t="s">
        <v>15</v>
      </c>
      <c r="H334" t="str">
        <f>IFERROR(VLOOKUP($D334,القوائم!$A$2:$B$4,2,0),"")</f>
        <v>RAW</v>
      </c>
      <c r="I334" t="str">
        <f t="shared" si="34"/>
        <v>CHL</v>
      </c>
      <c r="J334">
        <f>IF($H334="","",IF($N334=0,$Q334,SUMPRODUCT(($O$157:$O$590=$H334)*($P$157:$P$590=$I334)*$Q$157:$Q$590)+COUNTIFS($H$157:$H334,$H334,$I$157:$I334,$I334,$N$157:$N334,1)))</f>
        <v>13</v>
      </c>
      <c r="M334">
        <f>IF($I334="","",COUNTIF($I$5:$I334,$I334))</f>
        <v>23</v>
      </c>
      <c r="N334">
        <f t="shared" si="35"/>
        <v>0</v>
      </c>
      <c r="O334" t="s">
        <v>22</v>
      </c>
      <c r="P334" t="s">
        <v>139</v>
      </c>
      <c r="Q334">
        <v>13</v>
      </c>
      <c r="R334" s="25">
        <v>390</v>
      </c>
      <c r="S334" s="25">
        <v>100</v>
      </c>
      <c r="T334" s="24">
        <f t="shared" si="36"/>
        <v>3.9</v>
      </c>
      <c r="U334" s="25"/>
    </row>
    <row r="335" spans="1:21" ht="16" x14ac:dyDescent="0.15">
      <c r="A335" s="2">
        <v>179</v>
      </c>
      <c r="B335" s="8" t="s">
        <v>380</v>
      </c>
      <c r="C335" s="28" t="s">
        <v>381</v>
      </c>
      <c r="D335" s="8" t="s">
        <v>12</v>
      </c>
      <c r="E335" s="2" t="s">
        <v>137</v>
      </c>
      <c r="F335" s="9" t="str">
        <f t="shared" si="33"/>
        <v>RAW-CHL-014</v>
      </c>
      <c r="G335" s="2" t="s">
        <v>15</v>
      </c>
      <c r="H335" t="str">
        <f>IFERROR(VLOOKUP($D335,القوائم!$A$2:$B$4,2,0),"")</f>
        <v>RAW</v>
      </c>
      <c r="I335" t="str">
        <f t="shared" si="34"/>
        <v>CHL</v>
      </c>
      <c r="J335">
        <f>IF($H335="","",IF($N335=0,$Q335,SUMPRODUCT(($O$157:$O$590=$H335)*($P$157:$P$590=$I335)*$Q$157:$Q$590)+COUNTIFS($H$157:$H335,$H335,$I$157:$I335,$I335,$N$157:$N335,1)))</f>
        <v>14</v>
      </c>
      <c r="M335">
        <f>IF($I335="","",COUNTIF($I$5:$I335,$I335))</f>
        <v>24</v>
      </c>
      <c r="N335">
        <f t="shared" si="35"/>
        <v>0</v>
      </c>
      <c r="O335" t="s">
        <v>22</v>
      </c>
      <c r="P335" t="s">
        <v>139</v>
      </c>
      <c r="Q335">
        <v>14</v>
      </c>
      <c r="R335" s="25">
        <v>390</v>
      </c>
      <c r="S335" s="25">
        <v>100</v>
      </c>
      <c r="T335" s="24">
        <f t="shared" si="36"/>
        <v>3.9</v>
      </c>
      <c r="U335" s="25"/>
    </row>
    <row r="336" spans="1:21" ht="16" x14ac:dyDescent="0.15">
      <c r="A336" s="2">
        <v>180</v>
      </c>
      <c r="B336" s="8" t="s">
        <v>382</v>
      </c>
      <c r="C336" s="28" t="s">
        <v>383</v>
      </c>
      <c r="D336" s="8" t="s">
        <v>12</v>
      </c>
      <c r="E336" s="2" t="s">
        <v>137</v>
      </c>
      <c r="F336" s="9" t="str">
        <f t="shared" si="33"/>
        <v>RAW-CHL-015</v>
      </c>
      <c r="G336" s="2" t="s">
        <v>15</v>
      </c>
      <c r="H336" t="str">
        <f>IFERROR(VLOOKUP($D336,القوائم!$A$2:$B$4,2,0),"")</f>
        <v>RAW</v>
      </c>
      <c r="I336" t="str">
        <f t="shared" si="34"/>
        <v>CHL</v>
      </c>
      <c r="J336">
        <f>IF($H336="","",IF($N336=0,$Q336,SUMPRODUCT(($O$157:$O$590=$H336)*($P$157:$P$590=$I336)*$Q$157:$Q$590)+COUNTIFS($H$157:$H336,$H336,$I$157:$I336,$I336,$N$157:$N336,1)))</f>
        <v>15</v>
      </c>
      <c r="M336">
        <f>IF($I336="","",COUNTIF($I$5:$I336,$I336))</f>
        <v>25</v>
      </c>
      <c r="N336">
        <f t="shared" si="35"/>
        <v>0</v>
      </c>
      <c r="O336" t="s">
        <v>22</v>
      </c>
      <c r="P336" t="s">
        <v>139</v>
      </c>
      <c r="Q336">
        <v>15</v>
      </c>
      <c r="R336" s="25">
        <v>265</v>
      </c>
      <c r="S336" s="25">
        <v>100</v>
      </c>
      <c r="T336" s="24">
        <f t="shared" si="36"/>
        <v>2.65</v>
      </c>
      <c r="U336" s="25"/>
    </row>
    <row r="337" spans="1:21" ht="16" x14ac:dyDescent="0.15">
      <c r="A337" s="2">
        <v>181</v>
      </c>
      <c r="B337" s="8" t="s">
        <v>384</v>
      </c>
      <c r="C337" s="28" t="s">
        <v>385</v>
      </c>
      <c r="D337" s="8" t="s">
        <v>12</v>
      </c>
      <c r="E337" s="2" t="s">
        <v>137</v>
      </c>
      <c r="F337" s="9" t="str">
        <f t="shared" si="33"/>
        <v>RAW-CHL-016</v>
      </c>
      <c r="G337" s="2" t="s">
        <v>15</v>
      </c>
      <c r="H337" t="str">
        <f>IFERROR(VLOOKUP($D337,القوائم!$A$2:$B$4,2,0),"")</f>
        <v>RAW</v>
      </c>
      <c r="I337" t="str">
        <f t="shared" si="34"/>
        <v>CHL</v>
      </c>
      <c r="J337">
        <f>IF($H337="","",IF($N337=0,$Q337,SUMPRODUCT(($O$157:$O$590=$H337)*($P$157:$P$590=$I337)*$Q$157:$Q$590)+COUNTIFS($H$157:$H337,$H337,$I$157:$I337,$I337,$N$157:$N337,1)))</f>
        <v>16</v>
      </c>
      <c r="M337">
        <f>IF($I337="","",COUNTIF($I$5:$I337,$I337))</f>
        <v>26</v>
      </c>
      <c r="N337">
        <f t="shared" si="35"/>
        <v>0</v>
      </c>
      <c r="O337" t="s">
        <v>22</v>
      </c>
      <c r="P337" t="s">
        <v>139</v>
      </c>
      <c r="Q337">
        <v>16</v>
      </c>
      <c r="R337" s="25">
        <v>340</v>
      </c>
      <c r="S337" s="25">
        <v>100</v>
      </c>
      <c r="T337" s="24">
        <f t="shared" si="36"/>
        <v>3.4</v>
      </c>
      <c r="U337" s="25"/>
    </row>
    <row r="338" spans="1:21" ht="16" x14ac:dyDescent="0.15">
      <c r="A338" s="2">
        <v>182</v>
      </c>
      <c r="B338" s="8" t="s">
        <v>386</v>
      </c>
      <c r="C338" s="28" t="s">
        <v>387</v>
      </c>
      <c r="D338" s="8" t="s">
        <v>12</v>
      </c>
      <c r="E338" s="2" t="s">
        <v>137</v>
      </c>
      <c r="F338" s="9" t="str">
        <f t="shared" si="33"/>
        <v>RAW-CHL-017</v>
      </c>
      <c r="G338" s="2" t="s">
        <v>15</v>
      </c>
      <c r="H338" t="str">
        <f>IFERROR(VLOOKUP($D338,القوائم!$A$2:$B$4,2,0),"")</f>
        <v>RAW</v>
      </c>
      <c r="I338" t="str">
        <f t="shared" si="34"/>
        <v>CHL</v>
      </c>
      <c r="J338">
        <f>IF($H338="","",IF($N338=0,$Q338,SUMPRODUCT(($O$157:$O$590=$H338)*($P$157:$P$590=$I338)*$Q$157:$Q$590)+COUNTIFS($H$157:$H338,$H338,$I$157:$I338,$I338,$N$157:$N338,1)))</f>
        <v>17</v>
      </c>
      <c r="M338">
        <f>IF($I338="","",COUNTIF($I$5:$I338,$I338))</f>
        <v>27</v>
      </c>
      <c r="N338">
        <f t="shared" si="35"/>
        <v>0</v>
      </c>
      <c r="O338" t="s">
        <v>22</v>
      </c>
      <c r="P338" t="s">
        <v>139</v>
      </c>
      <c r="Q338">
        <v>17</v>
      </c>
      <c r="R338" s="25">
        <v>370</v>
      </c>
      <c r="S338" s="25">
        <v>100</v>
      </c>
      <c r="T338" s="24">
        <f t="shared" si="36"/>
        <v>3.7</v>
      </c>
      <c r="U338" s="25"/>
    </row>
    <row r="339" spans="1:21" ht="16" x14ac:dyDescent="0.15">
      <c r="A339" s="2">
        <v>183</v>
      </c>
      <c r="B339" s="8" t="s">
        <v>388</v>
      </c>
      <c r="C339" s="28" t="s">
        <v>389</v>
      </c>
      <c r="D339" s="8" t="s">
        <v>12</v>
      </c>
      <c r="E339" s="2" t="s">
        <v>137</v>
      </c>
      <c r="F339" s="9" t="str">
        <f t="shared" si="33"/>
        <v>RAW-CHL-018</v>
      </c>
      <c r="G339" s="2" t="s">
        <v>15</v>
      </c>
      <c r="H339" t="str">
        <f>IFERROR(VLOOKUP($D339,القوائم!$A$2:$B$4,2,0),"")</f>
        <v>RAW</v>
      </c>
      <c r="I339" t="str">
        <f t="shared" si="34"/>
        <v>CHL</v>
      </c>
      <c r="J339">
        <f>IF($H339="","",IF($N339=0,$Q339,SUMPRODUCT(($O$157:$O$590=$H339)*($P$157:$P$590=$I339)*$Q$157:$Q$590)+COUNTIFS($H$157:$H339,$H339,$I$157:$I339,$I339,$N$157:$N339,1)))</f>
        <v>18</v>
      </c>
      <c r="M339">
        <f>IF($I339="","",COUNTIF($I$5:$I339,$I339))</f>
        <v>28</v>
      </c>
      <c r="N339">
        <f t="shared" si="35"/>
        <v>0</v>
      </c>
      <c r="O339" t="s">
        <v>22</v>
      </c>
      <c r="P339" t="s">
        <v>139</v>
      </c>
      <c r="Q339">
        <v>18</v>
      </c>
      <c r="R339" s="25">
        <v>360</v>
      </c>
      <c r="S339" s="25">
        <v>100</v>
      </c>
      <c r="T339" s="24">
        <f t="shared" si="36"/>
        <v>3.6</v>
      </c>
      <c r="U339" s="25"/>
    </row>
    <row r="340" spans="1:21" ht="16" x14ac:dyDescent="0.15">
      <c r="A340" s="2">
        <v>184</v>
      </c>
      <c r="B340" s="8" t="s">
        <v>390</v>
      </c>
      <c r="C340" s="28" t="s">
        <v>391</v>
      </c>
      <c r="D340" s="8" t="s">
        <v>12</v>
      </c>
      <c r="E340" s="2" t="s">
        <v>137</v>
      </c>
      <c r="F340" s="9" t="str">
        <f t="shared" si="33"/>
        <v>RAW-CHL-019</v>
      </c>
      <c r="G340" s="2" t="s">
        <v>15</v>
      </c>
      <c r="H340" t="str">
        <f>IFERROR(VLOOKUP($D340,القوائم!$A$2:$B$4,2,0),"")</f>
        <v>RAW</v>
      </c>
      <c r="I340" t="str">
        <f t="shared" si="34"/>
        <v>CHL</v>
      </c>
      <c r="J340">
        <f>IF($H340="","",IF($N340=0,$Q340,SUMPRODUCT(($O$157:$O$590=$H340)*($P$157:$P$590=$I340)*$Q$157:$Q$590)+COUNTIFS($H$157:$H340,$H340,$I$157:$I340,$I340,$N$157:$N340,1)))</f>
        <v>19</v>
      </c>
      <c r="M340">
        <f>IF($I340="","",COUNTIF($I$5:$I340,$I340))</f>
        <v>29</v>
      </c>
      <c r="N340">
        <f t="shared" si="35"/>
        <v>0</v>
      </c>
      <c r="O340" t="s">
        <v>22</v>
      </c>
      <c r="P340" t="s">
        <v>139</v>
      </c>
      <c r="Q340">
        <v>19</v>
      </c>
      <c r="R340" s="25">
        <v>25</v>
      </c>
      <c r="S340" s="25">
        <v>100</v>
      </c>
      <c r="T340" s="24">
        <f t="shared" si="36"/>
        <v>0.25</v>
      </c>
      <c r="U340" s="25"/>
    </row>
    <row r="341" spans="1:21" ht="16" x14ac:dyDescent="0.15">
      <c r="A341" s="2">
        <v>185</v>
      </c>
      <c r="B341" s="8" t="s">
        <v>392</v>
      </c>
      <c r="C341" s="28" t="s">
        <v>393</v>
      </c>
      <c r="D341" s="8" t="s">
        <v>12</v>
      </c>
      <c r="E341" s="2" t="s">
        <v>137</v>
      </c>
      <c r="F341" s="9" t="str">
        <f t="shared" si="33"/>
        <v>RAW-CHL-020</v>
      </c>
      <c r="G341" s="2" t="s">
        <v>15</v>
      </c>
      <c r="H341" t="str">
        <f>IFERROR(VLOOKUP($D341,القوائم!$A$2:$B$4,2,0),"")</f>
        <v>RAW</v>
      </c>
      <c r="I341" t="str">
        <f t="shared" si="34"/>
        <v>CHL</v>
      </c>
      <c r="J341">
        <f>IF($H341="","",IF($N341=0,$Q341,SUMPRODUCT(($O$157:$O$590=$H341)*($P$157:$P$590=$I341)*$Q$157:$Q$590)+COUNTIFS($H$157:$H341,$H341,$I$157:$I341,$I341,$N$157:$N341,1)))</f>
        <v>20</v>
      </c>
      <c r="M341">
        <f>IF($I341="","",COUNTIF($I$5:$I341,$I341))</f>
        <v>30</v>
      </c>
      <c r="N341">
        <f t="shared" si="35"/>
        <v>0</v>
      </c>
      <c r="O341" t="s">
        <v>22</v>
      </c>
      <c r="P341" t="s">
        <v>139</v>
      </c>
      <c r="Q341">
        <v>20</v>
      </c>
      <c r="R341" s="25">
        <v>41</v>
      </c>
      <c r="S341" s="25">
        <v>100</v>
      </c>
      <c r="T341" s="24">
        <f t="shared" si="36"/>
        <v>0.41</v>
      </c>
      <c r="U341" s="25"/>
    </row>
    <row r="342" spans="1:21" ht="16" x14ac:dyDescent="0.15">
      <c r="A342" s="2">
        <v>186</v>
      </c>
      <c r="B342" s="8" t="s">
        <v>394</v>
      </c>
      <c r="C342" s="28" t="s">
        <v>395</v>
      </c>
      <c r="D342" s="8" t="s">
        <v>12</v>
      </c>
      <c r="E342" s="2" t="s">
        <v>218</v>
      </c>
      <c r="F342" s="9" t="str">
        <f t="shared" si="33"/>
        <v>RAW-FRZ-004</v>
      </c>
      <c r="G342" s="2" t="s">
        <v>15</v>
      </c>
      <c r="H342" t="str">
        <f>IFERROR(VLOOKUP($D342,القوائم!$A$2:$B$4,2,0),"")</f>
        <v>RAW</v>
      </c>
      <c r="I342" t="str">
        <f t="shared" si="34"/>
        <v>FRZ</v>
      </c>
      <c r="J342">
        <f>IF($H342="","",IF($N342=0,$Q342,SUMPRODUCT(($O$157:$O$590=$H342)*($P$157:$P$590=$I342)*$Q$157:$Q$590)+COUNTIFS($H$157:$H342,$H342,$I$157:$I342,$I342,$N$157:$N342,1)))</f>
        <v>4</v>
      </c>
      <c r="M342">
        <f>IF($I342="","",COUNTIF($I$5:$I342,$I342))</f>
        <v>4</v>
      </c>
      <c r="N342">
        <f t="shared" si="35"/>
        <v>0</v>
      </c>
      <c r="O342" t="s">
        <v>22</v>
      </c>
      <c r="P342" t="s">
        <v>219</v>
      </c>
      <c r="Q342">
        <v>4</v>
      </c>
      <c r="R342" s="25">
        <v>85</v>
      </c>
      <c r="S342" s="25">
        <v>100</v>
      </c>
      <c r="T342" s="24">
        <f t="shared" si="36"/>
        <v>0.85</v>
      </c>
      <c r="U342" s="25"/>
    </row>
    <row r="343" spans="1:21" ht="16" x14ac:dyDescent="0.15">
      <c r="A343" s="2">
        <v>187</v>
      </c>
      <c r="B343" s="8" t="s">
        <v>396</v>
      </c>
      <c r="C343" s="28" t="s">
        <v>397</v>
      </c>
      <c r="D343" s="8" t="s">
        <v>12</v>
      </c>
      <c r="E343" s="2" t="s">
        <v>265</v>
      </c>
      <c r="F343" s="9" t="str">
        <f t="shared" si="33"/>
        <v>RAW-DRY-029</v>
      </c>
      <c r="G343" s="2" t="s">
        <v>15</v>
      </c>
      <c r="H343" t="str">
        <f>IFERROR(VLOOKUP($D343,القوائم!$A$2:$B$4,2,0),"")</f>
        <v>RAW</v>
      </c>
      <c r="I343" t="str">
        <f t="shared" si="34"/>
        <v>DRY</v>
      </c>
      <c r="J343">
        <f>IF($H343="","",IF($N343=0,$Q343,SUMPRODUCT(($O$157:$O$590=$H343)*($P$157:$P$590=$I343)*$Q$157:$Q$590)+COUNTIFS($H$157:$H343,$H343,$I$157:$I343,$I343,$N$157:$N343,1)))</f>
        <v>29</v>
      </c>
      <c r="M343">
        <f>IF($I343="","",COUNTIF($I$5:$I343,$I343))</f>
        <v>31</v>
      </c>
      <c r="N343">
        <f t="shared" si="35"/>
        <v>0</v>
      </c>
      <c r="O343" t="s">
        <v>22</v>
      </c>
      <c r="P343" t="s">
        <v>266</v>
      </c>
      <c r="Q343">
        <v>29</v>
      </c>
      <c r="R343" s="25">
        <v>691</v>
      </c>
      <c r="S343" s="25">
        <v>100</v>
      </c>
      <c r="T343" s="24">
        <f t="shared" si="36"/>
        <v>6.91</v>
      </c>
      <c r="U343" s="25"/>
    </row>
    <row r="344" spans="1:21" ht="16" x14ac:dyDescent="0.15">
      <c r="A344" s="2">
        <v>188</v>
      </c>
      <c r="B344" s="8" t="s">
        <v>398</v>
      </c>
      <c r="C344" s="28" t="s">
        <v>399</v>
      </c>
      <c r="D344" s="8" t="s">
        <v>12</v>
      </c>
      <c r="E344" s="2" t="s">
        <v>265</v>
      </c>
      <c r="F344" s="9" t="str">
        <f t="shared" si="33"/>
        <v>RAW-DRY-030</v>
      </c>
      <c r="G344" s="2" t="s">
        <v>15</v>
      </c>
      <c r="H344" t="str">
        <f>IFERROR(VLOOKUP($D344,القوائم!$A$2:$B$4,2,0),"")</f>
        <v>RAW</v>
      </c>
      <c r="I344" t="str">
        <f t="shared" si="34"/>
        <v>DRY</v>
      </c>
      <c r="J344">
        <f>IF($H344="","",IF($N344=0,$Q344,SUMPRODUCT(($O$157:$O$590=$H344)*($P$157:$P$590=$I344)*$Q$157:$Q$590)+COUNTIFS($H$157:$H344,$H344,$I$157:$I344,$I344,$N$157:$N344,1)))</f>
        <v>30</v>
      </c>
      <c r="M344">
        <f>IF($I344="","",COUNTIF($I$5:$I344,$I344))</f>
        <v>32</v>
      </c>
      <c r="N344">
        <f t="shared" si="35"/>
        <v>0</v>
      </c>
      <c r="O344" t="s">
        <v>22</v>
      </c>
      <c r="P344" t="s">
        <v>266</v>
      </c>
      <c r="Q344">
        <v>30</v>
      </c>
      <c r="R344" s="25">
        <v>654</v>
      </c>
      <c r="S344" s="25">
        <v>100</v>
      </c>
      <c r="T344" s="24">
        <f t="shared" si="36"/>
        <v>6.54</v>
      </c>
      <c r="U344" s="25"/>
    </row>
    <row r="345" spans="1:21" ht="16" x14ac:dyDescent="0.15">
      <c r="A345" s="2">
        <v>189</v>
      </c>
      <c r="B345" s="8" t="s">
        <v>400</v>
      </c>
      <c r="C345" s="28" t="s">
        <v>401</v>
      </c>
      <c r="D345" s="8" t="s">
        <v>12</v>
      </c>
      <c r="E345" s="2" t="s">
        <v>265</v>
      </c>
      <c r="F345" s="9" t="str">
        <f t="shared" si="33"/>
        <v>RAW-DRY-031</v>
      </c>
      <c r="G345" s="2" t="s">
        <v>15</v>
      </c>
      <c r="H345" t="str">
        <f>IFERROR(VLOOKUP($D345,القوائم!$A$2:$B$4,2,0),"")</f>
        <v>RAW</v>
      </c>
      <c r="I345" t="str">
        <f t="shared" si="34"/>
        <v>DRY</v>
      </c>
      <c r="J345">
        <f>IF($H345="","",IF($N345=0,$Q345,SUMPRODUCT(($O$157:$O$590=$H345)*($P$157:$P$590=$I345)*$Q$157:$Q$590)+COUNTIFS($H$157:$H345,$H345,$I$157:$I345,$I345,$N$157:$N345,1)))</f>
        <v>31</v>
      </c>
      <c r="M345">
        <f>IF($I345="","",COUNTIF($I$5:$I345,$I345))</f>
        <v>33</v>
      </c>
      <c r="N345">
        <f t="shared" si="35"/>
        <v>0</v>
      </c>
      <c r="O345" t="s">
        <v>22</v>
      </c>
      <c r="P345" t="s">
        <v>266</v>
      </c>
      <c r="Q345">
        <v>31</v>
      </c>
      <c r="R345" s="25">
        <v>525</v>
      </c>
      <c r="S345" s="25">
        <v>100</v>
      </c>
      <c r="T345" s="24">
        <f t="shared" si="36"/>
        <v>5.25</v>
      </c>
      <c r="U345" s="25"/>
    </row>
    <row r="346" spans="1:21" ht="16" x14ac:dyDescent="0.15">
      <c r="A346" s="2">
        <v>190</v>
      </c>
      <c r="B346" s="8" t="s">
        <v>402</v>
      </c>
      <c r="C346" s="28" t="s">
        <v>403</v>
      </c>
      <c r="D346" s="8" t="s">
        <v>16</v>
      </c>
      <c r="E346" s="2" t="s">
        <v>26</v>
      </c>
      <c r="F346" s="9" t="str">
        <f t="shared" si="33"/>
        <v>FIN-RTS-104</v>
      </c>
      <c r="G346" s="2" t="s">
        <v>13</v>
      </c>
      <c r="H346" t="str">
        <f>IFERROR(VLOOKUP($D346,القوائم!$A$2:$B$4,2,0),"")</f>
        <v>FIN</v>
      </c>
      <c r="I346" t="str">
        <f t="shared" si="34"/>
        <v>RTS</v>
      </c>
      <c r="J346">
        <f>IF($H346="","",IF($N346=0,$Q346,SUMPRODUCT(($O$157:$O$590=$H346)*($P$157:$P$590=$I346)*$Q$157:$Q$590)+COUNTIFS($H$157:$H346,$H346,$I$157:$I346,$I346,$N$157:$N346,1)))</f>
        <v>104</v>
      </c>
      <c r="M346">
        <f>IF($I346="","",COUNTIF($I$5:$I346,$I346))</f>
        <v>104</v>
      </c>
      <c r="N346">
        <f t="shared" si="35"/>
        <v>0</v>
      </c>
      <c r="O346" t="s">
        <v>27</v>
      </c>
      <c r="P346" t="s">
        <v>28</v>
      </c>
      <c r="Q346">
        <v>104</v>
      </c>
      <c r="R346" s="25">
        <v>240</v>
      </c>
      <c r="S346" s="25">
        <v>100</v>
      </c>
      <c r="T346" s="24">
        <f t="shared" si="36"/>
        <v>2.4</v>
      </c>
      <c r="U346" s="25"/>
    </row>
    <row r="347" spans="1:21" ht="16" x14ac:dyDescent="0.15">
      <c r="A347" s="2">
        <v>191</v>
      </c>
      <c r="B347" s="8" t="s">
        <v>404</v>
      </c>
      <c r="C347" s="28" t="s">
        <v>405</v>
      </c>
      <c r="D347" s="8" t="s">
        <v>16</v>
      </c>
      <c r="E347" s="2" t="s">
        <v>26</v>
      </c>
      <c r="F347" s="9" t="str">
        <f t="shared" si="33"/>
        <v>FIN-RTS-105</v>
      </c>
      <c r="G347" s="2" t="s">
        <v>13</v>
      </c>
      <c r="H347" t="str">
        <f>IFERROR(VLOOKUP($D347,القوائم!$A$2:$B$4,2,0),"")</f>
        <v>FIN</v>
      </c>
      <c r="I347" t="str">
        <f t="shared" si="34"/>
        <v>RTS</v>
      </c>
      <c r="J347">
        <f>IF($H347="","",IF($N347=0,$Q347,SUMPRODUCT(($O$157:$O$590=$H347)*($P$157:$P$590=$I347)*$Q$157:$Q$590)+COUNTIFS($H$157:$H347,$H347,$I$157:$I347,$I347,$N$157:$N347,1)))</f>
        <v>105</v>
      </c>
      <c r="M347">
        <f>IF($I347="","",COUNTIF($I$5:$I347,$I347))</f>
        <v>105</v>
      </c>
      <c r="N347">
        <f t="shared" si="35"/>
        <v>0</v>
      </c>
      <c r="O347" t="s">
        <v>27</v>
      </c>
      <c r="P347" t="s">
        <v>28</v>
      </c>
      <c r="Q347">
        <v>105</v>
      </c>
      <c r="R347" s="25">
        <v>250</v>
      </c>
      <c r="S347" s="25">
        <v>100</v>
      </c>
      <c r="T347" s="24">
        <f t="shared" si="36"/>
        <v>2.5</v>
      </c>
      <c r="U347" s="25"/>
    </row>
    <row r="348" spans="1:21" ht="16" x14ac:dyDescent="0.15">
      <c r="A348" s="2">
        <v>192</v>
      </c>
      <c r="B348" s="8" t="s">
        <v>406</v>
      </c>
      <c r="C348" s="28" t="s">
        <v>407</v>
      </c>
      <c r="D348" s="8" t="s">
        <v>16</v>
      </c>
      <c r="E348" s="2" t="s">
        <v>26</v>
      </c>
      <c r="F348" s="9" t="str">
        <f t="shared" si="33"/>
        <v>FIN-RTS-106</v>
      </c>
      <c r="G348" s="2" t="s">
        <v>13</v>
      </c>
      <c r="H348" t="str">
        <f>IFERROR(VLOOKUP($D348,القوائم!$A$2:$B$4,2,0),"")</f>
        <v>FIN</v>
      </c>
      <c r="I348" t="str">
        <f t="shared" si="34"/>
        <v>RTS</v>
      </c>
      <c r="J348">
        <f>IF($H348="","",IF($N348=0,$Q348,SUMPRODUCT(($O$157:$O$590=$H348)*($P$157:$P$590=$I348)*$Q$157:$Q$590)+COUNTIFS($H$157:$H348,$H348,$I$157:$I348,$I348,$N$157:$N348,1)))</f>
        <v>106</v>
      </c>
      <c r="M348">
        <f>IF($I348="","",COUNTIF($I$5:$I348,$I348))</f>
        <v>106</v>
      </c>
      <c r="N348">
        <f t="shared" si="35"/>
        <v>0</v>
      </c>
      <c r="O348" t="s">
        <v>27</v>
      </c>
      <c r="P348" t="s">
        <v>28</v>
      </c>
      <c r="Q348">
        <v>106</v>
      </c>
      <c r="R348" s="25">
        <v>230</v>
      </c>
      <c r="S348" s="25">
        <v>100</v>
      </c>
      <c r="T348" s="24">
        <f t="shared" si="36"/>
        <v>2.2999999999999998</v>
      </c>
      <c r="U348" s="25"/>
    </row>
    <row r="349" spans="1:21" ht="17" x14ac:dyDescent="0.15">
      <c r="A349" s="2">
        <v>193</v>
      </c>
      <c r="B349" s="8" t="s">
        <v>408</v>
      </c>
      <c r="C349" s="28" t="s">
        <v>409</v>
      </c>
      <c r="D349" s="8" t="s">
        <v>12</v>
      </c>
      <c r="E349" s="2" t="s">
        <v>14</v>
      </c>
      <c r="F349" s="9" t="str">
        <f t="shared" ref="F349:F412" si="37">IF($H349="","",$H349&amp;"-"&amp;$I349&amp;"-"&amp;TEXT($J349,"000"))</f>
        <v>RAW-CNS-021</v>
      </c>
      <c r="G349" s="2" t="s">
        <v>13</v>
      </c>
      <c r="H349" t="str">
        <f>IFERROR(VLOOKUP($D349,القوائم!$A$2:$B$4,2,0),"")</f>
        <v>RAW</v>
      </c>
      <c r="I349" t="str">
        <f t="shared" ref="I349:I412" si="38">IF($H349="FIN","RTS",IF(ISNUMBER(SEARCH("مجمد",$E349)),"FRZ",IF(ISNUMBER(SEARCH("مبرد",$E349)),"CHL",IF(ISNUMBER(SEARCH("جاف",$E349)),"DRY",IF(ISNUMBER(SEARCH("استهلاك",$E349)),"CNS",IF(ISNUMBER(SEARCH("بيع",$E349)),"RTS",""))))))</f>
        <v>CNS</v>
      </c>
      <c r="J349">
        <f>IF($H349="","",IF($N349=0,$Q349,SUMPRODUCT(($O$157:$O$590=$H349)*($P$157:$P$590=$I349)*$Q$157:$Q$590)+COUNTIFS($H$157:$H349,$H349,$I$157:$I349,$I349,$N$157:$N349,1)))</f>
        <v>21</v>
      </c>
      <c r="M349">
        <f>IF($I349="","",COUNTIF($I$5:$I349,$I349))</f>
        <v>22</v>
      </c>
      <c r="N349">
        <f t="shared" ref="N349:N412" si="39">IF($H349="","",IF(OR($H349&lt;&gt;$O349,$I349&lt;&gt;$P349),1,0))</f>
        <v>0</v>
      </c>
      <c r="O349" t="s">
        <v>22</v>
      </c>
      <c r="P349" t="s">
        <v>23</v>
      </c>
      <c r="Q349">
        <v>21</v>
      </c>
      <c r="R349" s="25"/>
      <c r="S349" s="25"/>
      <c r="T349" s="24" t="str">
        <f t="shared" ref="T349:T412" si="40">IF(OR($R349="",$S349="",$S349=0),"",ROUND($R349/$S349,2))</f>
        <v/>
      </c>
      <c r="U349" s="25"/>
    </row>
    <row r="350" spans="1:21" ht="16" x14ac:dyDescent="0.15">
      <c r="A350" s="2">
        <v>194</v>
      </c>
      <c r="B350" s="8" t="s">
        <v>410</v>
      </c>
      <c r="C350" s="28" t="s">
        <v>411</v>
      </c>
      <c r="D350" s="8" t="s">
        <v>12</v>
      </c>
      <c r="E350" s="2" t="s">
        <v>265</v>
      </c>
      <c r="F350" s="9" t="str">
        <f t="shared" si="37"/>
        <v>RAW-DRY-032</v>
      </c>
      <c r="G350" s="2" t="s">
        <v>15</v>
      </c>
      <c r="H350" t="str">
        <f>IFERROR(VLOOKUP($D350,القوائم!$A$2:$B$4,2,0),"")</f>
        <v>RAW</v>
      </c>
      <c r="I350" t="str">
        <f t="shared" si="38"/>
        <v>DRY</v>
      </c>
      <c r="J350">
        <f>IF($H350="","",IF($N350=0,$Q350,SUMPRODUCT(($O$157:$O$590=$H350)*($P$157:$P$590=$I350)*$Q$157:$Q$590)+COUNTIFS($H$157:$H350,$H350,$I$157:$I350,$I350,$N$157:$N350,1)))</f>
        <v>32</v>
      </c>
      <c r="M350">
        <f>IF($I350="","",COUNTIF($I$5:$I350,$I350))</f>
        <v>34</v>
      </c>
      <c r="N350">
        <f t="shared" si="39"/>
        <v>0</v>
      </c>
      <c r="O350" t="s">
        <v>22</v>
      </c>
      <c r="P350" t="s">
        <v>266</v>
      </c>
      <c r="Q350">
        <v>32</v>
      </c>
      <c r="R350" s="25">
        <v>559</v>
      </c>
      <c r="S350" s="25">
        <v>100</v>
      </c>
      <c r="T350" s="24">
        <f t="shared" si="40"/>
        <v>5.59</v>
      </c>
      <c r="U350" s="25"/>
    </row>
    <row r="351" spans="1:21" ht="16" x14ac:dyDescent="0.15">
      <c r="A351" s="2">
        <v>195</v>
      </c>
      <c r="B351" s="8" t="s">
        <v>412</v>
      </c>
      <c r="C351" s="28" t="s">
        <v>413</v>
      </c>
      <c r="D351" s="8" t="s">
        <v>12</v>
      </c>
      <c r="E351" s="2" t="s">
        <v>265</v>
      </c>
      <c r="F351" s="9" t="str">
        <f t="shared" si="37"/>
        <v>RAW-DRY-033</v>
      </c>
      <c r="G351" s="2" t="s">
        <v>15</v>
      </c>
      <c r="H351" t="str">
        <f>IFERROR(VLOOKUP($D351,القوائم!$A$2:$B$4,2,0),"")</f>
        <v>RAW</v>
      </c>
      <c r="I351" t="str">
        <f t="shared" si="38"/>
        <v>DRY</v>
      </c>
      <c r="J351">
        <f>IF($H351="","",IF($N351=0,$Q351,SUMPRODUCT(($O$157:$O$590=$H351)*($P$157:$P$590=$I351)*$Q$157:$Q$590)+COUNTIFS($H$157:$H351,$H351,$I$157:$I351,$I351,$N$157:$N351,1)))</f>
        <v>33</v>
      </c>
      <c r="M351">
        <f>IF($I351="","",COUNTIF($I$5:$I351,$I351))</f>
        <v>35</v>
      </c>
      <c r="N351">
        <f t="shared" si="39"/>
        <v>0</v>
      </c>
      <c r="O351" t="s">
        <v>22</v>
      </c>
      <c r="P351" t="s">
        <v>266</v>
      </c>
      <c r="Q351">
        <v>33</v>
      </c>
      <c r="R351" s="25">
        <v>400</v>
      </c>
      <c r="S351" s="25">
        <v>100</v>
      </c>
      <c r="T351" s="24">
        <f t="shared" si="40"/>
        <v>4</v>
      </c>
      <c r="U351" s="25"/>
    </row>
    <row r="352" spans="1:21" ht="17" x14ac:dyDescent="0.15">
      <c r="A352" s="2">
        <v>196</v>
      </c>
      <c r="B352" s="8" t="s">
        <v>414</v>
      </c>
      <c r="C352" s="28" t="s">
        <v>415</v>
      </c>
      <c r="D352" s="8" t="s">
        <v>12</v>
      </c>
      <c r="E352" s="2" t="s">
        <v>14</v>
      </c>
      <c r="F352" s="9" t="str">
        <f t="shared" si="37"/>
        <v>RAW-CNS-022</v>
      </c>
      <c r="G352" s="2" t="s">
        <v>13</v>
      </c>
      <c r="H352" t="str">
        <f>IFERROR(VLOOKUP($D352,القوائم!$A$2:$B$4,2,0),"")</f>
        <v>RAW</v>
      </c>
      <c r="I352" t="str">
        <f t="shared" si="38"/>
        <v>CNS</v>
      </c>
      <c r="J352">
        <f>IF($H352="","",IF($N352=0,$Q352,SUMPRODUCT(($O$157:$O$590=$H352)*($P$157:$P$590=$I352)*$Q$157:$Q$590)+COUNTIFS($H$157:$H352,$H352,$I$157:$I352,$I352,$N$157:$N352,1)))</f>
        <v>22</v>
      </c>
      <c r="M352">
        <f>IF($I352="","",COUNTIF($I$5:$I352,$I352))</f>
        <v>23</v>
      </c>
      <c r="N352">
        <f t="shared" si="39"/>
        <v>0</v>
      </c>
      <c r="O352" t="s">
        <v>22</v>
      </c>
      <c r="P352" t="s">
        <v>23</v>
      </c>
      <c r="Q352">
        <v>22</v>
      </c>
      <c r="R352" s="25"/>
      <c r="S352" s="25"/>
      <c r="T352" s="24" t="str">
        <f t="shared" si="40"/>
        <v/>
      </c>
      <c r="U352" s="25"/>
    </row>
    <row r="353" spans="1:21" ht="16" x14ac:dyDescent="0.15">
      <c r="A353" s="2">
        <v>197</v>
      </c>
      <c r="B353" s="8" t="s">
        <v>416</v>
      </c>
      <c r="C353" s="28" t="s">
        <v>417</v>
      </c>
      <c r="D353" s="8" t="s">
        <v>12</v>
      </c>
      <c r="E353" s="2" t="s">
        <v>137</v>
      </c>
      <c r="F353" s="9" t="str">
        <f t="shared" si="37"/>
        <v>RAW-CHL-021</v>
      </c>
      <c r="G353" s="2" t="s">
        <v>15</v>
      </c>
      <c r="H353" t="str">
        <f>IFERROR(VLOOKUP($D353,القوائم!$A$2:$B$4,2,0),"")</f>
        <v>RAW</v>
      </c>
      <c r="I353" t="str">
        <f t="shared" si="38"/>
        <v>CHL</v>
      </c>
      <c r="J353">
        <f>IF($H353="","",IF($N353=0,$Q353,SUMPRODUCT(($O$157:$O$590=$H353)*($P$157:$P$590=$I353)*$Q$157:$Q$590)+COUNTIFS($H$157:$H353,$H353,$I$157:$I353,$I353,$N$157:$N353,1)))</f>
        <v>21</v>
      </c>
      <c r="M353">
        <f>IF($I353="","",COUNTIF($I$5:$I353,$I353))</f>
        <v>31</v>
      </c>
      <c r="N353">
        <f t="shared" si="39"/>
        <v>0</v>
      </c>
      <c r="O353" t="s">
        <v>22</v>
      </c>
      <c r="P353" t="s">
        <v>139</v>
      </c>
      <c r="Q353">
        <v>21</v>
      </c>
      <c r="R353" s="25">
        <v>320</v>
      </c>
      <c r="S353" s="25">
        <v>100</v>
      </c>
      <c r="T353" s="24">
        <f t="shared" si="40"/>
        <v>3.2</v>
      </c>
      <c r="U353" s="25"/>
    </row>
    <row r="354" spans="1:21" ht="16" x14ac:dyDescent="0.15">
      <c r="A354" s="2">
        <v>198</v>
      </c>
      <c r="B354" s="8" t="s">
        <v>418</v>
      </c>
      <c r="C354" s="28" t="s">
        <v>419</v>
      </c>
      <c r="D354" s="8" t="s">
        <v>12</v>
      </c>
      <c r="E354" s="2" t="s">
        <v>265</v>
      </c>
      <c r="F354" s="9" t="str">
        <f t="shared" si="37"/>
        <v>RAW-DRY-034</v>
      </c>
      <c r="G354" s="2" t="s">
        <v>355</v>
      </c>
      <c r="H354" t="str">
        <f>IFERROR(VLOOKUP($D354,القوائم!$A$2:$B$4,2,0),"")</f>
        <v>RAW</v>
      </c>
      <c r="I354" t="str">
        <f t="shared" si="38"/>
        <v>DRY</v>
      </c>
      <c r="J354">
        <f>IF($H354="","",IF($N354=0,$Q354,SUMPRODUCT(($O$157:$O$590=$H354)*($P$157:$P$590=$I354)*$Q$157:$Q$590)+COUNTIFS($H$157:$H354,$H354,$I$157:$I354,$I354,$N$157:$N354,1)))</f>
        <v>34</v>
      </c>
      <c r="M354">
        <f>IF($I354="","",COUNTIF($I$5:$I354,$I354))</f>
        <v>36</v>
      </c>
      <c r="N354">
        <f t="shared" si="39"/>
        <v>0</v>
      </c>
      <c r="O354" t="s">
        <v>22</v>
      </c>
      <c r="P354" t="s">
        <v>266</v>
      </c>
      <c r="Q354">
        <v>34</v>
      </c>
      <c r="R354" s="25">
        <v>62</v>
      </c>
      <c r="S354" s="25">
        <v>100</v>
      </c>
      <c r="T354" s="24">
        <f t="shared" si="40"/>
        <v>0.62</v>
      </c>
      <c r="U354" s="25"/>
    </row>
    <row r="355" spans="1:21" ht="16" x14ac:dyDescent="0.15">
      <c r="A355" s="2">
        <v>199</v>
      </c>
      <c r="B355" s="8" t="s">
        <v>420</v>
      </c>
      <c r="C355" s="28" t="s">
        <v>421</v>
      </c>
      <c r="D355" s="8" t="s">
        <v>12</v>
      </c>
      <c r="E355" s="2" t="s">
        <v>137</v>
      </c>
      <c r="F355" s="9" t="str">
        <f t="shared" si="37"/>
        <v>RAW-CHL-022</v>
      </c>
      <c r="G355" s="2" t="s">
        <v>355</v>
      </c>
      <c r="H355" t="str">
        <f>IFERROR(VLOOKUP($D355,القوائم!$A$2:$B$4,2,0),"")</f>
        <v>RAW</v>
      </c>
      <c r="I355" t="str">
        <f t="shared" si="38"/>
        <v>CHL</v>
      </c>
      <c r="J355">
        <f>IF($H355="","",IF($N355=0,$Q355,SUMPRODUCT(($O$157:$O$590=$H355)*($P$157:$P$590=$I355)*$Q$157:$Q$590)+COUNTIFS($H$157:$H355,$H355,$I$157:$I355,$I355,$N$157:$N355,1)))</f>
        <v>22</v>
      </c>
      <c r="M355">
        <f>IF($I355="","",COUNTIF($I$5:$I355,$I355))</f>
        <v>32</v>
      </c>
      <c r="N355">
        <f t="shared" si="39"/>
        <v>0</v>
      </c>
      <c r="O355" t="s">
        <v>22</v>
      </c>
      <c r="P355" t="s">
        <v>139</v>
      </c>
      <c r="Q355">
        <v>22</v>
      </c>
      <c r="R355" s="25">
        <v>62</v>
      </c>
      <c r="S355" s="25">
        <v>100</v>
      </c>
      <c r="T355" s="24">
        <f t="shared" si="40"/>
        <v>0.62</v>
      </c>
      <c r="U355" s="25"/>
    </row>
    <row r="356" spans="1:21" ht="16" x14ac:dyDescent="0.15">
      <c r="A356" s="2">
        <v>200</v>
      </c>
      <c r="B356" s="8" t="s">
        <v>422</v>
      </c>
      <c r="C356" s="28" t="s">
        <v>423</v>
      </c>
      <c r="D356" s="8" t="s">
        <v>12</v>
      </c>
      <c r="E356" s="2" t="s">
        <v>265</v>
      </c>
      <c r="F356" s="9" t="str">
        <f t="shared" si="37"/>
        <v>RAW-DRY-035</v>
      </c>
      <c r="G356" s="2" t="s">
        <v>15</v>
      </c>
      <c r="H356" t="str">
        <f>IFERROR(VLOOKUP($D356,القوائم!$A$2:$B$4,2,0),"")</f>
        <v>RAW</v>
      </c>
      <c r="I356" t="str">
        <f t="shared" si="38"/>
        <v>DRY</v>
      </c>
      <c r="J356">
        <f>IF($H356="","",IF($N356=0,$Q356,SUMPRODUCT(($O$157:$O$590=$H356)*($P$157:$P$590=$I356)*$Q$157:$Q$590)+COUNTIFS($H$157:$H356,$H356,$I$157:$I356,$I356,$N$157:$N356,1)))</f>
        <v>35</v>
      </c>
      <c r="M356">
        <f>IF($I356="","",COUNTIF($I$5:$I356,$I356))</f>
        <v>37</v>
      </c>
      <c r="N356">
        <f t="shared" si="39"/>
        <v>0</v>
      </c>
      <c r="O356" t="s">
        <v>22</v>
      </c>
      <c r="P356" t="s">
        <v>266</v>
      </c>
      <c r="Q356">
        <v>35</v>
      </c>
      <c r="R356" s="25">
        <v>496</v>
      </c>
      <c r="S356" s="25">
        <v>100</v>
      </c>
      <c r="T356" s="24">
        <f t="shared" si="40"/>
        <v>4.96</v>
      </c>
      <c r="U356" s="25"/>
    </row>
    <row r="357" spans="1:21" ht="16" x14ac:dyDescent="0.15">
      <c r="A357" s="2">
        <v>201</v>
      </c>
      <c r="B357" s="8" t="s">
        <v>424</v>
      </c>
      <c r="C357" s="28" t="s">
        <v>425</v>
      </c>
      <c r="D357" s="8" t="s">
        <v>12</v>
      </c>
      <c r="E357" s="2" t="s">
        <v>265</v>
      </c>
      <c r="F357" s="9" t="str">
        <f t="shared" si="37"/>
        <v>RAW-DRY-036</v>
      </c>
      <c r="G357" s="2" t="s">
        <v>355</v>
      </c>
      <c r="H357" t="str">
        <f>IFERROR(VLOOKUP($D357,القوائم!$A$2:$B$4,2,0),"")</f>
        <v>RAW</v>
      </c>
      <c r="I357" t="str">
        <f t="shared" si="38"/>
        <v>DRY</v>
      </c>
      <c r="J357">
        <f>IF($H357="","",IF($N357=0,$Q357,SUMPRODUCT(($O$157:$O$590=$H357)*($P$157:$P$590=$I357)*$Q$157:$Q$590)+COUNTIFS($H$157:$H357,$H357,$I$157:$I357,$I357,$N$157:$N357,1)))</f>
        <v>36</v>
      </c>
      <c r="M357">
        <f>IF($I357="","",COUNTIF($I$5:$I357,$I357))</f>
        <v>38</v>
      </c>
      <c r="N357">
        <f t="shared" si="39"/>
        <v>0</v>
      </c>
      <c r="O357" t="s">
        <v>22</v>
      </c>
      <c r="P357" t="s">
        <v>266</v>
      </c>
      <c r="Q357">
        <v>36</v>
      </c>
      <c r="R357" s="25">
        <v>66</v>
      </c>
      <c r="S357" s="25">
        <v>100</v>
      </c>
      <c r="T357" s="24">
        <f t="shared" si="40"/>
        <v>0.66</v>
      </c>
      <c r="U357" s="25"/>
    </row>
    <row r="358" spans="1:21" ht="16" x14ac:dyDescent="0.15">
      <c r="A358" s="2">
        <v>202</v>
      </c>
      <c r="B358" s="8" t="s">
        <v>426</v>
      </c>
      <c r="C358" s="28" t="s">
        <v>425</v>
      </c>
      <c r="D358" s="8" t="s">
        <v>12</v>
      </c>
      <c r="E358" s="2" t="s">
        <v>265</v>
      </c>
      <c r="F358" s="9" t="str">
        <f t="shared" si="37"/>
        <v>RAW-DRY-037</v>
      </c>
      <c r="G358" s="2" t="s">
        <v>355</v>
      </c>
      <c r="H358" t="str">
        <f>IFERROR(VLOOKUP($D358,القوائم!$A$2:$B$4,2,0),"")</f>
        <v>RAW</v>
      </c>
      <c r="I358" t="str">
        <f t="shared" si="38"/>
        <v>DRY</v>
      </c>
      <c r="J358">
        <f>IF($H358="","",IF($N358=0,$Q358,SUMPRODUCT(($O$157:$O$590=$H358)*($P$157:$P$590=$I358)*$Q$157:$Q$590)+COUNTIFS($H$157:$H358,$H358,$I$157:$I358,$I358,$N$157:$N358,1)))</f>
        <v>37</v>
      </c>
      <c r="M358">
        <f>IF($I358="","",COUNTIF($I$5:$I358,$I358))</f>
        <v>39</v>
      </c>
      <c r="N358">
        <f t="shared" si="39"/>
        <v>0</v>
      </c>
      <c r="O358" t="s">
        <v>22</v>
      </c>
      <c r="P358" t="s">
        <v>266</v>
      </c>
      <c r="Q358">
        <v>37</v>
      </c>
      <c r="R358" s="25">
        <v>66</v>
      </c>
      <c r="S358" s="25">
        <v>100</v>
      </c>
      <c r="T358" s="24">
        <f t="shared" si="40"/>
        <v>0.66</v>
      </c>
      <c r="U358" s="25"/>
    </row>
    <row r="359" spans="1:21" ht="16" x14ac:dyDescent="0.15">
      <c r="A359" s="2">
        <v>203</v>
      </c>
      <c r="B359" s="8" t="s">
        <v>427</v>
      </c>
      <c r="C359" s="28" t="s">
        <v>428</v>
      </c>
      <c r="D359" s="8" t="s">
        <v>12</v>
      </c>
      <c r="E359" s="2" t="s">
        <v>137</v>
      </c>
      <c r="F359" s="9" t="str">
        <f t="shared" si="37"/>
        <v>RAW-CHL-023</v>
      </c>
      <c r="G359" s="2" t="s">
        <v>15</v>
      </c>
      <c r="H359" t="str">
        <f>IFERROR(VLOOKUP($D359,القوائم!$A$2:$B$4,2,0),"")</f>
        <v>RAW</v>
      </c>
      <c r="I359" t="str">
        <f t="shared" si="38"/>
        <v>CHL</v>
      </c>
      <c r="J359">
        <f>IF($H359="","",IF($N359=0,$Q359,SUMPRODUCT(($O$157:$O$590=$H359)*($P$157:$P$590=$I359)*$Q$157:$Q$590)+COUNTIFS($H$157:$H359,$H359,$I$157:$I359,$I359,$N$157:$N359,1)))</f>
        <v>23</v>
      </c>
      <c r="M359">
        <f>IF($I359="","",COUNTIF($I$5:$I359,$I359))</f>
        <v>33</v>
      </c>
      <c r="N359">
        <f t="shared" si="39"/>
        <v>0</v>
      </c>
      <c r="O359" t="s">
        <v>22</v>
      </c>
      <c r="P359" t="s">
        <v>139</v>
      </c>
      <c r="Q359">
        <v>23</v>
      </c>
      <c r="R359" s="25">
        <v>17</v>
      </c>
      <c r="S359" s="25">
        <v>100</v>
      </c>
      <c r="T359" s="24">
        <f t="shared" si="40"/>
        <v>0.17</v>
      </c>
      <c r="U359" s="25"/>
    </row>
    <row r="360" spans="1:21" ht="16" x14ac:dyDescent="0.15">
      <c r="A360" s="2">
        <v>204</v>
      </c>
      <c r="B360" s="8" t="s">
        <v>429</v>
      </c>
      <c r="C360" s="28" t="s">
        <v>428</v>
      </c>
      <c r="D360" s="8" t="s">
        <v>12</v>
      </c>
      <c r="E360" s="2" t="s">
        <v>137</v>
      </c>
      <c r="F360" s="9" t="str">
        <f t="shared" si="37"/>
        <v>RAW-CHL-024</v>
      </c>
      <c r="G360" s="2" t="s">
        <v>15</v>
      </c>
      <c r="H360" t="str">
        <f>IFERROR(VLOOKUP($D360,القوائم!$A$2:$B$4,2,0),"")</f>
        <v>RAW</v>
      </c>
      <c r="I360" t="str">
        <f t="shared" si="38"/>
        <v>CHL</v>
      </c>
      <c r="J360">
        <f>IF($H360="","",IF($N360=0,$Q360,SUMPRODUCT(($O$157:$O$590=$H360)*($P$157:$P$590=$I360)*$Q$157:$Q$590)+COUNTIFS($H$157:$H360,$H360,$I$157:$I360,$I360,$N$157:$N360,1)))</f>
        <v>24</v>
      </c>
      <c r="M360">
        <f>IF($I360="","",COUNTIF($I$5:$I360,$I360))</f>
        <v>34</v>
      </c>
      <c r="N360">
        <f t="shared" si="39"/>
        <v>0</v>
      </c>
      <c r="O360" t="s">
        <v>22</v>
      </c>
      <c r="P360" t="s">
        <v>139</v>
      </c>
      <c r="Q360">
        <v>24</v>
      </c>
      <c r="R360" s="25">
        <v>16</v>
      </c>
      <c r="S360" s="25">
        <v>100</v>
      </c>
      <c r="T360" s="24">
        <f t="shared" si="40"/>
        <v>0.16</v>
      </c>
      <c r="U360" s="25"/>
    </row>
    <row r="361" spans="1:21" ht="16" x14ac:dyDescent="0.15">
      <c r="A361" s="2">
        <v>205</v>
      </c>
      <c r="B361" s="8" t="s">
        <v>430</v>
      </c>
      <c r="C361" s="28" t="s">
        <v>431</v>
      </c>
      <c r="D361" s="8" t="s">
        <v>12</v>
      </c>
      <c r="E361" s="2" t="s">
        <v>137</v>
      </c>
      <c r="F361" s="9" t="str">
        <f t="shared" si="37"/>
        <v>RAW-CHL-025</v>
      </c>
      <c r="G361" s="2" t="s">
        <v>15</v>
      </c>
      <c r="H361" t="str">
        <f>IFERROR(VLOOKUP($D361,القوائم!$A$2:$B$4,2,0),"")</f>
        <v>RAW</v>
      </c>
      <c r="I361" t="str">
        <f t="shared" si="38"/>
        <v>CHL</v>
      </c>
      <c r="J361">
        <f>IF($H361="","",IF($N361=0,$Q361,SUMPRODUCT(($O$157:$O$590=$H361)*($P$157:$P$590=$I361)*$Q$157:$Q$590)+COUNTIFS($H$157:$H361,$H361,$I$157:$I361,$I361,$N$157:$N361,1)))</f>
        <v>25</v>
      </c>
      <c r="M361">
        <f>IF($I361="","",COUNTIF($I$5:$I361,$I361))</f>
        <v>35</v>
      </c>
      <c r="N361">
        <f t="shared" si="39"/>
        <v>0</v>
      </c>
      <c r="O361" t="s">
        <v>22</v>
      </c>
      <c r="P361" t="s">
        <v>139</v>
      </c>
      <c r="Q361">
        <v>25</v>
      </c>
      <c r="R361" s="25">
        <v>35</v>
      </c>
      <c r="S361" s="25">
        <v>100</v>
      </c>
      <c r="T361" s="24">
        <f t="shared" si="40"/>
        <v>0.35</v>
      </c>
      <c r="U361" s="25"/>
    </row>
    <row r="362" spans="1:21" ht="16" x14ac:dyDescent="0.15">
      <c r="A362" s="2">
        <v>206</v>
      </c>
      <c r="B362" s="8" t="s">
        <v>432</v>
      </c>
      <c r="C362" s="28" t="s">
        <v>433</v>
      </c>
      <c r="D362" s="8" t="s">
        <v>12</v>
      </c>
      <c r="E362" s="2" t="s">
        <v>265</v>
      </c>
      <c r="F362" s="9" t="str">
        <f t="shared" si="37"/>
        <v>RAW-DRY-038</v>
      </c>
      <c r="G362" s="2" t="s">
        <v>355</v>
      </c>
      <c r="H362" t="str">
        <f>IFERROR(VLOOKUP($D362,القوائم!$A$2:$B$4,2,0),"")</f>
        <v>RAW</v>
      </c>
      <c r="I362" t="str">
        <f t="shared" si="38"/>
        <v>DRY</v>
      </c>
      <c r="J362">
        <f>IF($H362="","",IF($N362=0,$Q362,SUMPRODUCT(($O$157:$O$590=$H362)*($P$157:$P$590=$I362)*$Q$157:$Q$590)+COUNTIFS($H$157:$H362,$H362,$I$157:$I362,$I362,$N$157:$N362,1)))</f>
        <v>38</v>
      </c>
      <c r="M362">
        <f>IF($I362="","",COUNTIF($I$5:$I362,$I362))</f>
        <v>40</v>
      </c>
      <c r="N362">
        <f t="shared" si="39"/>
        <v>0</v>
      </c>
      <c r="O362" t="s">
        <v>22</v>
      </c>
      <c r="P362" t="s">
        <v>266</v>
      </c>
      <c r="Q362">
        <v>38</v>
      </c>
      <c r="R362" s="25">
        <v>88</v>
      </c>
      <c r="S362" s="25">
        <v>100</v>
      </c>
      <c r="T362" s="24">
        <f t="shared" si="40"/>
        <v>0.88</v>
      </c>
      <c r="U362" s="25"/>
    </row>
    <row r="363" spans="1:21" ht="16" x14ac:dyDescent="0.15">
      <c r="A363" s="2">
        <v>207</v>
      </c>
      <c r="B363" s="8" t="s">
        <v>434</v>
      </c>
      <c r="C363" s="28" t="s">
        <v>435</v>
      </c>
      <c r="D363" s="8" t="s">
        <v>12</v>
      </c>
      <c r="E363" s="2" t="s">
        <v>265</v>
      </c>
      <c r="F363" s="9" t="str">
        <f t="shared" si="37"/>
        <v>RAW-DRY-039</v>
      </c>
      <c r="G363" s="2" t="s">
        <v>355</v>
      </c>
      <c r="H363" t="str">
        <f>IFERROR(VLOOKUP($D363,القوائم!$A$2:$B$4,2,0),"")</f>
        <v>RAW</v>
      </c>
      <c r="I363" t="str">
        <f t="shared" si="38"/>
        <v>DRY</v>
      </c>
      <c r="J363">
        <f>IF($H363="","",IF($N363=0,$Q363,SUMPRODUCT(($O$157:$O$590=$H363)*($P$157:$P$590=$I363)*$Q$157:$Q$590)+COUNTIFS($H$157:$H363,$H363,$I$157:$I363,$I363,$N$157:$N363,1)))</f>
        <v>39</v>
      </c>
      <c r="M363">
        <f>IF($I363="","",COUNTIF($I$5:$I363,$I363))</f>
        <v>41</v>
      </c>
      <c r="N363">
        <f t="shared" si="39"/>
        <v>0</v>
      </c>
      <c r="O363" t="s">
        <v>22</v>
      </c>
      <c r="P363" t="s">
        <v>266</v>
      </c>
      <c r="Q363">
        <v>39</v>
      </c>
      <c r="R363" s="25">
        <v>22</v>
      </c>
      <c r="S363" s="25">
        <v>100</v>
      </c>
      <c r="T363" s="24">
        <f t="shared" si="40"/>
        <v>0.22</v>
      </c>
      <c r="U363" s="25"/>
    </row>
    <row r="364" spans="1:21" ht="16" x14ac:dyDescent="0.15">
      <c r="A364" s="2">
        <v>208</v>
      </c>
      <c r="B364" s="8" t="s">
        <v>436</v>
      </c>
      <c r="C364" s="28" t="s">
        <v>437</v>
      </c>
      <c r="D364" s="8" t="s">
        <v>12</v>
      </c>
      <c r="E364" s="2" t="s">
        <v>265</v>
      </c>
      <c r="F364" s="9" t="str">
        <f t="shared" si="37"/>
        <v>RAW-DRY-040</v>
      </c>
      <c r="G364" s="2" t="s">
        <v>355</v>
      </c>
      <c r="H364" t="str">
        <f>IFERROR(VLOOKUP($D364,القوائم!$A$2:$B$4,2,0),"")</f>
        <v>RAW</v>
      </c>
      <c r="I364" t="str">
        <f t="shared" si="38"/>
        <v>DRY</v>
      </c>
      <c r="J364">
        <f>IF($H364="","",IF($N364=0,$Q364,SUMPRODUCT(($O$157:$O$590=$H364)*($P$157:$P$590=$I364)*$Q$157:$Q$590)+COUNTIFS($H$157:$H364,$H364,$I$157:$I364,$I364,$N$157:$N364,1)))</f>
        <v>40</v>
      </c>
      <c r="M364">
        <f>IF($I364="","",COUNTIF($I$5:$I364,$I364))</f>
        <v>42</v>
      </c>
      <c r="N364">
        <f t="shared" si="39"/>
        <v>0</v>
      </c>
      <c r="O364" t="s">
        <v>22</v>
      </c>
      <c r="P364" t="s">
        <v>266</v>
      </c>
      <c r="Q364">
        <v>40</v>
      </c>
      <c r="R364" s="25">
        <v>18</v>
      </c>
      <c r="S364" s="25">
        <v>100</v>
      </c>
      <c r="T364" s="24">
        <f t="shared" si="40"/>
        <v>0.18</v>
      </c>
      <c r="U364" s="25"/>
    </row>
    <row r="365" spans="1:21" ht="16" x14ac:dyDescent="0.15">
      <c r="A365" s="2">
        <v>209</v>
      </c>
      <c r="B365" s="8" t="s">
        <v>438</v>
      </c>
      <c r="C365" s="28" t="s">
        <v>439</v>
      </c>
      <c r="D365" s="8" t="s">
        <v>12</v>
      </c>
      <c r="E365" s="2" t="s">
        <v>265</v>
      </c>
      <c r="F365" s="9" t="str">
        <f t="shared" si="37"/>
        <v>RAW-DRY-041</v>
      </c>
      <c r="G365" s="2" t="s">
        <v>15</v>
      </c>
      <c r="H365" t="str">
        <f>IFERROR(VLOOKUP($D365,القوائم!$A$2:$B$4,2,0),"")</f>
        <v>RAW</v>
      </c>
      <c r="I365" t="str">
        <f t="shared" si="38"/>
        <v>DRY</v>
      </c>
      <c r="J365">
        <f>IF($H365="","",IF($N365=0,$Q365,SUMPRODUCT(($O$157:$O$590=$H365)*($P$157:$P$590=$I365)*$Q$157:$Q$590)+COUNTIFS($H$157:$H365,$H365,$I$157:$I365,$I365,$N$157:$N365,1)))</f>
        <v>41</v>
      </c>
      <c r="M365">
        <f>IF($I365="","",COUNTIF($I$5:$I365,$I365))</f>
        <v>43</v>
      </c>
      <c r="N365">
        <f t="shared" si="39"/>
        <v>0</v>
      </c>
      <c r="O365" t="s">
        <v>22</v>
      </c>
      <c r="P365" t="s">
        <v>266</v>
      </c>
      <c r="Q365">
        <v>41</v>
      </c>
      <c r="R365" s="25">
        <v>200</v>
      </c>
      <c r="S365" s="25">
        <v>100</v>
      </c>
      <c r="T365" s="24">
        <f t="shared" si="40"/>
        <v>2</v>
      </c>
      <c r="U365" s="25"/>
    </row>
    <row r="366" spans="1:21" ht="16" x14ac:dyDescent="0.15">
      <c r="A366" s="2">
        <v>210</v>
      </c>
      <c r="B366" s="8" t="s">
        <v>440</v>
      </c>
      <c r="C366" s="28" t="s">
        <v>439</v>
      </c>
      <c r="D366" s="8" t="s">
        <v>12</v>
      </c>
      <c r="E366" s="2" t="s">
        <v>265</v>
      </c>
      <c r="F366" s="9" t="str">
        <f t="shared" si="37"/>
        <v>RAW-DRY-042</v>
      </c>
      <c r="G366" s="2" t="s">
        <v>15</v>
      </c>
      <c r="H366" t="str">
        <f>IFERROR(VLOOKUP($D366,القوائم!$A$2:$B$4,2,0),"")</f>
        <v>RAW</v>
      </c>
      <c r="I366" t="str">
        <f t="shared" si="38"/>
        <v>DRY</v>
      </c>
      <c r="J366">
        <f>IF($H366="","",IF($N366=0,$Q366,SUMPRODUCT(($O$157:$O$590=$H366)*($P$157:$P$590=$I366)*$Q$157:$Q$590)+COUNTIFS($H$157:$H366,$H366,$I$157:$I366,$I366,$N$157:$N366,1)))</f>
        <v>42</v>
      </c>
      <c r="M366">
        <f>IF($I366="","",COUNTIF($I$5:$I366,$I366))</f>
        <v>44</v>
      </c>
      <c r="N366">
        <f t="shared" si="39"/>
        <v>0</v>
      </c>
      <c r="O366" t="s">
        <v>22</v>
      </c>
      <c r="P366" t="s">
        <v>266</v>
      </c>
      <c r="Q366">
        <v>42</v>
      </c>
      <c r="R366" s="25">
        <v>325</v>
      </c>
      <c r="S366" s="25">
        <v>100</v>
      </c>
      <c r="T366" s="24">
        <f t="shared" si="40"/>
        <v>3.25</v>
      </c>
      <c r="U366" s="25"/>
    </row>
    <row r="367" spans="1:21" ht="16" x14ac:dyDescent="0.15">
      <c r="A367" s="2">
        <v>211</v>
      </c>
      <c r="B367" s="8" t="s">
        <v>441</v>
      </c>
      <c r="C367" s="28" t="s">
        <v>442</v>
      </c>
      <c r="D367" s="8" t="s">
        <v>12</v>
      </c>
      <c r="E367" s="2" t="s">
        <v>137</v>
      </c>
      <c r="F367" s="9" t="str">
        <f t="shared" si="37"/>
        <v>RAW-CHL-026</v>
      </c>
      <c r="G367" s="2" t="s">
        <v>15</v>
      </c>
      <c r="H367" t="str">
        <f>IFERROR(VLOOKUP($D367,القوائم!$A$2:$B$4,2,0),"")</f>
        <v>RAW</v>
      </c>
      <c r="I367" t="str">
        <f t="shared" si="38"/>
        <v>CHL</v>
      </c>
      <c r="J367">
        <f>IF($H367="","",IF($N367=0,$Q367,SUMPRODUCT(($O$157:$O$590=$H367)*($P$157:$P$590=$I367)*$Q$157:$Q$590)+COUNTIFS($H$157:$H367,$H367,$I$157:$I367,$I367,$N$157:$N367,1)))</f>
        <v>26</v>
      </c>
      <c r="M367">
        <f>IF($I367="","",COUNTIF($I$5:$I367,$I367))</f>
        <v>36</v>
      </c>
      <c r="N367">
        <f t="shared" si="39"/>
        <v>0</v>
      </c>
      <c r="O367" t="s">
        <v>22</v>
      </c>
      <c r="P367" t="s">
        <v>139</v>
      </c>
      <c r="Q367">
        <v>26</v>
      </c>
      <c r="R367" s="25">
        <v>39</v>
      </c>
      <c r="S367" s="25">
        <v>100</v>
      </c>
      <c r="T367" s="24">
        <f t="shared" si="40"/>
        <v>0.39</v>
      </c>
      <c r="U367" s="25"/>
    </row>
    <row r="368" spans="1:21" ht="16" x14ac:dyDescent="0.15">
      <c r="A368" s="2">
        <v>212</v>
      </c>
      <c r="B368" s="8" t="s">
        <v>443</v>
      </c>
      <c r="C368" s="28" t="s">
        <v>444</v>
      </c>
      <c r="D368" s="8" t="s">
        <v>12</v>
      </c>
      <c r="E368" s="2" t="s">
        <v>265</v>
      </c>
      <c r="F368" s="9" t="str">
        <f t="shared" si="37"/>
        <v>RAW-DRY-043</v>
      </c>
      <c r="G368" s="2" t="s">
        <v>355</v>
      </c>
      <c r="H368" t="str">
        <f>IFERROR(VLOOKUP($D368,القوائم!$A$2:$B$4,2,0),"")</f>
        <v>RAW</v>
      </c>
      <c r="I368" t="str">
        <f t="shared" si="38"/>
        <v>DRY</v>
      </c>
      <c r="J368">
        <f>IF($H368="","",IF($N368=0,$Q368,SUMPRODUCT(($O$157:$O$590=$H368)*($P$157:$P$590=$I368)*$Q$157:$Q$590)+COUNTIFS($H$157:$H368,$H368,$I$157:$I368,$I368,$N$157:$N368,1)))</f>
        <v>43</v>
      </c>
      <c r="M368">
        <f>IF($I368="","",COUNTIF($I$5:$I368,$I368))</f>
        <v>45</v>
      </c>
      <c r="N368">
        <f t="shared" si="39"/>
        <v>0</v>
      </c>
      <c r="O368" t="s">
        <v>22</v>
      </c>
      <c r="P368" t="s">
        <v>266</v>
      </c>
      <c r="Q368">
        <v>43</v>
      </c>
      <c r="R368" s="25">
        <v>280</v>
      </c>
      <c r="S368" s="25">
        <v>100</v>
      </c>
      <c r="T368" s="24">
        <f t="shared" si="40"/>
        <v>2.8</v>
      </c>
      <c r="U368" s="25"/>
    </row>
    <row r="369" spans="1:21" ht="16" x14ac:dyDescent="0.15">
      <c r="A369" s="2">
        <v>213</v>
      </c>
      <c r="B369" s="8" t="s">
        <v>445</v>
      </c>
      <c r="C369" s="28" t="s">
        <v>446</v>
      </c>
      <c r="D369" s="8" t="s">
        <v>12</v>
      </c>
      <c r="E369" s="2" t="s">
        <v>265</v>
      </c>
      <c r="F369" s="9" t="str">
        <f t="shared" si="37"/>
        <v>RAW-DRY-044</v>
      </c>
      <c r="G369" s="2" t="s">
        <v>15</v>
      </c>
      <c r="H369" t="str">
        <f>IFERROR(VLOOKUP($D369,القوائم!$A$2:$B$4,2,0),"")</f>
        <v>RAW</v>
      </c>
      <c r="I369" t="str">
        <f t="shared" si="38"/>
        <v>DRY</v>
      </c>
      <c r="J369">
        <f>IF($H369="","",IF($N369=0,$Q369,SUMPRODUCT(($O$157:$O$590=$H369)*($P$157:$P$590=$I369)*$Q$157:$Q$590)+COUNTIFS($H$157:$H369,$H369,$I$157:$I369,$I369,$N$157:$N369,1)))</f>
        <v>44</v>
      </c>
      <c r="M369">
        <f>IF($I369="","",COUNTIF($I$5:$I369,$I369))</f>
        <v>46</v>
      </c>
      <c r="N369">
        <f t="shared" si="39"/>
        <v>0</v>
      </c>
      <c r="O369" t="s">
        <v>22</v>
      </c>
      <c r="P369" t="s">
        <v>266</v>
      </c>
      <c r="Q369">
        <v>44</v>
      </c>
      <c r="R369" s="25">
        <v>364</v>
      </c>
      <c r="S369" s="25">
        <v>100</v>
      </c>
      <c r="T369" s="24">
        <f t="shared" si="40"/>
        <v>3.64</v>
      </c>
      <c r="U369" s="25"/>
    </row>
    <row r="370" spans="1:21" ht="16" x14ac:dyDescent="0.15">
      <c r="A370" s="2">
        <v>214</v>
      </c>
      <c r="B370" s="8" t="s">
        <v>447</v>
      </c>
      <c r="C370" s="28" t="s">
        <v>448</v>
      </c>
      <c r="D370" s="8" t="s">
        <v>12</v>
      </c>
      <c r="E370" s="2" t="s">
        <v>265</v>
      </c>
      <c r="F370" s="9" t="str">
        <f t="shared" si="37"/>
        <v>RAW-DRY-045</v>
      </c>
      <c r="G370" s="2" t="s">
        <v>15</v>
      </c>
      <c r="H370" t="str">
        <f>IFERROR(VLOOKUP($D370,القوائم!$A$2:$B$4,2,0),"")</f>
        <v>RAW</v>
      </c>
      <c r="I370" t="str">
        <f t="shared" si="38"/>
        <v>DRY</v>
      </c>
      <c r="J370">
        <f>IF($H370="","",IF($N370=0,$Q370,SUMPRODUCT(($O$157:$O$590=$H370)*($P$157:$P$590=$I370)*$Q$157:$Q$590)+COUNTIFS($H$157:$H370,$H370,$I$157:$I370,$I370,$N$157:$N370,1)))</f>
        <v>45</v>
      </c>
      <c r="M370">
        <f>IF($I370="","",COUNTIF($I$5:$I370,$I370))</f>
        <v>47</v>
      </c>
      <c r="N370">
        <f t="shared" si="39"/>
        <v>0</v>
      </c>
      <c r="O370" t="s">
        <v>22</v>
      </c>
      <c r="P370" t="s">
        <v>266</v>
      </c>
      <c r="Q370">
        <v>45</v>
      </c>
      <c r="R370" s="25">
        <v>364</v>
      </c>
      <c r="S370" s="25">
        <v>100</v>
      </c>
      <c r="T370" s="24">
        <f t="shared" si="40"/>
        <v>3.64</v>
      </c>
      <c r="U370" s="25"/>
    </row>
    <row r="371" spans="1:21" ht="16" x14ac:dyDescent="0.15">
      <c r="A371" s="2">
        <v>215</v>
      </c>
      <c r="B371" s="8" t="s">
        <v>449</v>
      </c>
      <c r="C371" s="28" t="s">
        <v>450</v>
      </c>
      <c r="D371" s="8" t="s">
        <v>12</v>
      </c>
      <c r="E371" s="2" t="s">
        <v>265</v>
      </c>
      <c r="F371" s="9" t="str">
        <f t="shared" si="37"/>
        <v>RAW-DRY-046</v>
      </c>
      <c r="G371" s="2" t="s">
        <v>15</v>
      </c>
      <c r="H371" t="str">
        <f>IFERROR(VLOOKUP($D371,القوائم!$A$2:$B$4,2,0),"")</f>
        <v>RAW</v>
      </c>
      <c r="I371" t="str">
        <f t="shared" si="38"/>
        <v>DRY</v>
      </c>
      <c r="J371">
        <f>IF($H371="","",IF($N371=0,$Q371,SUMPRODUCT(($O$157:$O$590=$H371)*($P$157:$P$590=$I371)*$Q$157:$Q$590)+COUNTIFS($H$157:$H371,$H371,$I$157:$I371,$I371,$N$157:$N371,1)))</f>
        <v>46</v>
      </c>
      <c r="M371">
        <f>IF($I371="","",COUNTIF($I$5:$I371,$I371))</f>
        <v>48</v>
      </c>
      <c r="N371">
        <f t="shared" si="39"/>
        <v>0</v>
      </c>
      <c r="O371" t="s">
        <v>22</v>
      </c>
      <c r="P371" t="s">
        <v>266</v>
      </c>
      <c r="Q371">
        <v>46</v>
      </c>
      <c r="R371" s="25">
        <v>340</v>
      </c>
      <c r="S371" s="25">
        <v>100</v>
      </c>
      <c r="T371" s="24">
        <f t="shared" si="40"/>
        <v>3.4</v>
      </c>
      <c r="U371" s="25"/>
    </row>
    <row r="372" spans="1:21" ht="16" x14ac:dyDescent="0.15">
      <c r="A372" s="2">
        <v>216</v>
      </c>
      <c r="B372" s="8" t="s">
        <v>451</v>
      </c>
      <c r="C372" s="28" t="s">
        <v>452</v>
      </c>
      <c r="D372" s="8" t="s">
        <v>12</v>
      </c>
      <c r="E372" s="2" t="s">
        <v>265</v>
      </c>
      <c r="F372" s="9" t="str">
        <f t="shared" si="37"/>
        <v>RAW-DRY-047</v>
      </c>
      <c r="G372" s="2" t="s">
        <v>15</v>
      </c>
      <c r="H372" t="str">
        <f>IFERROR(VLOOKUP($D372,القوائم!$A$2:$B$4,2,0),"")</f>
        <v>RAW</v>
      </c>
      <c r="I372" t="str">
        <f t="shared" si="38"/>
        <v>DRY</v>
      </c>
      <c r="J372">
        <f>IF($H372="","",IF($N372=0,$Q372,SUMPRODUCT(($O$157:$O$590=$H372)*($P$157:$P$590=$I372)*$Q$157:$Q$590)+COUNTIFS($H$157:$H372,$H372,$I$157:$I372,$I372,$N$157:$N372,1)))</f>
        <v>47</v>
      </c>
      <c r="M372">
        <f>IF($I372="","",COUNTIF($I$5:$I372,$I372))</f>
        <v>49</v>
      </c>
      <c r="N372">
        <f t="shared" si="39"/>
        <v>0</v>
      </c>
      <c r="O372" t="s">
        <v>22</v>
      </c>
      <c r="P372" t="s">
        <v>266</v>
      </c>
      <c r="Q372">
        <v>47</v>
      </c>
      <c r="R372" s="25">
        <v>364</v>
      </c>
      <c r="S372" s="25">
        <v>100</v>
      </c>
      <c r="T372" s="24">
        <f t="shared" si="40"/>
        <v>3.64</v>
      </c>
      <c r="U372" s="25"/>
    </row>
    <row r="373" spans="1:21" ht="16" x14ac:dyDescent="0.15">
      <c r="A373" s="2">
        <v>217</v>
      </c>
      <c r="B373" s="8" t="s">
        <v>453</v>
      </c>
      <c r="C373" s="28" t="s">
        <v>454</v>
      </c>
      <c r="D373" s="8" t="s">
        <v>12</v>
      </c>
      <c r="E373" s="2" t="s">
        <v>265</v>
      </c>
      <c r="F373" s="9" t="str">
        <f t="shared" si="37"/>
        <v>RAW-DRY-048</v>
      </c>
      <c r="G373" s="2" t="s">
        <v>15</v>
      </c>
      <c r="H373" t="str">
        <f>IFERROR(VLOOKUP($D373,القوائم!$A$2:$B$4,2,0),"")</f>
        <v>RAW</v>
      </c>
      <c r="I373" t="str">
        <f t="shared" si="38"/>
        <v>DRY</v>
      </c>
      <c r="J373">
        <f>IF($H373="","",IF($N373=0,$Q373,SUMPRODUCT(($O$157:$O$590=$H373)*($P$157:$P$590=$I373)*$Q$157:$Q$590)+COUNTIFS($H$157:$H373,$H373,$I$157:$I373,$I373,$N$157:$N373,1)))</f>
        <v>48</v>
      </c>
      <c r="M373">
        <f>IF($I373="","",COUNTIF($I$5:$I373,$I373))</f>
        <v>50</v>
      </c>
      <c r="N373">
        <f t="shared" si="39"/>
        <v>0</v>
      </c>
      <c r="O373" t="s">
        <v>22</v>
      </c>
      <c r="P373" t="s">
        <v>266</v>
      </c>
      <c r="Q373">
        <v>48</v>
      </c>
      <c r="R373" s="25">
        <v>364</v>
      </c>
      <c r="S373" s="25">
        <v>100</v>
      </c>
      <c r="T373" s="24">
        <f t="shared" si="40"/>
        <v>3.64</v>
      </c>
      <c r="U373" s="25"/>
    </row>
    <row r="374" spans="1:21" ht="16" x14ac:dyDescent="0.15">
      <c r="A374" s="2">
        <v>218</v>
      </c>
      <c r="B374" s="8" t="s">
        <v>455</v>
      </c>
      <c r="C374" s="28" t="s">
        <v>456</v>
      </c>
      <c r="D374" s="8" t="s">
        <v>12</v>
      </c>
      <c r="E374" s="2" t="s">
        <v>265</v>
      </c>
      <c r="F374" s="9" t="str">
        <f t="shared" si="37"/>
        <v>RAW-DRY-049</v>
      </c>
      <c r="G374" s="2" t="s">
        <v>15</v>
      </c>
      <c r="H374" t="str">
        <f>IFERROR(VLOOKUP($D374,القوائم!$A$2:$B$4,2,0),"")</f>
        <v>RAW</v>
      </c>
      <c r="I374" t="str">
        <f t="shared" si="38"/>
        <v>DRY</v>
      </c>
      <c r="J374">
        <f>IF($H374="","",IF($N374=0,$Q374,SUMPRODUCT(($O$157:$O$590=$H374)*($P$157:$P$590=$I374)*$Q$157:$Q$590)+COUNTIFS($H$157:$H374,$H374,$I$157:$I374,$I374,$N$157:$N374,1)))</f>
        <v>49</v>
      </c>
      <c r="M374">
        <f>IF($I374="","",COUNTIF($I$5:$I374,$I374))</f>
        <v>51</v>
      </c>
      <c r="N374">
        <f t="shared" si="39"/>
        <v>0</v>
      </c>
      <c r="O374" t="s">
        <v>22</v>
      </c>
      <c r="P374" t="s">
        <v>266</v>
      </c>
      <c r="Q374">
        <v>49</v>
      </c>
      <c r="R374" s="25">
        <v>364</v>
      </c>
      <c r="S374" s="25">
        <v>100</v>
      </c>
      <c r="T374" s="24">
        <f t="shared" si="40"/>
        <v>3.64</v>
      </c>
      <c r="U374" s="25"/>
    </row>
    <row r="375" spans="1:21" ht="17" x14ac:dyDescent="0.15">
      <c r="A375" s="2">
        <v>219</v>
      </c>
      <c r="B375" s="8" t="s">
        <v>457</v>
      </c>
      <c r="C375" s="28" t="s">
        <v>458</v>
      </c>
      <c r="D375" s="8" t="s">
        <v>12</v>
      </c>
      <c r="E375" s="2" t="s">
        <v>14</v>
      </c>
      <c r="F375" s="9" t="str">
        <f t="shared" si="37"/>
        <v>RAW-CNS-023</v>
      </c>
      <c r="G375" s="2" t="s">
        <v>13</v>
      </c>
      <c r="H375" t="str">
        <f>IFERROR(VLOOKUP($D375,القوائم!$A$2:$B$4,2,0),"")</f>
        <v>RAW</v>
      </c>
      <c r="I375" t="str">
        <f t="shared" si="38"/>
        <v>CNS</v>
      </c>
      <c r="J375">
        <f>IF($H375="","",IF($N375=0,$Q375,SUMPRODUCT(($O$157:$O$590=$H375)*($P$157:$P$590=$I375)*$Q$157:$Q$590)+COUNTIFS($H$157:$H375,$H375,$I$157:$I375,$I375,$N$157:$N375,1)))</f>
        <v>23</v>
      </c>
      <c r="M375">
        <f>IF($I375="","",COUNTIF($I$5:$I375,$I375))</f>
        <v>24</v>
      </c>
      <c r="N375">
        <f t="shared" si="39"/>
        <v>0</v>
      </c>
      <c r="O375" t="s">
        <v>22</v>
      </c>
      <c r="P375" t="s">
        <v>23</v>
      </c>
      <c r="Q375">
        <v>23</v>
      </c>
      <c r="R375" s="25"/>
      <c r="S375" s="25"/>
      <c r="T375" s="24" t="str">
        <f t="shared" si="40"/>
        <v/>
      </c>
      <c r="U375" s="25"/>
    </row>
    <row r="376" spans="1:21" ht="17" x14ac:dyDescent="0.15">
      <c r="A376" s="2">
        <v>220</v>
      </c>
      <c r="B376" s="8" t="s">
        <v>459</v>
      </c>
      <c r="C376" s="28" t="s">
        <v>460</v>
      </c>
      <c r="D376" s="8" t="s">
        <v>12</v>
      </c>
      <c r="E376" s="2" t="s">
        <v>14</v>
      </c>
      <c r="F376" s="9" t="str">
        <f t="shared" si="37"/>
        <v>RAW-CNS-024</v>
      </c>
      <c r="G376" s="2" t="s">
        <v>13</v>
      </c>
      <c r="H376" t="str">
        <f>IFERROR(VLOOKUP($D376,القوائم!$A$2:$B$4,2,0),"")</f>
        <v>RAW</v>
      </c>
      <c r="I376" t="str">
        <f t="shared" si="38"/>
        <v>CNS</v>
      </c>
      <c r="J376">
        <f>IF($H376="","",IF($N376=0,$Q376,SUMPRODUCT(($O$157:$O$590=$H376)*($P$157:$P$590=$I376)*$Q$157:$Q$590)+COUNTIFS($H$157:$H376,$H376,$I$157:$I376,$I376,$N$157:$N376,1)))</f>
        <v>24</v>
      </c>
      <c r="M376">
        <f>IF($I376="","",COUNTIF($I$5:$I376,$I376))</f>
        <v>25</v>
      </c>
      <c r="N376">
        <f t="shared" si="39"/>
        <v>0</v>
      </c>
      <c r="O376" t="s">
        <v>22</v>
      </c>
      <c r="P376" t="s">
        <v>23</v>
      </c>
      <c r="Q376">
        <v>24</v>
      </c>
      <c r="R376" s="25"/>
      <c r="S376" s="25"/>
      <c r="T376" s="24" t="str">
        <f t="shared" si="40"/>
        <v/>
      </c>
      <c r="U376" s="25"/>
    </row>
    <row r="377" spans="1:21" ht="17" x14ac:dyDescent="0.15">
      <c r="A377" s="2">
        <v>221</v>
      </c>
      <c r="B377" s="8" t="s">
        <v>461</v>
      </c>
      <c r="C377" s="28" t="s">
        <v>462</v>
      </c>
      <c r="D377" s="8" t="s">
        <v>12</v>
      </c>
      <c r="E377" s="2" t="s">
        <v>14</v>
      </c>
      <c r="F377" s="9" t="str">
        <f t="shared" si="37"/>
        <v>RAW-CNS-025</v>
      </c>
      <c r="G377" s="2" t="s">
        <v>13</v>
      </c>
      <c r="H377" t="str">
        <f>IFERROR(VLOOKUP($D377,القوائم!$A$2:$B$4,2,0),"")</f>
        <v>RAW</v>
      </c>
      <c r="I377" t="str">
        <f t="shared" si="38"/>
        <v>CNS</v>
      </c>
      <c r="J377">
        <f>IF($H377="","",IF($N377=0,$Q377,SUMPRODUCT(($O$157:$O$590=$H377)*($P$157:$P$590=$I377)*$Q$157:$Q$590)+COUNTIFS($H$157:$H377,$H377,$I$157:$I377,$I377,$N$157:$N377,1)))</f>
        <v>25</v>
      </c>
      <c r="M377">
        <f>IF($I377="","",COUNTIF($I$5:$I377,$I377))</f>
        <v>26</v>
      </c>
      <c r="N377">
        <f t="shared" si="39"/>
        <v>0</v>
      </c>
      <c r="O377" t="s">
        <v>22</v>
      </c>
      <c r="P377" t="s">
        <v>23</v>
      </c>
      <c r="Q377">
        <v>25</v>
      </c>
      <c r="R377" s="25"/>
      <c r="S377" s="25"/>
      <c r="T377" s="24" t="str">
        <f t="shared" si="40"/>
        <v/>
      </c>
      <c r="U377" s="25"/>
    </row>
    <row r="378" spans="1:21" ht="16" x14ac:dyDescent="0.15">
      <c r="A378" s="2">
        <v>222</v>
      </c>
      <c r="B378" s="8" t="s">
        <v>463</v>
      </c>
      <c r="C378" s="28" t="s">
        <v>464</v>
      </c>
      <c r="D378" s="8" t="s">
        <v>12</v>
      </c>
      <c r="E378" s="2" t="s">
        <v>137</v>
      </c>
      <c r="F378" s="9" t="str">
        <f t="shared" si="37"/>
        <v>RAW-CHL-027</v>
      </c>
      <c r="G378" s="2" t="s">
        <v>15</v>
      </c>
      <c r="H378" t="str">
        <f>IFERROR(VLOOKUP($D378,القوائم!$A$2:$B$4,2,0),"")</f>
        <v>RAW</v>
      </c>
      <c r="I378" t="str">
        <f t="shared" si="38"/>
        <v>CHL</v>
      </c>
      <c r="J378">
        <f>IF($H378="","",IF($N378=0,$Q378,SUMPRODUCT(($O$157:$O$590=$H378)*($P$157:$P$590=$I378)*$Q$157:$Q$590)+COUNTIFS($H$157:$H378,$H378,$I$157:$I378,$I378,$N$157:$N378,1)))</f>
        <v>27</v>
      </c>
      <c r="M378">
        <f>IF($I378="","",COUNTIF($I$5:$I378,$I378))</f>
        <v>37</v>
      </c>
      <c r="N378">
        <f t="shared" si="39"/>
        <v>0</v>
      </c>
      <c r="O378" t="s">
        <v>22</v>
      </c>
      <c r="P378" t="s">
        <v>139</v>
      </c>
      <c r="Q378">
        <v>27</v>
      </c>
      <c r="R378" s="25">
        <v>83</v>
      </c>
      <c r="S378" s="25">
        <v>100</v>
      </c>
      <c r="T378" s="24">
        <f t="shared" si="40"/>
        <v>0.83</v>
      </c>
      <c r="U378" s="25"/>
    </row>
    <row r="379" spans="1:21" ht="17" x14ac:dyDescent="0.15">
      <c r="A379" s="2">
        <v>223</v>
      </c>
      <c r="B379" s="8" t="s">
        <v>465</v>
      </c>
      <c r="C379" s="28" t="s">
        <v>466</v>
      </c>
      <c r="D379" s="8" t="s">
        <v>12</v>
      </c>
      <c r="E379" s="2" t="s">
        <v>14</v>
      </c>
      <c r="F379" s="9" t="str">
        <f t="shared" si="37"/>
        <v>RAW-CNS-026</v>
      </c>
      <c r="G379" s="2" t="s">
        <v>13</v>
      </c>
      <c r="H379" t="str">
        <f>IFERROR(VLOOKUP($D379,القوائم!$A$2:$B$4,2,0),"")</f>
        <v>RAW</v>
      </c>
      <c r="I379" t="str">
        <f t="shared" si="38"/>
        <v>CNS</v>
      </c>
      <c r="J379">
        <f>IF($H379="","",IF($N379=0,$Q379,SUMPRODUCT(($O$157:$O$590=$H379)*($P$157:$P$590=$I379)*$Q$157:$Q$590)+COUNTIFS($H$157:$H379,$H379,$I$157:$I379,$I379,$N$157:$N379,1)))</f>
        <v>26</v>
      </c>
      <c r="M379">
        <f>IF($I379="","",COUNTIF($I$5:$I379,$I379))</f>
        <v>27</v>
      </c>
      <c r="N379">
        <f t="shared" si="39"/>
        <v>0</v>
      </c>
      <c r="O379" t="s">
        <v>22</v>
      </c>
      <c r="P379" t="s">
        <v>23</v>
      </c>
      <c r="Q379">
        <v>26</v>
      </c>
      <c r="R379" s="25"/>
      <c r="S379" s="25"/>
      <c r="T379" s="24" t="str">
        <f t="shared" si="40"/>
        <v/>
      </c>
      <c r="U379" s="25"/>
    </row>
    <row r="380" spans="1:21" ht="16" x14ac:dyDescent="0.15">
      <c r="A380" s="2">
        <v>224</v>
      </c>
      <c r="B380" s="8" t="s">
        <v>467</v>
      </c>
      <c r="C380" s="28" t="s">
        <v>468</v>
      </c>
      <c r="D380" s="8" t="s">
        <v>136</v>
      </c>
      <c r="E380" s="2" t="s">
        <v>137</v>
      </c>
      <c r="F380" s="9" t="str">
        <f t="shared" si="37"/>
        <v>TRN-CHL-011</v>
      </c>
      <c r="G380" s="2" t="s">
        <v>15</v>
      </c>
      <c r="H380" t="str">
        <f>IFERROR(VLOOKUP($D380,القوائم!$A$2:$B$4,2,0),"")</f>
        <v>TRN</v>
      </c>
      <c r="I380" t="str">
        <f t="shared" si="38"/>
        <v>CHL</v>
      </c>
      <c r="J380">
        <f>IF($H380="","",IF($N380=0,$Q380,SUMPRODUCT(($O$157:$O$590=$H380)*($P$157:$P$590=$I380)*$Q$157:$Q$590)+COUNTIFS($H$157:$H380,$H380,$I$157:$I380,$I380,$N$157:$N380,1)))</f>
        <v>11</v>
      </c>
      <c r="M380">
        <f>IF($I380="","",COUNTIF($I$5:$I380,$I380))</f>
        <v>38</v>
      </c>
      <c r="N380">
        <f t="shared" si="39"/>
        <v>0</v>
      </c>
      <c r="O380" t="s">
        <v>138</v>
      </c>
      <c r="P380" t="s">
        <v>139</v>
      </c>
      <c r="Q380">
        <v>11</v>
      </c>
      <c r="R380" s="25">
        <v>160</v>
      </c>
      <c r="S380" s="25">
        <v>100</v>
      </c>
      <c r="T380" s="24">
        <f t="shared" si="40"/>
        <v>1.6</v>
      </c>
      <c r="U380" s="25"/>
    </row>
    <row r="381" spans="1:21" ht="17" x14ac:dyDescent="0.15">
      <c r="A381" s="2">
        <v>225</v>
      </c>
      <c r="B381" s="8" t="s">
        <v>469</v>
      </c>
      <c r="C381" s="28" t="s">
        <v>470</v>
      </c>
      <c r="D381" s="8" t="s">
        <v>12</v>
      </c>
      <c r="E381" s="2" t="s">
        <v>14</v>
      </c>
      <c r="F381" s="9" t="str">
        <f t="shared" si="37"/>
        <v>RAW-CNS-027</v>
      </c>
      <c r="G381" s="2" t="s">
        <v>13</v>
      </c>
      <c r="H381" t="str">
        <f>IFERROR(VLOOKUP($D381,القوائم!$A$2:$B$4,2,0),"")</f>
        <v>RAW</v>
      </c>
      <c r="I381" t="str">
        <f t="shared" si="38"/>
        <v>CNS</v>
      </c>
      <c r="J381">
        <f>IF($H381="","",IF($N381=0,$Q381,SUMPRODUCT(($O$157:$O$590=$H381)*($P$157:$P$590=$I381)*$Q$157:$Q$590)+COUNTIFS($H$157:$H381,$H381,$I$157:$I381,$I381,$N$157:$N381,1)))</f>
        <v>27</v>
      </c>
      <c r="M381">
        <f>IF($I381="","",COUNTIF($I$5:$I381,$I381))</f>
        <v>28</v>
      </c>
      <c r="N381">
        <f t="shared" si="39"/>
        <v>0</v>
      </c>
      <c r="O381" t="s">
        <v>22</v>
      </c>
      <c r="P381" t="s">
        <v>23</v>
      </c>
      <c r="Q381">
        <v>27</v>
      </c>
      <c r="R381" s="25"/>
      <c r="S381" s="25"/>
      <c r="T381" s="24" t="str">
        <f t="shared" si="40"/>
        <v/>
      </c>
      <c r="U381" s="25"/>
    </row>
    <row r="382" spans="1:21" ht="16" x14ac:dyDescent="0.15">
      <c r="A382" s="2">
        <v>226</v>
      </c>
      <c r="B382" s="8" t="s">
        <v>471</v>
      </c>
      <c r="C382" s="28" t="s">
        <v>472</v>
      </c>
      <c r="D382" s="8" t="s">
        <v>12</v>
      </c>
      <c r="E382" s="2" t="s">
        <v>265</v>
      </c>
      <c r="F382" s="9" t="str">
        <f t="shared" si="37"/>
        <v>RAW-DRY-050</v>
      </c>
      <c r="G382" s="2" t="s">
        <v>15</v>
      </c>
      <c r="H382" t="str">
        <f>IFERROR(VLOOKUP($D382,القوائم!$A$2:$B$4,2,0),"")</f>
        <v>RAW</v>
      </c>
      <c r="I382" t="str">
        <f t="shared" si="38"/>
        <v>DRY</v>
      </c>
      <c r="J382">
        <f>IF($H382="","",IF($N382=0,$Q382,SUMPRODUCT(($O$157:$O$590=$H382)*($P$157:$P$590=$I382)*$Q$157:$Q$590)+COUNTIFS($H$157:$H382,$H382,$I$157:$I382,$I382,$N$157:$N382,1)))</f>
        <v>50</v>
      </c>
      <c r="M382">
        <f>IF($I382="","",COUNTIF($I$5:$I382,$I382))</f>
        <v>52</v>
      </c>
      <c r="N382">
        <f t="shared" si="39"/>
        <v>0</v>
      </c>
      <c r="O382" t="s">
        <v>22</v>
      </c>
      <c r="P382" t="s">
        <v>266</v>
      </c>
      <c r="Q382">
        <v>50</v>
      </c>
      <c r="R382" s="25">
        <v>360</v>
      </c>
      <c r="S382" s="25">
        <v>100</v>
      </c>
      <c r="T382" s="24">
        <f t="shared" si="40"/>
        <v>3.6</v>
      </c>
      <c r="U382" s="25"/>
    </row>
    <row r="383" spans="1:21" ht="16" x14ac:dyDescent="0.15">
      <c r="A383" s="2">
        <v>227</v>
      </c>
      <c r="B383" s="8" t="s">
        <v>473</v>
      </c>
      <c r="C383" s="28" t="s">
        <v>474</v>
      </c>
      <c r="D383" s="8" t="s">
        <v>12</v>
      </c>
      <c r="E383" s="2" t="s">
        <v>137</v>
      </c>
      <c r="F383" s="9" t="str">
        <f t="shared" si="37"/>
        <v>RAW-CHL-028</v>
      </c>
      <c r="G383" s="2" t="s">
        <v>15</v>
      </c>
      <c r="H383" t="str">
        <f>IFERROR(VLOOKUP($D383,القوائم!$A$2:$B$4,2,0),"")</f>
        <v>RAW</v>
      </c>
      <c r="I383" t="str">
        <f t="shared" si="38"/>
        <v>CHL</v>
      </c>
      <c r="J383">
        <f>IF($H383="","",IF($N383=0,$Q383,SUMPRODUCT(($O$157:$O$590=$H383)*($P$157:$P$590=$I383)*$Q$157:$Q$590)+COUNTIFS($H$157:$H383,$H383,$I$157:$I383,$I383,$N$157:$N383,1)))</f>
        <v>28</v>
      </c>
      <c r="M383">
        <f>IF($I383="","",COUNTIF($I$5:$I383,$I383))</f>
        <v>39</v>
      </c>
      <c r="N383">
        <f t="shared" si="39"/>
        <v>0</v>
      </c>
      <c r="O383" t="s">
        <v>22</v>
      </c>
      <c r="P383" t="s">
        <v>139</v>
      </c>
      <c r="Q383">
        <v>28</v>
      </c>
      <c r="R383" s="25">
        <v>23</v>
      </c>
      <c r="S383" s="25">
        <v>100</v>
      </c>
      <c r="T383" s="24">
        <f t="shared" si="40"/>
        <v>0.23</v>
      </c>
      <c r="U383" s="25"/>
    </row>
    <row r="384" spans="1:21" ht="16" x14ac:dyDescent="0.15">
      <c r="A384" s="2">
        <v>228</v>
      </c>
      <c r="B384" s="8" t="s">
        <v>475</v>
      </c>
      <c r="C384" s="28" t="s">
        <v>476</v>
      </c>
      <c r="D384" s="8" t="s">
        <v>136</v>
      </c>
      <c r="E384" s="2" t="s">
        <v>137</v>
      </c>
      <c r="F384" s="9" t="str">
        <f t="shared" si="37"/>
        <v>TRN-CHL-012</v>
      </c>
      <c r="G384" s="2" t="s">
        <v>15</v>
      </c>
      <c r="H384" t="str">
        <f>IFERROR(VLOOKUP($D384,القوائم!$A$2:$B$4,2,0),"")</f>
        <v>TRN</v>
      </c>
      <c r="I384" t="str">
        <f t="shared" si="38"/>
        <v>CHL</v>
      </c>
      <c r="J384">
        <f>IF($H384="","",IF($N384=0,$Q384,SUMPRODUCT(($O$157:$O$590=$H384)*($P$157:$P$590=$I384)*$Q$157:$Q$590)+COUNTIFS($H$157:$H384,$H384,$I$157:$I384,$I384,$N$157:$N384,1)))</f>
        <v>12</v>
      </c>
      <c r="M384">
        <f>IF($I384="","",COUNTIF($I$5:$I384,$I384))</f>
        <v>40</v>
      </c>
      <c r="N384">
        <f t="shared" si="39"/>
        <v>0</v>
      </c>
      <c r="O384" t="s">
        <v>138</v>
      </c>
      <c r="P384" t="s">
        <v>139</v>
      </c>
      <c r="Q384">
        <v>12</v>
      </c>
      <c r="R384" s="25">
        <v>270</v>
      </c>
      <c r="S384" s="25">
        <v>100</v>
      </c>
      <c r="T384" s="24">
        <f t="shared" si="40"/>
        <v>2.7</v>
      </c>
      <c r="U384" s="25"/>
    </row>
    <row r="385" spans="1:21" ht="16" x14ac:dyDescent="0.15">
      <c r="A385" s="2">
        <v>229</v>
      </c>
      <c r="B385" s="8" t="s">
        <v>477</v>
      </c>
      <c r="C385" s="28" t="s">
        <v>478</v>
      </c>
      <c r="D385" s="8" t="s">
        <v>136</v>
      </c>
      <c r="E385" s="2" t="s">
        <v>137</v>
      </c>
      <c r="F385" s="9" t="str">
        <f t="shared" si="37"/>
        <v>TRN-CHL-013</v>
      </c>
      <c r="G385" s="2" t="s">
        <v>15</v>
      </c>
      <c r="H385" t="str">
        <f>IFERROR(VLOOKUP($D385,القوائم!$A$2:$B$4,2,0),"")</f>
        <v>TRN</v>
      </c>
      <c r="I385" t="str">
        <f t="shared" si="38"/>
        <v>CHL</v>
      </c>
      <c r="J385">
        <f>IF($H385="","",IF($N385=0,$Q385,SUMPRODUCT(($O$157:$O$590=$H385)*($P$157:$P$590=$I385)*$Q$157:$Q$590)+COUNTIFS($H$157:$H385,$H385,$I$157:$I385,$I385,$N$157:$N385,1)))</f>
        <v>13</v>
      </c>
      <c r="M385">
        <f>IF($I385="","",COUNTIF($I$5:$I385,$I385))</f>
        <v>41</v>
      </c>
      <c r="N385">
        <f t="shared" si="39"/>
        <v>0</v>
      </c>
      <c r="O385" t="s">
        <v>138</v>
      </c>
      <c r="P385" t="s">
        <v>139</v>
      </c>
      <c r="Q385">
        <v>13</v>
      </c>
      <c r="R385" s="25">
        <v>250</v>
      </c>
      <c r="S385" s="25">
        <v>100</v>
      </c>
      <c r="T385" s="24">
        <f t="shared" si="40"/>
        <v>2.5</v>
      </c>
      <c r="U385" s="25"/>
    </row>
    <row r="386" spans="1:21" ht="16" x14ac:dyDescent="0.15">
      <c r="A386" s="2">
        <v>230</v>
      </c>
      <c r="B386" s="8" t="s">
        <v>479</v>
      </c>
      <c r="C386" s="28" t="s">
        <v>480</v>
      </c>
      <c r="D386" s="8" t="s">
        <v>136</v>
      </c>
      <c r="E386" s="2" t="s">
        <v>137</v>
      </c>
      <c r="F386" s="9" t="str">
        <f t="shared" si="37"/>
        <v>TRN-CHL-014</v>
      </c>
      <c r="G386" s="2" t="s">
        <v>15</v>
      </c>
      <c r="H386" t="str">
        <f>IFERROR(VLOOKUP($D386,القوائم!$A$2:$B$4,2,0),"")</f>
        <v>TRN</v>
      </c>
      <c r="I386" t="str">
        <f t="shared" si="38"/>
        <v>CHL</v>
      </c>
      <c r="J386">
        <f>IF($H386="","",IF($N386=0,$Q386,SUMPRODUCT(($O$157:$O$590=$H386)*($P$157:$P$590=$I386)*$Q$157:$Q$590)+COUNTIFS($H$157:$H386,$H386,$I$157:$I386,$I386,$N$157:$N386,1)))</f>
        <v>14</v>
      </c>
      <c r="M386">
        <f>IF($I386="","",COUNTIF($I$5:$I386,$I386))</f>
        <v>42</v>
      </c>
      <c r="N386">
        <f t="shared" si="39"/>
        <v>0</v>
      </c>
      <c r="O386" t="s">
        <v>138</v>
      </c>
      <c r="P386" t="s">
        <v>139</v>
      </c>
      <c r="Q386">
        <v>14</v>
      </c>
      <c r="R386" s="25">
        <v>260</v>
      </c>
      <c r="S386" s="25">
        <v>100</v>
      </c>
      <c r="T386" s="24">
        <f t="shared" si="40"/>
        <v>2.6</v>
      </c>
      <c r="U386" s="25"/>
    </row>
    <row r="387" spans="1:21" ht="16" x14ac:dyDescent="0.15">
      <c r="A387" s="2">
        <v>231</v>
      </c>
      <c r="B387" s="8" t="s">
        <v>481</v>
      </c>
      <c r="C387" s="28" t="s">
        <v>482</v>
      </c>
      <c r="D387" s="8" t="s">
        <v>136</v>
      </c>
      <c r="E387" s="2" t="s">
        <v>137</v>
      </c>
      <c r="F387" s="9" t="str">
        <f t="shared" si="37"/>
        <v>TRN-CHL-015</v>
      </c>
      <c r="G387" s="2" t="s">
        <v>15</v>
      </c>
      <c r="H387" t="str">
        <f>IFERROR(VLOOKUP($D387,القوائم!$A$2:$B$4,2,0),"")</f>
        <v>TRN</v>
      </c>
      <c r="I387" t="str">
        <f t="shared" si="38"/>
        <v>CHL</v>
      </c>
      <c r="J387">
        <f>IF($H387="","",IF($N387=0,$Q387,SUMPRODUCT(($O$157:$O$590=$H387)*($P$157:$P$590=$I387)*$Q$157:$Q$590)+COUNTIFS($H$157:$H387,$H387,$I$157:$I387,$I387,$N$157:$N387,1)))</f>
        <v>15</v>
      </c>
      <c r="M387">
        <f>IF($I387="","",COUNTIF($I$5:$I387,$I387))</f>
        <v>43</v>
      </c>
      <c r="N387">
        <f t="shared" si="39"/>
        <v>0</v>
      </c>
      <c r="O387" t="s">
        <v>138</v>
      </c>
      <c r="P387" t="s">
        <v>139</v>
      </c>
      <c r="Q387">
        <v>15</v>
      </c>
      <c r="R387" s="25">
        <v>270</v>
      </c>
      <c r="S387" s="25">
        <v>100</v>
      </c>
      <c r="T387" s="24">
        <f t="shared" si="40"/>
        <v>2.7</v>
      </c>
      <c r="U387" s="25"/>
    </row>
    <row r="388" spans="1:21" ht="28.5" customHeight="1" x14ac:dyDescent="0.15">
      <c r="A388" s="2">
        <v>232</v>
      </c>
      <c r="B388" s="8" t="s">
        <v>483</v>
      </c>
      <c r="C388" s="28" t="s">
        <v>484</v>
      </c>
      <c r="D388" s="8" t="s">
        <v>136</v>
      </c>
      <c r="E388" s="2" t="s">
        <v>137</v>
      </c>
      <c r="F388" s="9" t="str">
        <f t="shared" si="37"/>
        <v>TRN-CHL-016</v>
      </c>
      <c r="G388" s="2" t="s">
        <v>15</v>
      </c>
      <c r="H388" t="str">
        <f>IFERROR(VLOOKUP($D388,القوائم!$A$2:$B$4,2,0),"")</f>
        <v>TRN</v>
      </c>
      <c r="I388" t="str">
        <f t="shared" si="38"/>
        <v>CHL</v>
      </c>
      <c r="J388">
        <f>IF($H388="","",IF($N388=0,$Q388,SUMPRODUCT(($O$157:$O$590=$H388)*($P$157:$P$590=$I388)*$Q$157:$Q$590)+COUNTIFS($H$157:$H388,$H388,$I$157:$I388,$I388,$N$157:$N388,1)))</f>
        <v>16</v>
      </c>
      <c r="M388">
        <f>IF($I388="","",COUNTIF($I$5:$I388,$I388))</f>
        <v>44</v>
      </c>
      <c r="N388">
        <f t="shared" si="39"/>
        <v>0</v>
      </c>
      <c r="O388" t="s">
        <v>138</v>
      </c>
      <c r="P388" t="s">
        <v>139</v>
      </c>
      <c r="Q388">
        <v>16</v>
      </c>
      <c r="R388" s="25">
        <v>290</v>
      </c>
      <c r="S388" s="25">
        <v>100</v>
      </c>
      <c r="T388" s="24">
        <f t="shared" si="40"/>
        <v>2.9</v>
      </c>
      <c r="U388" s="25"/>
    </row>
    <row r="389" spans="1:21" ht="28.5" customHeight="1" x14ac:dyDescent="0.15">
      <c r="A389" s="2">
        <v>233</v>
      </c>
      <c r="B389" s="8" t="s">
        <v>485</v>
      </c>
      <c r="C389" s="28" t="s">
        <v>486</v>
      </c>
      <c r="D389" s="8" t="s">
        <v>136</v>
      </c>
      <c r="E389" s="2" t="s">
        <v>137</v>
      </c>
      <c r="F389" s="9" t="str">
        <f t="shared" si="37"/>
        <v>TRN-CHL-017</v>
      </c>
      <c r="G389" s="2" t="s">
        <v>15</v>
      </c>
      <c r="H389" t="str">
        <f>IFERROR(VLOOKUP($D389,القوائم!$A$2:$B$4,2,0),"")</f>
        <v>TRN</v>
      </c>
      <c r="I389" t="str">
        <f t="shared" si="38"/>
        <v>CHL</v>
      </c>
      <c r="J389">
        <f>IF($H389="","",IF($N389=0,$Q389,SUMPRODUCT(($O$157:$O$590=$H389)*($P$157:$P$590=$I389)*$Q$157:$Q$590)+COUNTIFS($H$157:$H389,$H389,$I$157:$I389,$I389,$N$157:$N389,1)))</f>
        <v>17</v>
      </c>
      <c r="M389">
        <f>IF($I389="","",COUNTIF($I$5:$I389,$I389))</f>
        <v>45</v>
      </c>
      <c r="N389">
        <f t="shared" si="39"/>
        <v>0</v>
      </c>
      <c r="O389" t="s">
        <v>138</v>
      </c>
      <c r="P389" t="s">
        <v>139</v>
      </c>
      <c r="Q389">
        <v>17</v>
      </c>
      <c r="R389" s="25">
        <v>280</v>
      </c>
      <c r="S389" s="25">
        <v>100</v>
      </c>
      <c r="T389" s="24">
        <f t="shared" si="40"/>
        <v>2.8</v>
      </c>
      <c r="U389" s="25"/>
    </row>
    <row r="390" spans="1:21" ht="28.5" customHeight="1" x14ac:dyDescent="0.15">
      <c r="A390" s="2">
        <v>234</v>
      </c>
      <c r="B390" s="8" t="s">
        <v>487</v>
      </c>
      <c r="C390" s="28" t="s">
        <v>488</v>
      </c>
      <c r="D390" s="8" t="s">
        <v>136</v>
      </c>
      <c r="E390" s="2" t="s">
        <v>137</v>
      </c>
      <c r="F390" s="9" t="str">
        <f t="shared" si="37"/>
        <v>TRN-CHL-018</v>
      </c>
      <c r="G390" s="2" t="s">
        <v>15</v>
      </c>
      <c r="H390" t="str">
        <f>IFERROR(VLOOKUP($D390,القوائم!$A$2:$B$4,2,0),"")</f>
        <v>TRN</v>
      </c>
      <c r="I390" t="str">
        <f t="shared" si="38"/>
        <v>CHL</v>
      </c>
      <c r="J390">
        <f>IF($H390="","",IF($N390=0,$Q390,SUMPRODUCT(($O$157:$O$590=$H390)*($P$157:$P$590=$I390)*$Q$157:$Q$590)+COUNTIFS($H$157:$H390,$H390,$I$157:$I390,$I390,$N$157:$N390,1)))</f>
        <v>18</v>
      </c>
      <c r="M390">
        <f>IF($I390="","",COUNTIF($I$5:$I390,$I390))</f>
        <v>46</v>
      </c>
      <c r="N390">
        <f t="shared" si="39"/>
        <v>0</v>
      </c>
      <c r="O390" t="s">
        <v>138</v>
      </c>
      <c r="P390" t="s">
        <v>139</v>
      </c>
      <c r="Q390">
        <v>18</v>
      </c>
      <c r="R390" s="25">
        <v>260</v>
      </c>
      <c r="S390" s="25">
        <v>100</v>
      </c>
      <c r="T390" s="24">
        <f t="shared" si="40"/>
        <v>2.6</v>
      </c>
      <c r="U390" s="25"/>
    </row>
    <row r="391" spans="1:21" ht="16" x14ac:dyDescent="0.15">
      <c r="A391" s="2">
        <v>235</v>
      </c>
      <c r="B391" s="8" t="s">
        <v>489</v>
      </c>
      <c r="C391" s="28" t="s">
        <v>490</v>
      </c>
      <c r="D391" s="8" t="s">
        <v>136</v>
      </c>
      <c r="E391" s="2" t="s">
        <v>137</v>
      </c>
      <c r="F391" s="9" t="str">
        <f t="shared" si="37"/>
        <v>TRN-CHL-019</v>
      </c>
      <c r="G391" s="2" t="s">
        <v>15</v>
      </c>
      <c r="H391" t="str">
        <f>IFERROR(VLOOKUP($D391,القوائم!$A$2:$B$4,2,0),"")</f>
        <v>TRN</v>
      </c>
      <c r="I391" t="str">
        <f t="shared" si="38"/>
        <v>CHL</v>
      </c>
      <c r="J391">
        <f>IF($H391="","",IF($N391=0,$Q391,SUMPRODUCT(($O$157:$O$590=$H391)*($P$157:$P$590=$I391)*$Q$157:$Q$590)+COUNTIFS($H$157:$H391,$H391,$I$157:$I391,$I391,$N$157:$N391,1)))</f>
        <v>19</v>
      </c>
      <c r="M391">
        <f>IF($I391="","",COUNTIF($I$5:$I391,$I391))</f>
        <v>47</v>
      </c>
      <c r="N391">
        <f t="shared" si="39"/>
        <v>0</v>
      </c>
      <c r="O391" t="s">
        <v>138</v>
      </c>
      <c r="P391" t="s">
        <v>139</v>
      </c>
      <c r="Q391">
        <v>19</v>
      </c>
      <c r="R391" s="25">
        <v>250</v>
      </c>
      <c r="S391" s="25">
        <v>100</v>
      </c>
      <c r="T391" s="24">
        <f t="shared" si="40"/>
        <v>2.5</v>
      </c>
      <c r="U391" s="25"/>
    </row>
    <row r="392" spans="1:21" ht="16" x14ac:dyDescent="0.15">
      <c r="A392" s="2">
        <v>236</v>
      </c>
      <c r="B392" s="8" t="s">
        <v>491</v>
      </c>
      <c r="C392" s="28" t="s">
        <v>492</v>
      </c>
      <c r="D392" s="8" t="s">
        <v>136</v>
      </c>
      <c r="E392" s="2" t="s">
        <v>137</v>
      </c>
      <c r="F392" s="9" t="str">
        <f t="shared" si="37"/>
        <v>TRN-CHL-020</v>
      </c>
      <c r="G392" s="2" t="s">
        <v>15</v>
      </c>
      <c r="H392" t="str">
        <f>IFERROR(VLOOKUP($D392,القوائم!$A$2:$B$4,2,0),"")</f>
        <v>TRN</v>
      </c>
      <c r="I392" t="str">
        <f t="shared" si="38"/>
        <v>CHL</v>
      </c>
      <c r="J392">
        <f>IF($H392="","",IF($N392=0,$Q392,SUMPRODUCT(($O$157:$O$590=$H392)*($P$157:$P$590=$I392)*$Q$157:$Q$590)+COUNTIFS($H$157:$H392,$H392,$I$157:$I392,$I392,$N$157:$N392,1)))</f>
        <v>20</v>
      </c>
      <c r="M392">
        <f>IF($I392="","",COUNTIF($I$5:$I392,$I392))</f>
        <v>48</v>
      </c>
      <c r="N392">
        <f t="shared" si="39"/>
        <v>0</v>
      </c>
      <c r="O392" t="s">
        <v>138</v>
      </c>
      <c r="P392" t="s">
        <v>139</v>
      </c>
      <c r="Q392">
        <v>20</v>
      </c>
      <c r="R392" s="25">
        <v>320</v>
      </c>
      <c r="S392" s="25">
        <v>100</v>
      </c>
      <c r="T392" s="24">
        <f t="shared" si="40"/>
        <v>3.2</v>
      </c>
      <c r="U392" s="25"/>
    </row>
    <row r="393" spans="1:21" ht="16" x14ac:dyDescent="0.15">
      <c r="A393" s="2">
        <v>237</v>
      </c>
      <c r="B393" s="8" t="s">
        <v>493</v>
      </c>
      <c r="C393" s="28" t="s">
        <v>494</v>
      </c>
      <c r="D393" s="8" t="s">
        <v>136</v>
      </c>
      <c r="E393" s="2" t="s">
        <v>137</v>
      </c>
      <c r="F393" s="9" t="str">
        <f t="shared" si="37"/>
        <v>TRN-CHL-021</v>
      </c>
      <c r="G393" s="2" t="s">
        <v>15</v>
      </c>
      <c r="H393" t="str">
        <f>IFERROR(VLOOKUP($D393,القوائم!$A$2:$B$4,2,0),"")</f>
        <v>TRN</v>
      </c>
      <c r="I393" t="str">
        <f t="shared" si="38"/>
        <v>CHL</v>
      </c>
      <c r="J393">
        <f>IF($H393="","",IF($N393=0,$Q393,SUMPRODUCT(($O$157:$O$590=$H393)*($P$157:$P$590=$I393)*$Q$157:$Q$590)+COUNTIFS($H$157:$H393,$H393,$I$157:$I393,$I393,$N$157:$N393,1)))</f>
        <v>21</v>
      </c>
      <c r="M393">
        <f>IF($I393="","",COUNTIF($I$5:$I393,$I393))</f>
        <v>49</v>
      </c>
      <c r="N393">
        <f t="shared" si="39"/>
        <v>0</v>
      </c>
      <c r="O393" t="s">
        <v>138</v>
      </c>
      <c r="P393" t="s">
        <v>139</v>
      </c>
      <c r="Q393">
        <v>21</v>
      </c>
      <c r="R393" s="25">
        <v>170</v>
      </c>
      <c r="S393" s="25">
        <v>100</v>
      </c>
      <c r="T393" s="24">
        <f t="shared" si="40"/>
        <v>1.7</v>
      </c>
      <c r="U393" s="25"/>
    </row>
    <row r="394" spans="1:21" ht="17" x14ac:dyDescent="0.15">
      <c r="A394" s="2">
        <v>238</v>
      </c>
      <c r="B394" s="8" t="s">
        <v>495</v>
      </c>
      <c r="C394" s="28" t="s">
        <v>496</v>
      </c>
      <c r="D394" s="8" t="s">
        <v>12</v>
      </c>
      <c r="E394" s="2" t="s">
        <v>14</v>
      </c>
      <c r="F394" s="9" t="str">
        <f t="shared" si="37"/>
        <v>RAW-CNS-028</v>
      </c>
      <c r="G394" s="2" t="s">
        <v>13</v>
      </c>
      <c r="H394" t="str">
        <f>IFERROR(VLOOKUP($D394,القوائم!$A$2:$B$4,2,0),"")</f>
        <v>RAW</v>
      </c>
      <c r="I394" t="str">
        <f t="shared" si="38"/>
        <v>CNS</v>
      </c>
      <c r="J394">
        <f>IF($H394="","",IF($N394=0,$Q394,SUMPRODUCT(($O$157:$O$590=$H394)*($P$157:$P$590=$I394)*$Q$157:$Q$590)+COUNTIFS($H$157:$H394,$H394,$I$157:$I394,$I394,$N$157:$N394,1)))</f>
        <v>28</v>
      </c>
      <c r="M394">
        <f>IF($I394="","",COUNTIF($I$5:$I394,$I394))</f>
        <v>29</v>
      </c>
      <c r="N394">
        <f t="shared" si="39"/>
        <v>0</v>
      </c>
      <c r="O394" t="s">
        <v>22</v>
      </c>
      <c r="P394" t="s">
        <v>23</v>
      </c>
      <c r="Q394">
        <v>28</v>
      </c>
      <c r="R394" s="25"/>
      <c r="S394" s="25"/>
      <c r="T394" s="24" t="str">
        <f t="shared" si="40"/>
        <v/>
      </c>
      <c r="U394" s="25"/>
    </row>
    <row r="395" spans="1:21" ht="16" x14ac:dyDescent="0.15">
      <c r="A395" s="2">
        <v>239</v>
      </c>
      <c r="B395" s="8" t="s">
        <v>497</v>
      </c>
      <c r="C395" s="28" t="s">
        <v>498</v>
      </c>
      <c r="D395" s="8" t="s">
        <v>12</v>
      </c>
      <c r="E395" s="2" t="s">
        <v>137</v>
      </c>
      <c r="F395" s="9" t="str">
        <f t="shared" si="37"/>
        <v>RAW-CHL-029</v>
      </c>
      <c r="G395" s="2" t="s">
        <v>15</v>
      </c>
      <c r="H395" t="str">
        <f>IFERROR(VLOOKUP($D395,القوائم!$A$2:$B$4,2,0),"")</f>
        <v>RAW</v>
      </c>
      <c r="I395" t="str">
        <f t="shared" si="38"/>
        <v>CHL</v>
      </c>
      <c r="J395">
        <f>IF($H395="","",IF($N395=0,$Q395,SUMPRODUCT(($O$157:$O$590=$H395)*($P$157:$P$590=$I395)*$Q$157:$Q$590)+COUNTIFS($H$157:$H395,$H395,$I$157:$I395,$I395,$N$157:$N395,1)))</f>
        <v>29</v>
      </c>
      <c r="M395">
        <f>IF($I395="","",COUNTIF($I$5:$I395,$I395))</f>
        <v>50</v>
      </c>
      <c r="N395">
        <f t="shared" si="39"/>
        <v>0</v>
      </c>
      <c r="O395" t="s">
        <v>22</v>
      </c>
      <c r="P395" t="s">
        <v>139</v>
      </c>
      <c r="Q395">
        <v>29</v>
      </c>
      <c r="R395" s="25">
        <v>61</v>
      </c>
      <c r="S395" s="25">
        <v>100</v>
      </c>
      <c r="T395" s="24">
        <f t="shared" si="40"/>
        <v>0.61</v>
      </c>
      <c r="U395" s="25"/>
    </row>
    <row r="396" spans="1:21" ht="16" x14ac:dyDescent="0.15">
      <c r="A396" s="2">
        <v>240</v>
      </c>
      <c r="B396" s="8" t="s">
        <v>499</v>
      </c>
      <c r="C396" s="28" t="s">
        <v>500</v>
      </c>
      <c r="D396" s="8" t="s">
        <v>12</v>
      </c>
      <c r="E396" s="2" t="s">
        <v>137</v>
      </c>
      <c r="F396" s="9" t="str">
        <f t="shared" si="37"/>
        <v>RAW-CHL-030</v>
      </c>
      <c r="G396" s="2" t="s">
        <v>15</v>
      </c>
      <c r="H396" t="str">
        <f>IFERROR(VLOOKUP($D396,القوائم!$A$2:$B$4,2,0),"")</f>
        <v>RAW</v>
      </c>
      <c r="I396" t="str">
        <f t="shared" si="38"/>
        <v>CHL</v>
      </c>
      <c r="J396">
        <f>IF($H396="","",IF($N396=0,$Q396,SUMPRODUCT(($O$157:$O$590=$H396)*($P$157:$P$590=$I396)*$Q$157:$Q$590)+COUNTIFS($H$157:$H396,$H396,$I$157:$I396,$I396,$N$157:$N396,1)))</f>
        <v>30</v>
      </c>
      <c r="M396">
        <f>IF($I396="","",COUNTIF($I$5:$I396,$I396))</f>
        <v>51</v>
      </c>
      <c r="N396">
        <f t="shared" si="39"/>
        <v>0</v>
      </c>
      <c r="O396" t="s">
        <v>22</v>
      </c>
      <c r="P396" t="s">
        <v>139</v>
      </c>
      <c r="Q396">
        <v>30</v>
      </c>
      <c r="R396" s="25">
        <v>717</v>
      </c>
      <c r="S396" s="25">
        <v>100</v>
      </c>
      <c r="T396" s="24">
        <f t="shared" si="40"/>
        <v>7.17</v>
      </c>
      <c r="U396" s="25"/>
    </row>
    <row r="397" spans="1:21" ht="16" x14ac:dyDescent="0.15">
      <c r="A397" s="2">
        <v>241</v>
      </c>
      <c r="B397" s="8" t="s">
        <v>501</v>
      </c>
      <c r="C397" s="28" t="s">
        <v>502</v>
      </c>
      <c r="D397" s="8" t="s">
        <v>12</v>
      </c>
      <c r="E397" s="2" t="s">
        <v>137</v>
      </c>
      <c r="F397" s="9" t="str">
        <f t="shared" si="37"/>
        <v>RAW-CHL-031</v>
      </c>
      <c r="G397" s="2" t="s">
        <v>15</v>
      </c>
      <c r="H397" t="str">
        <f>IFERROR(VLOOKUP($D397,القوائم!$A$2:$B$4,2,0),"")</f>
        <v>RAW</v>
      </c>
      <c r="I397" t="str">
        <f t="shared" si="38"/>
        <v>CHL</v>
      </c>
      <c r="J397">
        <f>IF($H397="","",IF($N397=0,$Q397,SUMPRODUCT(($O$157:$O$590=$H397)*($P$157:$P$590=$I397)*$Q$157:$Q$590)+COUNTIFS($H$157:$H397,$H397,$I$157:$I397,$I397,$N$157:$N397,1)))</f>
        <v>31</v>
      </c>
      <c r="M397">
        <f>IF($I397="","",COUNTIF($I$5:$I397,$I397))</f>
        <v>52</v>
      </c>
      <c r="N397">
        <f t="shared" si="39"/>
        <v>0</v>
      </c>
      <c r="O397" t="s">
        <v>22</v>
      </c>
      <c r="P397" t="s">
        <v>139</v>
      </c>
      <c r="Q397">
        <v>31</v>
      </c>
      <c r="R397" s="25">
        <v>720</v>
      </c>
      <c r="S397" s="25">
        <v>100</v>
      </c>
      <c r="T397" s="24">
        <f t="shared" si="40"/>
        <v>7.2</v>
      </c>
      <c r="U397" s="25"/>
    </row>
    <row r="398" spans="1:21" ht="16" x14ac:dyDescent="0.15">
      <c r="A398" s="2">
        <v>242</v>
      </c>
      <c r="B398" s="8" t="s">
        <v>503</v>
      </c>
      <c r="C398" s="28" t="s">
        <v>504</v>
      </c>
      <c r="D398" s="8" t="s">
        <v>12</v>
      </c>
      <c r="E398" s="2" t="s">
        <v>265</v>
      </c>
      <c r="F398" s="9" t="str">
        <f t="shared" si="37"/>
        <v>RAW-DRY-051</v>
      </c>
      <c r="G398" s="2" t="s">
        <v>15</v>
      </c>
      <c r="H398" t="str">
        <f>IFERROR(VLOOKUP($D398,القوائم!$A$2:$B$4,2,0),"")</f>
        <v>RAW</v>
      </c>
      <c r="I398" t="str">
        <f t="shared" si="38"/>
        <v>DRY</v>
      </c>
      <c r="J398">
        <f>IF($H398="","",IF($N398=0,$Q398,SUMPRODUCT(($O$157:$O$590=$H398)*($P$157:$P$590=$I398)*$Q$157:$Q$590)+COUNTIFS($H$157:$H398,$H398,$I$157:$I398,$I398,$N$157:$N398,1)))</f>
        <v>51</v>
      </c>
      <c r="M398">
        <f>IF($I398="","",COUNTIF($I$5:$I398,$I398))</f>
        <v>53</v>
      </c>
      <c r="N398">
        <f t="shared" si="39"/>
        <v>0</v>
      </c>
      <c r="O398" t="s">
        <v>22</v>
      </c>
      <c r="P398" t="s">
        <v>266</v>
      </c>
      <c r="Q398">
        <v>51</v>
      </c>
      <c r="R398" s="25">
        <v>276</v>
      </c>
      <c r="S398" s="25">
        <v>100</v>
      </c>
      <c r="T398" s="24">
        <f t="shared" si="40"/>
        <v>2.76</v>
      </c>
      <c r="U398" s="25"/>
    </row>
    <row r="399" spans="1:21" ht="16" x14ac:dyDescent="0.15">
      <c r="A399" s="2">
        <v>243</v>
      </c>
      <c r="B399" s="8" t="s">
        <v>505</v>
      </c>
      <c r="C399" s="28" t="s">
        <v>506</v>
      </c>
      <c r="D399" s="8" t="s">
        <v>12</v>
      </c>
      <c r="E399" s="2" t="s">
        <v>265</v>
      </c>
      <c r="F399" s="9" t="str">
        <f t="shared" si="37"/>
        <v>RAW-DRY-052</v>
      </c>
      <c r="G399" s="2" t="s">
        <v>15</v>
      </c>
      <c r="H399" t="str">
        <f>IFERROR(VLOOKUP($D399,القوائم!$A$2:$B$4,2,0),"")</f>
        <v>RAW</v>
      </c>
      <c r="I399" t="str">
        <f t="shared" si="38"/>
        <v>DRY</v>
      </c>
      <c r="J399">
        <f>IF($H399="","",IF($N399=0,$Q399,SUMPRODUCT(($O$157:$O$590=$H399)*($P$157:$P$590=$I399)*$Q$157:$Q$590)+COUNTIFS($H$157:$H399,$H399,$I$157:$I399,$I399,$N$157:$N399,1)))</f>
        <v>52</v>
      </c>
      <c r="M399">
        <f>IF($I399="","",COUNTIF($I$5:$I399,$I399))</f>
        <v>54</v>
      </c>
      <c r="N399">
        <f t="shared" si="39"/>
        <v>0</v>
      </c>
      <c r="O399" t="s">
        <v>22</v>
      </c>
      <c r="P399" t="s">
        <v>266</v>
      </c>
      <c r="Q399">
        <v>52</v>
      </c>
      <c r="R399" s="25">
        <v>310</v>
      </c>
      <c r="S399" s="25">
        <v>100</v>
      </c>
      <c r="T399" s="24">
        <f t="shared" si="40"/>
        <v>3.1</v>
      </c>
      <c r="U399" s="25"/>
    </row>
    <row r="400" spans="1:21" ht="16" x14ac:dyDescent="0.15">
      <c r="A400" s="2">
        <v>244</v>
      </c>
      <c r="B400" s="8" t="s">
        <v>507</v>
      </c>
      <c r="C400" s="28" t="s">
        <v>508</v>
      </c>
      <c r="D400" s="8" t="s">
        <v>12</v>
      </c>
      <c r="E400" s="2" t="s">
        <v>265</v>
      </c>
      <c r="F400" s="9" t="str">
        <f t="shared" si="37"/>
        <v>RAW-DRY-053</v>
      </c>
      <c r="G400" s="2" t="s">
        <v>355</v>
      </c>
      <c r="H400" t="str">
        <f>IFERROR(VLOOKUP($D400,القوائم!$A$2:$B$4,2,0),"")</f>
        <v>RAW</v>
      </c>
      <c r="I400" t="str">
        <f t="shared" si="38"/>
        <v>DRY</v>
      </c>
      <c r="J400">
        <f>IF($H400="","",IF($N400=0,$Q400,SUMPRODUCT(($O$157:$O$590=$H400)*($P$157:$P$590=$I400)*$Q$157:$Q$590)+COUNTIFS($H$157:$H400,$H400,$I$157:$I400,$I400,$N$157:$N400,1)))</f>
        <v>53</v>
      </c>
      <c r="M400">
        <f>IF($I400="","",COUNTIF($I$5:$I400,$I400))</f>
        <v>55</v>
      </c>
      <c r="N400">
        <f t="shared" si="39"/>
        <v>0</v>
      </c>
      <c r="O400" t="s">
        <v>22</v>
      </c>
      <c r="P400" t="s">
        <v>266</v>
      </c>
      <c r="Q400">
        <v>53</v>
      </c>
      <c r="R400" s="25">
        <v>884</v>
      </c>
      <c r="S400" s="25">
        <v>100</v>
      </c>
      <c r="T400" s="24">
        <f t="shared" si="40"/>
        <v>8.84</v>
      </c>
      <c r="U400" s="25"/>
    </row>
    <row r="401" spans="1:21" ht="16" x14ac:dyDescent="0.15">
      <c r="A401" s="2">
        <v>245</v>
      </c>
      <c r="B401" s="8" t="s">
        <v>509</v>
      </c>
      <c r="C401" s="28" t="s">
        <v>510</v>
      </c>
      <c r="D401" s="8" t="s">
        <v>12</v>
      </c>
      <c r="E401" s="2" t="s">
        <v>265</v>
      </c>
      <c r="F401" s="9" t="str">
        <f t="shared" si="37"/>
        <v>RAW-DRY-054</v>
      </c>
      <c r="G401" s="2" t="s">
        <v>355</v>
      </c>
      <c r="H401" t="str">
        <f>IFERROR(VLOOKUP($D401,القوائم!$A$2:$B$4,2,0),"")</f>
        <v>RAW</v>
      </c>
      <c r="I401" t="str">
        <f t="shared" si="38"/>
        <v>DRY</v>
      </c>
      <c r="J401">
        <f>IF($H401="","",IF($N401=0,$Q401,SUMPRODUCT(($O$157:$O$590=$H401)*($P$157:$P$590=$I401)*$Q$157:$Q$590)+COUNTIFS($H$157:$H401,$H401,$I$157:$I401,$I401,$N$157:$N401,1)))</f>
        <v>54</v>
      </c>
      <c r="M401">
        <f>IF($I401="","",COUNTIF($I$5:$I401,$I401))</f>
        <v>56</v>
      </c>
      <c r="N401">
        <f t="shared" si="39"/>
        <v>0</v>
      </c>
      <c r="O401" t="s">
        <v>22</v>
      </c>
      <c r="P401" t="s">
        <v>266</v>
      </c>
      <c r="Q401">
        <v>54</v>
      </c>
      <c r="R401" s="25">
        <v>884</v>
      </c>
      <c r="S401" s="25">
        <v>100</v>
      </c>
      <c r="T401" s="24">
        <f t="shared" si="40"/>
        <v>8.84</v>
      </c>
      <c r="U401" s="25"/>
    </row>
    <row r="402" spans="1:21" ht="16" x14ac:dyDescent="0.15">
      <c r="A402" s="2">
        <v>246</v>
      </c>
      <c r="B402" s="8" t="s">
        <v>511</v>
      </c>
      <c r="C402" s="28" t="s">
        <v>510</v>
      </c>
      <c r="D402" s="8" t="s">
        <v>12</v>
      </c>
      <c r="E402" s="2" t="s">
        <v>265</v>
      </c>
      <c r="F402" s="9" t="str">
        <f t="shared" si="37"/>
        <v>RAW-DRY-055</v>
      </c>
      <c r="G402" s="2" t="s">
        <v>355</v>
      </c>
      <c r="H402" t="str">
        <f>IFERROR(VLOOKUP($D402,القوائم!$A$2:$B$4,2,0),"")</f>
        <v>RAW</v>
      </c>
      <c r="I402" t="str">
        <f t="shared" si="38"/>
        <v>DRY</v>
      </c>
      <c r="J402">
        <f>IF($H402="","",IF($N402=0,$Q402,SUMPRODUCT(($O$157:$O$590=$H402)*($P$157:$P$590=$I402)*$Q$157:$Q$590)+COUNTIFS($H$157:$H402,$H402,$I$157:$I402,$I402,$N$157:$N402,1)))</f>
        <v>55</v>
      </c>
      <c r="M402">
        <f>IF($I402="","",COUNTIF($I$5:$I402,$I402))</f>
        <v>57</v>
      </c>
      <c r="N402">
        <f t="shared" si="39"/>
        <v>0</v>
      </c>
      <c r="O402" t="s">
        <v>22</v>
      </c>
      <c r="P402" t="s">
        <v>266</v>
      </c>
      <c r="Q402">
        <v>55</v>
      </c>
      <c r="R402" s="25">
        <v>884</v>
      </c>
      <c r="S402" s="25">
        <v>100</v>
      </c>
      <c r="T402" s="24">
        <f t="shared" si="40"/>
        <v>8.84</v>
      </c>
      <c r="U402" s="25"/>
    </row>
    <row r="403" spans="1:21" ht="16" x14ac:dyDescent="0.15">
      <c r="A403" s="2">
        <v>247</v>
      </c>
      <c r="B403" s="8" t="s">
        <v>512</v>
      </c>
      <c r="C403" s="28" t="s">
        <v>513</v>
      </c>
      <c r="D403" s="8" t="s">
        <v>12</v>
      </c>
      <c r="E403" s="2" t="s">
        <v>265</v>
      </c>
      <c r="F403" s="9" t="str">
        <f t="shared" si="37"/>
        <v>RAW-DRY-056</v>
      </c>
      <c r="G403" s="2" t="s">
        <v>355</v>
      </c>
      <c r="H403" t="str">
        <f>IFERROR(VLOOKUP($D403,القوائم!$A$2:$B$4,2,0),"")</f>
        <v>RAW</v>
      </c>
      <c r="I403" t="str">
        <f t="shared" si="38"/>
        <v>DRY</v>
      </c>
      <c r="J403">
        <f>IF($H403="","",IF($N403=0,$Q403,SUMPRODUCT(($O$157:$O$590=$H403)*($P$157:$P$590=$I403)*$Q$157:$Q$590)+COUNTIFS($H$157:$H403,$H403,$I$157:$I403,$I403,$N$157:$N403,1)))</f>
        <v>56</v>
      </c>
      <c r="M403">
        <f>IF($I403="","",COUNTIF($I$5:$I403,$I403))</f>
        <v>58</v>
      </c>
      <c r="N403">
        <f t="shared" si="39"/>
        <v>0</v>
      </c>
      <c r="O403" t="s">
        <v>22</v>
      </c>
      <c r="P403" t="s">
        <v>266</v>
      </c>
      <c r="Q403">
        <v>56</v>
      </c>
      <c r="R403" s="25">
        <v>884</v>
      </c>
      <c r="S403" s="25">
        <v>100</v>
      </c>
      <c r="T403" s="24">
        <f t="shared" si="40"/>
        <v>8.84</v>
      </c>
      <c r="U403" s="25"/>
    </row>
    <row r="404" spans="1:21" ht="16" x14ac:dyDescent="0.15">
      <c r="A404" s="2">
        <v>248</v>
      </c>
      <c r="B404" s="8" t="s">
        <v>514</v>
      </c>
      <c r="C404" s="28" t="s">
        <v>515</v>
      </c>
      <c r="D404" s="8" t="s">
        <v>12</v>
      </c>
      <c r="E404" s="2" t="s">
        <v>265</v>
      </c>
      <c r="F404" s="9" t="str">
        <f t="shared" si="37"/>
        <v>RAW-DRY-057</v>
      </c>
      <c r="G404" s="2" t="s">
        <v>355</v>
      </c>
      <c r="H404" t="str">
        <f>IFERROR(VLOOKUP($D404,القوائم!$A$2:$B$4,2,0),"")</f>
        <v>RAW</v>
      </c>
      <c r="I404" t="str">
        <f t="shared" si="38"/>
        <v>DRY</v>
      </c>
      <c r="J404">
        <f>IF($H404="","",IF($N404=0,$Q404,SUMPRODUCT(($O$157:$O$590=$H404)*($P$157:$P$590=$I404)*$Q$157:$Q$590)+COUNTIFS($H$157:$H404,$H404,$I$157:$I404,$I404,$N$157:$N404,1)))</f>
        <v>57</v>
      </c>
      <c r="M404">
        <f>IF($I404="","",COUNTIF($I$5:$I404,$I404))</f>
        <v>59</v>
      </c>
      <c r="N404">
        <f t="shared" si="39"/>
        <v>0</v>
      </c>
      <c r="O404" t="s">
        <v>22</v>
      </c>
      <c r="P404" t="s">
        <v>266</v>
      </c>
      <c r="Q404">
        <v>57</v>
      </c>
      <c r="R404" s="25">
        <v>884</v>
      </c>
      <c r="S404" s="25">
        <v>100</v>
      </c>
      <c r="T404" s="24">
        <f t="shared" si="40"/>
        <v>8.84</v>
      </c>
      <c r="U404" s="25"/>
    </row>
    <row r="405" spans="1:21" ht="16" x14ac:dyDescent="0.15">
      <c r="A405" s="2">
        <v>249</v>
      </c>
      <c r="B405" s="8" t="s">
        <v>516</v>
      </c>
      <c r="C405" s="28" t="s">
        <v>517</v>
      </c>
      <c r="D405" s="8" t="s">
        <v>12</v>
      </c>
      <c r="E405" s="2" t="s">
        <v>265</v>
      </c>
      <c r="F405" s="9" t="str">
        <f t="shared" si="37"/>
        <v>RAW-DRY-058</v>
      </c>
      <c r="G405" s="2" t="s">
        <v>355</v>
      </c>
      <c r="H405" t="str">
        <f>IFERROR(VLOOKUP($D405,القوائم!$A$2:$B$4,2,0),"")</f>
        <v>RAW</v>
      </c>
      <c r="I405" t="str">
        <f t="shared" si="38"/>
        <v>DRY</v>
      </c>
      <c r="J405">
        <f>IF($H405="","",IF($N405=0,$Q405,SUMPRODUCT(($O$157:$O$590=$H405)*($P$157:$P$590=$I405)*$Q$157:$Q$590)+COUNTIFS($H$157:$H405,$H405,$I$157:$I405,$I405,$N$157:$N405,1)))</f>
        <v>58</v>
      </c>
      <c r="M405">
        <f>IF($I405="","",COUNTIF($I$5:$I405,$I405))</f>
        <v>60</v>
      </c>
      <c r="N405">
        <f t="shared" si="39"/>
        <v>0</v>
      </c>
      <c r="O405" t="s">
        <v>22</v>
      </c>
      <c r="P405" t="s">
        <v>266</v>
      </c>
      <c r="Q405">
        <v>58</v>
      </c>
      <c r="R405" s="25">
        <v>884</v>
      </c>
      <c r="S405" s="25">
        <v>100</v>
      </c>
      <c r="T405" s="24">
        <f t="shared" si="40"/>
        <v>8.84</v>
      </c>
      <c r="U405" s="25"/>
    </row>
    <row r="406" spans="1:21" ht="16" x14ac:dyDescent="0.15">
      <c r="A406" s="2">
        <v>250</v>
      </c>
      <c r="B406" s="8" t="s">
        <v>518</v>
      </c>
      <c r="C406" s="28" t="s">
        <v>519</v>
      </c>
      <c r="D406" s="8" t="s">
        <v>12</v>
      </c>
      <c r="E406" s="2" t="s">
        <v>265</v>
      </c>
      <c r="F406" s="9" t="str">
        <f t="shared" si="37"/>
        <v>RAW-DRY-059</v>
      </c>
      <c r="G406" s="2" t="s">
        <v>15</v>
      </c>
      <c r="H406" t="str">
        <f>IFERROR(VLOOKUP($D406,القوائم!$A$2:$B$4,2,0),"")</f>
        <v>RAW</v>
      </c>
      <c r="I406" t="str">
        <f t="shared" si="38"/>
        <v>DRY</v>
      </c>
      <c r="J406">
        <f>IF($H406="","",IF($N406=0,$Q406,SUMPRODUCT(($O$157:$O$590=$H406)*($P$157:$P$590=$I406)*$Q$157:$Q$590)+COUNTIFS($H$157:$H406,$H406,$I$157:$I406,$I406,$N$157:$N406,1)))</f>
        <v>59</v>
      </c>
      <c r="M406">
        <f>IF($I406="","",COUNTIF($I$5:$I406,$I406))</f>
        <v>61</v>
      </c>
      <c r="N406">
        <f t="shared" si="39"/>
        <v>0</v>
      </c>
      <c r="O406" t="s">
        <v>22</v>
      </c>
      <c r="P406" t="s">
        <v>266</v>
      </c>
      <c r="Q406">
        <v>59</v>
      </c>
      <c r="R406" s="25">
        <v>145</v>
      </c>
      <c r="S406" s="25">
        <v>100</v>
      </c>
      <c r="T406" s="24">
        <f t="shared" si="40"/>
        <v>1.45</v>
      </c>
      <c r="U406" s="25"/>
    </row>
    <row r="407" spans="1:21" ht="17" x14ac:dyDescent="0.15">
      <c r="A407" s="2">
        <v>251</v>
      </c>
      <c r="B407" s="8" t="s">
        <v>520</v>
      </c>
      <c r="C407" s="28" t="s">
        <v>521</v>
      </c>
      <c r="D407" s="8" t="s">
        <v>12</v>
      </c>
      <c r="E407" s="2" t="s">
        <v>14</v>
      </c>
      <c r="F407" s="9" t="str">
        <f t="shared" si="37"/>
        <v>RAW-CNS-029</v>
      </c>
      <c r="G407" s="2" t="s">
        <v>13</v>
      </c>
      <c r="H407" t="str">
        <f>IFERROR(VLOOKUP($D407,القوائم!$A$2:$B$4,2,0),"")</f>
        <v>RAW</v>
      </c>
      <c r="I407" t="str">
        <f t="shared" si="38"/>
        <v>CNS</v>
      </c>
      <c r="J407">
        <f>IF($H407="","",IF($N407=0,$Q407,SUMPRODUCT(($O$157:$O$590=$H407)*($P$157:$P$590=$I407)*$Q$157:$Q$590)+COUNTIFS($H$157:$H407,$H407,$I$157:$I407,$I407,$N$157:$N407,1)))</f>
        <v>29</v>
      </c>
      <c r="M407">
        <f>IF($I407="","",COUNTIF($I$5:$I407,$I407))</f>
        <v>30</v>
      </c>
      <c r="N407">
        <f t="shared" si="39"/>
        <v>0</v>
      </c>
      <c r="O407" t="s">
        <v>22</v>
      </c>
      <c r="P407" t="s">
        <v>23</v>
      </c>
      <c r="Q407">
        <v>29</v>
      </c>
      <c r="R407" s="25"/>
      <c r="S407" s="25"/>
      <c r="T407" s="24" t="str">
        <f t="shared" si="40"/>
        <v/>
      </c>
      <c r="U407" s="25"/>
    </row>
    <row r="408" spans="1:21" ht="17" x14ac:dyDescent="0.15">
      <c r="A408" s="2">
        <v>252</v>
      </c>
      <c r="B408" s="8" t="s">
        <v>522</v>
      </c>
      <c r="C408" s="28" t="s">
        <v>523</v>
      </c>
      <c r="D408" s="8" t="s">
        <v>12</v>
      </c>
      <c r="E408" s="2" t="s">
        <v>14</v>
      </c>
      <c r="F408" s="9" t="str">
        <f t="shared" si="37"/>
        <v>RAW-CNS-030</v>
      </c>
      <c r="G408" s="2" t="s">
        <v>13</v>
      </c>
      <c r="H408" t="str">
        <f>IFERROR(VLOOKUP($D408,القوائم!$A$2:$B$4,2,0),"")</f>
        <v>RAW</v>
      </c>
      <c r="I408" t="str">
        <f t="shared" si="38"/>
        <v>CNS</v>
      </c>
      <c r="J408">
        <f>IF($H408="","",IF($N408=0,$Q408,SUMPRODUCT(($O$157:$O$590=$H408)*($P$157:$P$590=$I408)*$Q$157:$Q$590)+COUNTIFS($H$157:$H408,$H408,$I$157:$I408,$I408,$N$157:$N408,1)))</f>
        <v>30</v>
      </c>
      <c r="M408">
        <f>IF($I408="","",COUNTIF($I$5:$I408,$I408))</f>
        <v>31</v>
      </c>
      <c r="N408">
        <f t="shared" si="39"/>
        <v>0</v>
      </c>
      <c r="O408" t="s">
        <v>22</v>
      </c>
      <c r="P408" t="s">
        <v>23</v>
      </c>
      <c r="Q408">
        <v>30</v>
      </c>
      <c r="R408" s="25"/>
      <c r="S408" s="25"/>
      <c r="T408" s="24" t="str">
        <f t="shared" si="40"/>
        <v/>
      </c>
      <c r="U408" s="25"/>
    </row>
    <row r="409" spans="1:21" ht="16" x14ac:dyDescent="0.15">
      <c r="A409" s="2">
        <v>253</v>
      </c>
      <c r="B409" s="8" t="s">
        <v>524</v>
      </c>
      <c r="C409" s="28" t="s">
        <v>525</v>
      </c>
      <c r="D409" s="8" t="s">
        <v>12</v>
      </c>
      <c r="E409" s="2" t="s">
        <v>137</v>
      </c>
      <c r="F409" s="9" t="str">
        <f t="shared" si="37"/>
        <v>RAW-CHL-032</v>
      </c>
      <c r="G409" s="2" t="s">
        <v>15</v>
      </c>
      <c r="H409" t="str">
        <f>IFERROR(VLOOKUP($D409,القوائم!$A$2:$B$4,2,0),"")</f>
        <v>RAW</v>
      </c>
      <c r="I409" t="str">
        <f t="shared" si="38"/>
        <v>CHL</v>
      </c>
      <c r="J409">
        <f>IF($H409="","",IF($N409=0,$Q409,SUMPRODUCT(($O$157:$O$590=$H409)*($P$157:$P$590=$I409)*$Q$157:$Q$590)+COUNTIFS($H$157:$H409,$H409,$I$157:$I409,$I409,$N$157:$N409,1)))</f>
        <v>32</v>
      </c>
      <c r="M409">
        <f>IF($I409="","",COUNTIF($I$5:$I409,$I409))</f>
        <v>53</v>
      </c>
      <c r="N409">
        <f t="shared" si="39"/>
        <v>0</v>
      </c>
      <c r="O409" t="s">
        <v>22</v>
      </c>
      <c r="P409" t="s">
        <v>139</v>
      </c>
      <c r="Q409">
        <v>32</v>
      </c>
      <c r="R409" s="25">
        <v>23</v>
      </c>
      <c r="S409" s="25">
        <v>100</v>
      </c>
      <c r="T409" s="24">
        <f t="shared" si="40"/>
        <v>0.23</v>
      </c>
      <c r="U409" s="25"/>
    </row>
    <row r="410" spans="1:21" ht="16" x14ac:dyDescent="0.15">
      <c r="A410" s="2">
        <v>254</v>
      </c>
      <c r="B410" s="8" t="s">
        <v>526</v>
      </c>
      <c r="C410" s="28" t="s">
        <v>527</v>
      </c>
      <c r="D410" s="8" t="s">
        <v>12</v>
      </c>
      <c r="E410" s="2" t="s">
        <v>265</v>
      </c>
      <c r="F410" s="9" t="str">
        <f t="shared" si="37"/>
        <v>RAW-DRY-060</v>
      </c>
      <c r="G410" s="2" t="s">
        <v>15</v>
      </c>
      <c r="H410" t="str">
        <f>IFERROR(VLOOKUP($D410,القوائم!$A$2:$B$4,2,0),"")</f>
        <v>RAW</v>
      </c>
      <c r="I410" t="str">
        <f t="shared" si="38"/>
        <v>DRY</v>
      </c>
      <c r="J410">
        <f>IF($H410="","",IF($N410=0,$Q410,SUMPRODUCT(($O$157:$O$590=$H410)*($P$157:$P$590=$I410)*$Q$157:$Q$590)+COUNTIFS($H$157:$H410,$H410,$I$157:$I410,$I410,$N$157:$N410,1)))</f>
        <v>60</v>
      </c>
      <c r="M410">
        <f>IF($I410="","",COUNTIF($I$5:$I410,$I410))</f>
        <v>62</v>
      </c>
      <c r="N410">
        <f t="shared" si="39"/>
        <v>0</v>
      </c>
      <c r="O410" t="s">
        <v>22</v>
      </c>
      <c r="P410" t="s">
        <v>266</v>
      </c>
      <c r="Q410">
        <v>60</v>
      </c>
      <c r="R410" s="25">
        <v>387</v>
      </c>
      <c r="S410" s="25">
        <v>100</v>
      </c>
      <c r="T410" s="24">
        <f t="shared" si="40"/>
        <v>3.87</v>
      </c>
      <c r="U410" s="25"/>
    </row>
    <row r="411" spans="1:21" ht="16" x14ac:dyDescent="0.15">
      <c r="A411" s="2">
        <v>255</v>
      </c>
      <c r="B411" s="8" t="s">
        <v>528</v>
      </c>
      <c r="C411" s="28" t="s">
        <v>529</v>
      </c>
      <c r="D411" s="8" t="s">
        <v>12</v>
      </c>
      <c r="E411" s="2" t="s">
        <v>218</v>
      </c>
      <c r="F411" s="9" t="str">
        <f t="shared" si="37"/>
        <v>RAW-FRZ-005</v>
      </c>
      <c r="G411" s="2" t="s">
        <v>15</v>
      </c>
      <c r="H411" t="str">
        <f>IFERROR(VLOOKUP($D411,القوائم!$A$2:$B$4,2,0),"")</f>
        <v>RAW</v>
      </c>
      <c r="I411" t="str">
        <f t="shared" si="38"/>
        <v>FRZ</v>
      </c>
      <c r="J411">
        <f>IF($H411="","",IF($N411=0,$Q411,SUMPRODUCT(($O$157:$O$590=$H411)*($P$157:$P$590=$I411)*$Q$157:$Q$590)+COUNTIFS($H$157:$H411,$H411,$I$157:$I411,$I411,$N$157:$N411,1)))</f>
        <v>5</v>
      </c>
      <c r="M411">
        <f>IF($I411="","",COUNTIF($I$5:$I411,$I411))</f>
        <v>5</v>
      </c>
      <c r="N411">
        <f t="shared" si="39"/>
        <v>0</v>
      </c>
      <c r="O411" t="s">
        <v>22</v>
      </c>
      <c r="P411" t="s">
        <v>219</v>
      </c>
      <c r="Q411">
        <v>5</v>
      </c>
      <c r="R411" s="25">
        <v>340</v>
      </c>
      <c r="S411" s="25">
        <v>100</v>
      </c>
      <c r="T411" s="24">
        <f t="shared" si="40"/>
        <v>3.4</v>
      </c>
      <c r="U411" s="25"/>
    </row>
    <row r="412" spans="1:21" ht="17" x14ac:dyDescent="0.15">
      <c r="A412" s="2">
        <v>256</v>
      </c>
      <c r="B412" s="8" t="s">
        <v>530</v>
      </c>
      <c r="C412" s="28" t="s">
        <v>531</v>
      </c>
      <c r="D412" s="8" t="s">
        <v>12</v>
      </c>
      <c r="E412" s="2" t="s">
        <v>14</v>
      </c>
      <c r="F412" s="9" t="str">
        <f t="shared" si="37"/>
        <v>RAW-CNS-031</v>
      </c>
      <c r="G412" s="2" t="s">
        <v>13</v>
      </c>
      <c r="H412" t="str">
        <f>IFERROR(VLOOKUP($D412,القوائم!$A$2:$B$4,2,0),"")</f>
        <v>RAW</v>
      </c>
      <c r="I412" t="str">
        <f t="shared" si="38"/>
        <v>CNS</v>
      </c>
      <c r="J412">
        <f>IF($H412="","",IF($N412=0,$Q412,SUMPRODUCT(($O$157:$O$590=$H412)*($P$157:$P$590=$I412)*$Q$157:$Q$590)+COUNTIFS($H$157:$H412,$H412,$I$157:$I412,$I412,$N$157:$N412,1)))</f>
        <v>31</v>
      </c>
      <c r="M412">
        <f>IF($I412="","",COUNTIF($I$5:$I412,$I412))</f>
        <v>32</v>
      </c>
      <c r="N412">
        <f t="shared" si="39"/>
        <v>0</v>
      </c>
      <c r="O412" t="s">
        <v>22</v>
      </c>
      <c r="P412" t="s">
        <v>23</v>
      </c>
      <c r="Q412">
        <v>31</v>
      </c>
      <c r="R412" s="25"/>
      <c r="S412" s="25"/>
      <c r="T412" s="24" t="str">
        <f t="shared" si="40"/>
        <v/>
      </c>
      <c r="U412" s="25"/>
    </row>
    <row r="413" spans="1:21" ht="16" x14ac:dyDescent="0.15">
      <c r="A413" s="2">
        <v>257</v>
      </c>
      <c r="B413" s="8" t="s">
        <v>532</v>
      </c>
      <c r="C413" s="28" t="s">
        <v>533</v>
      </c>
      <c r="D413" s="8" t="s">
        <v>12</v>
      </c>
      <c r="E413" s="2" t="s">
        <v>265</v>
      </c>
      <c r="F413" s="9" t="str">
        <f t="shared" ref="F413:F476" si="41">IF($H413="","",$H413&amp;"-"&amp;$I413&amp;"-"&amp;TEXT($J413,"000"))</f>
        <v>RAW-DRY-061</v>
      </c>
      <c r="G413" s="2" t="s">
        <v>15</v>
      </c>
      <c r="H413" t="str">
        <f>IFERROR(VLOOKUP($D413,القوائم!$A$2:$B$4,2,0),"")</f>
        <v>RAW</v>
      </c>
      <c r="I413" t="str">
        <f t="shared" ref="I413:I476" si="42">IF($H413="FIN","RTS",IF(ISNUMBER(SEARCH("مجمد",$E413)),"FRZ",IF(ISNUMBER(SEARCH("مبرد",$E413)),"CHL",IF(ISNUMBER(SEARCH("جاف",$E413)),"DRY",IF(ISNUMBER(SEARCH("استهلاك",$E413)),"CNS",IF(ISNUMBER(SEARCH("بيع",$E413)),"RTS",""))))))</f>
        <v>DRY</v>
      </c>
      <c r="J413">
        <f>IF($H413="","",IF($N413=0,$Q413,SUMPRODUCT(($O$157:$O$590=$H413)*($P$157:$P$590=$I413)*$Q$157:$Q$590)+COUNTIFS($H$157:$H413,$H413,$I$157:$I413,$I413,$N$157:$N413,1)))</f>
        <v>61</v>
      </c>
      <c r="M413">
        <f>IF($I413="","",COUNTIF($I$5:$I413,$I413))</f>
        <v>63</v>
      </c>
      <c r="N413">
        <f t="shared" ref="N413:N476" si="43">IF($H413="","",IF(OR($H413&lt;&gt;$O413,$I413&lt;&gt;$P413),1,0))</f>
        <v>0</v>
      </c>
      <c r="O413" t="s">
        <v>22</v>
      </c>
      <c r="P413" t="s">
        <v>266</v>
      </c>
      <c r="Q413">
        <v>61</v>
      </c>
      <c r="R413" s="25">
        <v>270</v>
      </c>
      <c r="S413" s="25">
        <v>100</v>
      </c>
      <c r="T413" s="24">
        <f t="shared" ref="T413:T476" si="44">IF(OR($R413="",$S413="",$S413=0),"",ROUND($R413/$S413,2))</f>
        <v>2.7</v>
      </c>
      <c r="U413" s="25"/>
    </row>
    <row r="414" spans="1:21" ht="16" x14ac:dyDescent="0.15">
      <c r="A414" s="2">
        <v>258</v>
      </c>
      <c r="B414" s="8" t="s">
        <v>534</v>
      </c>
      <c r="C414" s="28" t="s">
        <v>535</v>
      </c>
      <c r="D414" s="8" t="s">
        <v>12</v>
      </c>
      <c r="E414" s="2" t="s">
        <v>265</v>
      </c>
      <c r="F414" s="9" t="str">
        <f t="shared" si="41"/>
        <v>RAW-DRY-062</v>
      </c>
      <c r="G414" s="2" t="s">
        <v>15</v>
      </c>
      <c r="H414" t="str">
        <f>IFERROR(VLOOKUP($D414,القوائم!$A$2:$B$4,2,0),"")</f>
        <v>RAW</v>
      </c>
      <c r="I414" t="str">
        <f t="shared" si="42"/>
        <v>DRY</v>
      </c>
      <c r="J414">
        <f>IF($H414="","",IF($N414=0,$Q414,SUMPRODUCT(($O$157:$O$590=$H414)*($P$157:$P$590=$I414)*$Q$157:$Q$590)+COUNTIFS($H$157:$H414,$H414,$I$157:$I414,$I414,$N$157:$N414,1)))</f>
        <v>62</v>
      </c>
      <c r="M414">
        <f>IF($I414="","",COUNTIF($I$5:$I414,$I414))</f>
        <v>64</v>
      </c>
      <c r="N414">
        <f t="shared" si="43"/>
        <v>0</v>
      </c>
      <c r="O414" t="s">
        <v>22</v>
      </c>
      <c r="P414" t="s">
        <v>266</v>
      </c>
      <c r="Q414">
        <v>62</v>
      </c>
      <c r="R414" s="25">
        <v>573</v>
      </c>
      <c r="S414" s="25">
        <v>100</v>
      </c>
      <c r="T414" s="24">
        <f t="shared" si="44"/>
        <v>5.73</v>
      </c>
      <c r="U414" s="25"/>
    </row>
    <row r="415" spans="1:21" ht="16" x14ac:dyDescent="0.15">
      <c r="A415" s="2">
        <v>259</v>
      </c>
      <c r="B415" s="8" t="s">
        <v>536</v>
      </c>
      <c r="C415" s="28" t="s">
        <v>535</v>
      </c>
      <c r="D415" s="8" t="s">
        <v>12</v>
      </c>
      <c r="E415" s="2" t="s">
        <v>265</v>
      </c>
      <c r="F415" s="9" t="str">
        <f t="shared" si="41"/>
        <v>RAW-DRY-063</v>
      </c>
      <c r="G415" s="2" t="s">
        <v>15</v>
      </c>
      <c r="H415" t="str">
        <f>IFERROR(VLOOKUP($D415,القوائم!$A$2:$B$4,2,0),"")</f>
        <v>RAW</v>
      </c>
      <c r="I415" t="str">
        <f t="shared" si="42"/>
        <v>DRY</v>
      </c>
      <c r="J415">
        <f>IF($H415="","",IF($N415=0,$Q415,SUMPRODUCT(($O$157:$O$590=$H415)*($P$157:$P$590=$I415)*$Q$157:$Q$590)+COUNTIFS($H$157:$H415,$H415,$I$157:$I415,$I415,$N$157:$N415,1)))</f>
        <v>63</v>
      </c>
      <c r="M415">
        <f>IF($I415="","",COUNTIF($I$5:$I415,$I415))</f>
        <v>65</v>
      </c>
      <c r="N415">
        <f t="shared" si="43"/>
        <v>0</v>
      </c>
      <c r="O415" t="s">
        <v>22</v>
      </c>
      <c r="P415" t="s">
        <v>266</v>
      </c>
      <c r="Q415">
        <v>63</v>
      </c>
      <c r="R415" s="25">
        <v>573</v>
      </c>
      <c r="S415" s="25">
        <v>100</v>
      </c>
      <c r="T415" s="24">
        <f t="shared" si="44"/>
        <v>5.73</v>
      </c>
      <c r="U415" s="25"/>
    </row>
    <row r="416" spans="1:21" ht="16" x14ac:dyDescent="0.15">
      <c r="A416" s="2">
        <v>260</v>
      </c>
      <c r="B416" s="8" t="s">
        <v>537</v>
      </c>
      <c r="C416" s="28" t="s">
        <v>538</v>
      </c>
      <c r="D416" s="8" t="s">
        <v>12</v>
      </c>
      <c r="E416" s="2" t="s">
        <v>265</v>
      </c>
      <c r="F416" s="9" t="str">
        <f t="shared" si="41"/>
        <v>RAW-DRY-064</v>
      </c>
      <c r="G416" s="2" t="s">
        <v>15</v>
      </c>
      <c r="H416" t="str">
        <f>IFERROR(VLOOKUP($D416,القوائم!$A$2:$B$4,2,0),"")</f>
        <v>RAW</v>
      </c>
      <c r="I416" t="str">
        <f t="shared" si="42"/>
        <v>DRY</v>
      </c>
      <c r="J416">
        <f>IF($H416="","",IF($N416=0,$Q416,SUMPRODUCT(($O$157:$O$590=$H416)*($P$157:$P$590=$I416)*$Q$157:$Q$590)+COUNTIFS($H$157:$H416,$H416,$I$157:$I416,$I416,$N$157:$N416,1)))</f>
        <v>64</v>
      </c>
      <c r="M416">
        <f>IF($I416="","",COUNTIF($I$5:$I416,$I416))</f>
        <v>66</v>
      </c>
      <c r="N416">
        <f t="shared" si="43"/>
        <v>0</v>
      </c>
      <c r="O416" t="s">
        <v>22</v>
      </c>
      <c r="P416" t="s">
        <v>266</v>
      </c>
      <c r="Q416">
        <v>64</v>
      </c>
      <c r="R416" s="25">
        <v>360</v>
      </c>
      <c r="S416" s="25">
        <v>100</v>
      </c>
      <c r="T416" s="24">
        <f t="shared" si="44"/>
        <v>3.6</v>
      </c>
      <c r="U416" s="25"/>
    </row>
    <row r="417" spans="1:21" ht="16" x14ac:dyDescent="0.15">
      <c r="A417" s="2">
        <v>261</v>
      </c>
      <c r="B417" s="8" t="s">
        <v>539</v>
      </c>
      <c r="C417" s="28" t="s">
        <v>540</v>
      </c>
      <c r="D417" s="8" t="s">
        <v>12</v>
      </c>
      <c r="E417" s="2" t="s">
        <v>265</v>
      </c>
      <c r="F417" s="9" t="str">
        <f t="shared" si="41"/>
        <v>RAW-DRY-065</v>
      </c>
      <c r="G417" s="2" t="s">
        <v>355</v>
      </c>
      <c r="H417" t="str">
        <f>IFERROR(VLOOKUP($D417,القوائم!$A$2:$B$4,2,0),"")</f>
        <v>RAW</v>
      </c>
      <c r="I417" t="str">
        <f t="shared" si="42"/>
        <v>DRY</v>
      </c>
      <c r="J417">
        <f>IF($H417="","",IF($N417=0,$Q417,SUMPRODUCT(($O$157:$O$590=$H417)*($P$157:$P$590=$I417)*$Q$157:$Q$590)+COUNTIFS($H$157:$H417,$H417,$I$157:$I417,$I417,$N$157:$N417,1)))</f>
        <v>65</v>
      </c>
      <c r="M417">
        <f>IF($I417="","",COUNTIF($I$5:$I417,$I417))</f>
        <v>67</v>
      </c>
      <c r="N417">
        <f t="shared" si="43"/>
        <v>0</v>
      </c>
      <c r="O417" t="s">
        <v>22</v>
      </c>
      <c r="P417" t="s">
        <v>266</v>
      </c>
      <c r="Q417">
        <v>65</v>
      </c>
      <c r="R417" s="25">
        <v>270</v>
      </c>
      <c r="S417" s="25">
        <v>100</v>
      </c>
      <c r="T417" s="24">
        <f t="shared" si="44"/>
        <v>2.7</v>
      </c>
      <c r="U417" s="25"/>
    </row>
    <row r="418" spans="1:21" ht="16" x14ac:dyDescent="0.15">
      <c r="A418" s="2">
        <v>262</v>
      </c>
      <c r="B418" s="8" t="s">
        <v>541</v>
      </c>
      <c r="C418" s="28" t="s">
        <v>540</v>
      </c>
      <c r="D418" s="8" t="s">
        <v>12</v>
      </c>
      <c r="E418" s="2" t="s">
        <v>265</v>
      </c>
      <c r="F418" s="9" t="str">
        <f t="shared" si="41"/>
        <v>RAW-DRY-066</v>
      </c>
      <c r="G418" s="2" t="s">
        <v>355</v>
      </c>
      <c r="H418" t="str">
        <f>IFERROR(VLOOKUP($D418,القوائم!$A$2:$B$4,2,0),"")</f>
        <v>RAW</v>
      </c>
      <c r="I418" t="str">
        <f t="shared" si="42"/>
        <v>DRY</v>
      </c>
      <c r="J418">
        <f>IF($H418="","",IF($N418=0,$Q418,SUMPRODUCT(($O$157:$O$590=$H418)*($P$157:$P$590=$I418)*$Q$157:$Q$590)+COUNTIFS($H$157:$H418,$H418,$I$157:$I418,$I418,$N$157:$N418,1)))</f>
        <v>66</v>
      </c>
      <c r="M418">
        <f>IF($I418="","",COUNTIF($I$5:$I418,$I418))</f>
        <v>68</v>
      </c>
      <c r="N418">
        <f t="shared" si="43"/>
        <v>0</v>
      </c>
      <c r="O418" t="s">
        <v>22</v>
      </c>
      <c r="P418" t="s">
        <v>266</v>
      </c>
      <c r="Q418">
        <v>66</v>
      </c>
      <c r="R418" s="25">
        <v>270</v>
      </c>
      <c r="S418" s="25">
        <v>100</v>
      </c>
      <c r="T418" s="24">
        <f t="shared" si="44"/>
        <v>2.7</v>
      </c>
      <c r="U418" s="25"/>
    </row>
    <row r="419" spans="1:21" ht="16" x14ac:dyDescent="0.15">
      <c r="A419" s="2">
        <v>263</v>
      </c>
      <c r="B419" s="8" t="s">
        <v>542</v>
      </c>
      <c r="C419" s="28" t="s">
        <v>543</v>
      </c>
      <c r="D419" s="8" t="s">
        <v>12</v>
      </c>
      <c r="E419" s="2" t="s">
        <v>265</v>
      </c>
      <c r="F419" s="9" t="str">
        <f t="shared" si="41"/>
        <v>RAW-DRY-067</v>
      </c>
      <c r="G419" s="2" t="s">
        <v>355</v>
      </c>
      <c r="H419" t="str">
        <f>IFERROR(VLOOKUP($D419,القوائم!$A$2:$B$4,2,0),"")</f>
        <v>RAW</v>
      </c>
      <c r="I419" t="str">
        <f t="shared" si="42"/>
        <v>DRY</v>
      </c>
      <c r="J419">
        <f>IF($H419="","",IF($N419=0,$Q419,SUMPRODUCT(($O$157:$O$590=$H419)*($P$157:$P$590=$I419)*$Q$157:$Q$590)+COUNTIFS($H$157:$H419,$H419,$I$157:$I419,$I419,$N$157:$N419,1)))</f>
        <v>67</v>
      </c>
      <c r="M419">
        <f>IF($I419="","",COUNTIF($I$5:$I419,$I419))</f>
        <v>69</v>
      </c>
      <c r="N419">
        <f t="shared" si="43"/>
        <v>0</v>
      </c>
      <c r="O419" t="s">
        <v>22</v>
      </c>
      <c r="P419" t="s">
        <v>266</v>
      </c>
      <c r="Q419">
        <v>67</v>
      </c>
      <c r="R419" s="25">
        <v>270</v>
      </c>
      <c r="S419" s="25">
        <v>100</v>
      </c>
      <c r="T419" s="24">
        <f t="shared" si="44"/>
        <v>2.7</v>
      </c>
      <c r="U419" s="25"/>
    </row>
    <row r="420" spans="1:21" ht="16" x14ac:dyDescent="0.15">
      <c r="A420" s="2">
        <v>264</v>
      </c>
      <c r="B420" s="8" t="s">
        <v>544</v>
      </c>
      <c r="C420" s="28" t="s">
        <v>545</v>
      </c>
      <c r="D420" s="8" t="s">
        <v>12</v>
      </c>
      <c r="E420" s="2" t="s">
        <v>265</v>
      </c>
      <c r="F420" s="9" t="str">
        <f t="shared" si="41"/>
        <v>RAW-DRY-068</v>
      </c>
      <c r="G420" s="2" t="s">
        <v>355</v>
      </c>
      <c r="H420" t="str">
        <f>IFERROR(VLOOKUP($D420,القوائم!$A$2:$B$4,2,0),"")</f>
        <v>RAW</v>
      </c>
      <c r="I420" t="str">
        <f t="shared" si="42"/>
        <v>DRY</v>
      </c>
      <c r="J420">
        <f>IF($H420="","",IF($N420=0,$Q420,SUMPRODUCT(($O$157:$O$590=$H420)*($P$157:$P$590=$I420)*$Q$157:$Q$590)+COUNTIFS($H$157:$H420,$H420,$I$157:$I420,$I420,$N$157:$N420,1)))</f>
        <v>68</v>
      </c>
      <c r="M420">
        <f>IF($I420="","",COUNTIF($I$5:$I420,$I420))</f>
        <v>70</v>
      </c>
      <c r="N420">
        <f t="shared" si="43"/>
        <v>0</v>
      </c>
      <c r="O420" t="s">
        <v>22</v>
      </c>
      <c r="P420" t="s">
        <v>266</v>
      </c>
      <c r="Q420">
        <v>68</v>
      </c>
      <c r="R420" s="25">
        <v>270</v>
      </c>
      <c r="S420" s="25">
        <v>100</v>
      </c>
      <c r="T420" s="24">
        <f t="shared" si="44"/>
        <v>2.7</v>
      </c>
      <c r="U420" s="25"/>
    </row>
    <row r="421" spans="1:21" ht="16" x14ac:dyDescent="0.15">
      <c r="A421" s="2">
        <v>265</v>
      </c>
      <c r="B421" s="8" t="s">
        <v>546</v>
      </c>
      <c r="C421" s="28" t="s">
        <v>547</v>
      </c>
      <c r="D421" s="8" t="s">
        <v>12</v>
      </c>
      <c r="E421" s="2" t="s">
        <v>265</v>
      </c>
      <c r="F421" s="9" t="str">
        <f t="shared" si="41"/>
        <v>RAW-DRY-069</v>
      </c>
      <c r="G421" s="2" t="s">
        <v>355</v>
      </c>
      <c r="H421" t="str">
        <f>IFERROR(VLOOKUP($D421,القوائم!$A$2:$B$4,2,0),"")</f>
        <v>RAW</v>
      </c>
      <c r="I421" t="str">
        <f t="shared" si="42"/>
        <v>DRY</v>
      </c>
      <c r="J421">
        <f>IF($H421="","",IF($N421=0,$Q421,SUMPRODUCT(($O$157:$O$590=$H421)*($P$157:$P$590=$I421)*$Q$157:$Q$590)+COUNTIFS($H$157:$H421,$H421,$I$157:$I421,$I421,$N$157:$N421,1)))</f>
        <v>69</v>
      </c>
      <c r="M421">
        <f>IF($I421="","",COUNTIF($I$5:$I421,$I421))</f>
        <v>71</v>
      </c>
      <c r="N421">
        <f t="shared" si="43"/>
        <v>0</v>
      </c>
      <c r="O421" t="s">
        <v>22</v>
      </c>
      <c r="P421" t="s">
        <v>266</v>
      </c>
      <c r="Q421">
        <v>69</v>
      </c>
      <c r="R421" s="25">
        <v>270</v>
      </c>
      <c r="S421" s="25">
        <v>100</v>
      </c>
      <c r="T421" s="24">
        <f t="shared" si="44"/>
        <v>2.7</v>
      </c>
      <c r="U421" s="25"/>
    </row>
    <row r="422" spans="1:21" ht="16" x14ac:dyDescent="0.15">
      <c r="A422" s="2">
        <v>266</v>
      </c>
      <c r="B422" s="8" t="s">
        <v>548</v>
      </c>
      <c r="C422" s="28" t="s">
        <v>549</v>
      </c>
      <c r="D422" s="8" t="s">
        <v>12</v>
      </c>
      <c r="E422" s="2" t="s">
        <v>265</v>
      </c>
      <c r="F422" s="9" t="str">
        <f t="shared" si="41"/>
        <v>RAW-DRY-070</v>
      </c>
      <c r="G422" s="2" t="s">
        <v>355</v>
      </c>
      <c r="H422" t="str">
        <f>IFERROR(VLOOKUP($D422,القوائم!$A$2:$B$4,2,0),"")</f>
        <v>RAW</v>
      </c>
      <c r="I422" t="str">
        <f t="shared" si="42"/>
        <v>DRY</v>
      </c>
      <c r="J422">
        <f>IF($H422="","",IF($N422=0,$Q422,SUMPRODUCT(($O$157:$O$590=$H422)*($P$157:$P$590=$I422)*$Q$157:$Q$590)+COUNTIFS($H$157:$H422,$H422,$I$157:$I422,$I422,$N$157:$N422,1)))</f>
        <v>70</v>
      </c>
      <c r="M422">
        <f>IF($I422="","",COUNTIF($I$5:$I422,$I422))</f>
        <v>72</v>
      </c>
      <c r="N422">
        <f t="shared" si="43"/>
        <v>0</v>
      </c>
      <c r="O422" t="s">
        <v>22</v>
      </c>
      <c r="P422" t="s">
        <v>266</v>
      </c>
      <c r="Q422">
        <v>70</v>
      </c>
      <c r="R422" s="25">
        <v>270</v>
      </c>
      <c r="S422" s="25">
        <v>100</v>
      </c>
      <c r="T422" s="24">
        <f t="shared" si="44"/>
        <v>2.7</v>
      </c>
      <c r="U422" s="25"/>
    </row>
    <row r="423" spans="1:21" ht="16" x14ac:dyDescent="0.15">
      <c r="A423" s="2">
        <v>267</v>
      </c>
      <c r="B423" s="8" t="s">
        <v>550</v>
      </c>
      <c r="C423" s="28" t="s">
        <v>500</v>
      </c>
      <c r="D423" s="8" t="s">
        <v>12</v>
      </c>
      <c r="E423" s="2" t="s">
        <v>137</v>
      </c>
      <c r="F423" s="9" t="str">
        <f t="shared" si="41"/>
        <v>RAW-CHL-033</v>
      </c>
      <c r="G423" s="2" t="s">
        <v>15</v>
      </c>
      <c r="H423" t="str">
        <f>IFERROR(VLOOKUP($D423,القوائم!$A$2:$B$4,2,0),"")</f>
        <v>RAW</v>
      </c>
      <c r="I423" t="str">
        <f t="shared" si="42"/>
        <v>CHL</v>
      </c>
      <c r="J423">
        <f>IF($H423="","",IF($N423=0,$Q423,SUMPRODUCT(($O$157:$O$590=$H423)*($P$157:$P$590=$I423)*$Q$157:$Q$590)+COUNTIFS($H$157:$H423,$H423,$I$157:$I423,$I423,$N$157:$N423,1)))</f>
        <v>33</v>
      </c>
      <c r="M423">
        <f>IF($I423="","",COUNTIF($I$5:$I423,$I423))</f>
        <v>54</v>
      </c>
      <c r="N423">
        <f t="shared" si="43"/>
        <v>0</v>
      </c>
      <c r="O423" t="s">
        <v>22</v>
      </c>
      <c r="P423" t="s">
        <v>139</v>
      </c>
      <c r="Q423">
        <v>33</v>
      </c>
      <c r="R423" s="25">
        <v>700</v>
      </c>
      <c r="S423" s="25">
        <v>100</v>
      </c>
      <c r="T423" s="24">
        <f t="shared" si="44"/>
        <v>7</v>
      </c>
      <c r="U423" s="25"/>
    </row>
    <row r="424" spans="1:21" ht="17" x14ac:dyDescent="0.15">
      <c r="A424" s="2">
        <v>268</v>
      </c>
      <c r="B424" s="8" t="s">
        <v>551</v>
      </c>
      <c r="C424" s="28" t="s">
        <v>552</v>
      </c>
      <c r="D424" s="8" t="s">
        <v>12</v>
      </c>
      <c r="E424" s="2" t="s">
        <v>14</v>
      </c>
      <c r="F424" s="9" t="str">
        <f t="shared" si="41"/>
        <v>RAW-CNS-032</v>
      </c>
      <c r="G424" s="2" t="s">
        <v>13</v>
      </c>
      <c r="H424" t="str">
        <f>IFERROR(VLOOKUP($D424,القوائم!$A$2:$B$4,2,0),"")</f>
        <v>RAW</v>
      </c>
      <c r="I424" t="str">
        <f t="shared" si="42"/>
        <v>CNS</v>
      </c>
      <c r="J424">
        <f>IF($H424="","",IF($N424=0,$Q424,SUMPRODUCT(($O$157:$O$590=$H424)*($P$157:$P$590=$I424)*$Q$157:$Q$590)+COUNTIFS($H$157:$H424,$H424,$I$157:$I424,$I424,$N$157:$N424,1)))</f>
        <v>32</v>
      </c>
      <c r="M424">
        <f>IF($I424="","",COUNTIF($I$5:$I424,$I424))</f>
        <v>33</v>
      </c>
      <c r="N424">
        <f t="shared" si="43"/>
        <v>0</v>
      </c>
      <c r="O424" t="s">
        <v>22</v>
      </c>
      <c r="P424" t="s">
        <v>23</v>
      </c>
      <c r="Q424">
        <v>32</v>
      </c>
      <c r="R424" s="25"/>
      <c r="S424" s="25"/>
      <c r="T424" s="24" t="str">
        <f t="shared" si="44"/>
        <v/>
      </c>
      <c r="U424" s="25"/>
    </row>
    <row r="425" spans="1:21" ht="16" x14ac:dyDescent="0.15">
      <c r="A425" s="2">
        <v>269</v>
      </c>
      <c r="B425" s="8" t="s">
        <v>553</v>
      </c>
      <c r="C425" s="28" t="s">
        <v>554</v>
      </c>
      <c r="D425" s="8" t="s">
        <v>12</v>
      </c>
      <c r="E425" s="2" t="s">
        <v>218</v>
      </c>
      <c r="F425" s="9" t="str">
        <f t="shared" si="41"/>
        <v>RAW-FRZ-006</v>
      </c>
      <c r="G425" s="2" t="s">
        <v>15</v>
      </c>
      <c r="H425" t="str">
        <f>IFERROR(VLOOKUP($D425,القوائم!$A$2:$B$4,2,0),"")</f>
        <v>RAW</v>
      </c>
      <c r="I425" t="str">
        <f t="shared" si="42"/>
        <v>FRZ</v>
      </c>
      <c r="J425">
        <f>IF($H425="","",IF($N425=0,$Q425,SUMPRODUCT(($O$157:$O$590=$H425)*($P$157:$P$590=$I425)*$Q$157:$Q$590)+COUNTIFS($H$157:$H425,$H425,$I$157:$I425,$I425,$N$157:$N425,1)))</f>
        <v>6</v>
      </c>
      <c r="M425">
        <f>IF($I425="","",COUNTIF($I$5:$I425,$I425))</f>
        <v>6</v>
      </c>
      <c r="N425">
        <f t="shared" si="43"/>
        <v>0</v>
      </c>
      <c r="O425" t="s">
        <v>22</v>
      </c>
      <c r="P425" t="s">
        <v>219</v>
      </c>
      <c r="Q425">
        <v>6</v>
      </c>
      <c r="R425" s="25">
        <v>250</v>
      </c>
      <c r="S425" s="25">
        <v>100</v>
      </c>
      <c r="T425" s="24">
        <f t="shared" si="44"/>
        <v>2.5</v>
      </c>
      <c r="U425" s="25"/>
    </row>
    <row r="426" spans="1:21" ht="16" x14ac:dyDescent="0.15">
      <c r="A426" s="2">
        <v>270</v>
      </c>
      <c r="B426" s="8" t="s">
        <v>555</v>
      </c>
      <c r="C426" s="28" t="s">
        <v>554</v>
      </c>
      <c r="D426" s="8" t="s">
        <v>12</v>
      </c>
      <c r="E426" s="2" t="s">
        <v>218</v>
      </c>
      <c r="F426" s="9" t="str">
        <f t="shared" si="41"/>
        <v>RAW-FRZ-007</v>
      </c>
      <c r="G426" s="2" t="s">
        <v>15</v>
      </c>
      <c r="H426" t="str">
        <f>IFERROR(VLOOKUP($D426,القوائم!$A$2:$B$4,2,0),"")</f>
        <v>RAW</v>
      </c>
      <c r="I426" t="str">
        <f t="shared" si="42"/>
        <v>FRZ</v>
      </c>
      <c r="J426">
        <f>IF($H426="","",IF($N426=0,$Q426,SUMPRODUCT(($O$157:$O$590=$H426)*($P$157:$P$590=$I426)*$Q$157:$Q$590)+COUNTIFS($H$157:$H426,$H426,$I$157:$I426,$I426,$N$157:$N426,1)))</f>
        <v>7</v>
      </c>
      <c r="M426">
        <f>IF($I426="","",COUNTIF($I$5:$I426,$I426))</f>
        <v>7</v>
      </c>
      <c r="N426">
        <f t="shared" si="43"/>
        <v>0</v>
      </c>
      <c r="O426" t="s">
        <v>22</v>
      </c>
      <c r="P426" t="s">
        <v>219</v>
      </c>
      <c r="Q426">
        <v>7</v>
      </c>
      <c r="R426" s="25">
        <v>250</v>
      </c>
      <c r="S426" s="25">
        <v>100</v>
      </c>
      <c r="T426" s="24">
        <f t="shared" si="44"/>
        <v>2.5</v>
      </c>
      <c r="U426" s="25"/>
    </row>
    <row r="427" spans="1:21" ht="16" x14ac:dyDescent="0.15">
      <c r="A427" s="2">
        <v>271</v>
      </c>
      <c r="B427" s="8" t="s">
        <v>556</v>
      </c>
      <c r="C427" s="28" t="s">
        <v>540</v>
      </c>
      <c r="D427" s="8" t="s">
        <v>12</v>
      </c>
      <c r="E427" s="2" t="s">
        <v>265</v>
      </c>
      <c r="F427" s="9" t="str">
        <f t="shared" si="41"/>
        <v>RAW-DRY-071</v>
      </c>
      <c r="G427" s="2" t="s">
        <v>355</v>
      </c>
      <c r="H427" t="str">
        <f>IFERROR(VLOOKUP($D427,القوائم!$A$2:$B$4,2,0),"")</f>
        <v>RAW</v>
      </c>
      <c r="I427" t="str">
        <f t="shared" si="42"/>
        <v>DRY</v>
      </c>
      <c r="J427">
        <f>IF($H427="","",IF($N427=0,$Q427,SUMPRODUCT(($O$157:$O$590=$H427)*($P$157:$P$590=$I427)*$Q$157:$Q$590)+COUNTIFS($H$157:$H427,$H427,$I$157:$I427,$I427,$N$157:$N427,1)))</f>
        <v>71</v>
      </c>
      <c r="M427">
        <f>IF($I427="","",COUNTIF($I$5:$I427,$I427))</f>
        <v>73</v>
      </c>
      <c r="N427">
        <f t="shared" si="43"/>
        <v>0</v>
      </c>
      <c r="O427" t="s">
        <v>22</v>
      </c>
      <c r="P427" t="s">
        <v>266</v>
      </c>
      <c r="Q427">
        <v>71</v>
      </c>
      <c r="R427" s="25">
        <v>270</v>
      </c>
      <c r="S427" s="25">
        <v>100</v>
      </c>
      <c r="T427" s="24">
        <f t="shared" si="44"/>
        <v>2.7</v>
      </c>
      <c r="U427" s="25"/>
    </row>
    <row r="428" spans="1:21" ht="16" x14ac:dyDescent="0.15">
      <c r="A428" s="2">
        <v>272</v>
      </c>
      <c r="B428" s="8" t="s">
        <v>557</v>
      </c>
      <c r="C428" s="28" t="s">
        <v>558</v>
      </c>
      <c r="D428" s="8" t="s">
        <v>12</v>
      </c>
      <c r="E428" s="2" t="s">
        <v>265</v>
      </c>
      <c r="F428" s="9" t="str">
        <f t="shared" si="41"/>
        <v>RAW-DRY-072</v>
      </c>
      <c r="G428" s="2" t="s">
        <v>355</v>
      </c>
      <c r="H428" t="str">
        <f>IFERROR(VLOOKUP($D428,القوائم!$A$2:$B$4,2,0),"")</f>
        <v>RAW</v>
      </c>
      <c r="I428" t="str">
        <f t="shared" si="42"/>
        <v>DRY</v>
      </c>
      <c r="J428">
        <f>IF($H428="","",IF($N428=0,$Q428,SUMPRODUCT(($O$157:$O$590=$H428)*($P$157:$P$590=$I428)*$Q$157:$Q$590)+COUNTIFS($H$157:$H428,$H428,$I$157:$I428,$I428,$N$157:$N428,1)))</f>
        <v>72</v>
      </c>
      <c r="M428">
        <f>IF($I428="","",COUNTIF($I$5:$I428,$I428))</f>
        <v>74</v>
      </c>
      <c r="N428">
        <f t="shared" si="43"/>
        <v>0</v>
      </c>
      <c r="O428" t="s">
        <v>22</v>
      </c>
      <c r="P428" t="s">
        <v>266</v>
      </c>
      <c r="Q428">
        <v>72</v>
      </c>
      <c r="R428" s="25">
        <v>270</v>
      </c>
      <c r="S428" s="25">
        <v>100</v>
      </c>
      <c r="T428" s="24">
        <f t="shared" si="44"/>
        <v>2.7</v>
      </c>
      <c r="U428" s="25"/>
    </row>
    <row r="429" spans="1:21" ht="16" x14ac:dyDescent="0.15">
      <c r="A429" s="2">
        <v>273</v>
      </c>
      <c r="B429" s="8" t="s">
        <v>559</v>
      </c>
      <c r="C429" s="28" t="s">
        <v>560</v>
      </c>
      <c r="D429" s="8" t="s">
        <v>12</v>
      </c>
      <c r="E429" s="2" t="s">
        <v>265</v>
      </c>
      <c r="F429" s="9" t="str">
        <f t="shared" si="41"/>
        <v>RAW-DRY-073</v>
      </c>
      <c r="G429" s="2" t="s">
        <v>355</v>
      </c>
      <c r="H429" t="str">
        <f>IFERROR(VLOOKUP($D429,القوائم!$A$2:$B$4,2,0),"")</f>
        <v>RAW</v>
      </c>
      <c r="I429" t="str">
        <f t="shared" si="42"/>
        <v>DRY</v>
      </c>
      <c r="J429">
        <f>IF($H429="","",IF($N429=0,$Q429,SUMPRODUCT(($O$157:$O$590=$H429)*($P$157:$P$590=$I429)*$Q$157:$Q$590)+COUNTIFS($H$157:$H429,$H429,$I$157:$I429,$I429,$N$157:$N429,1)))</f>
        <v>73</v>
      </c>
      <c r="M429">
        <f>IF($I429="","",COUNTIF($I$5:$I429,$I429))</f>
        <v>75</v>
      </c>
      <c r="N429">
        <f t="shared" si="43"/>
        <v>0</v>
      </c>
      <c r="O429" t="s">
        <v>22</v>
      </c>
      <c r="P429" t="s">
        <v>266</v>
      </c>
      <c r="Q429">
        <v>73</v>
      </c>
      <c r="R429" s="25">
        <v>270</v>
      </c>
      <c r="S429" s="25">
        <v>100</v>
      </c>
      <c r="T429" s="24">
        <f t="shared" si="44"/>
        <v>2.7</v>
      </c>
      <c r="U429" s="25"/>
    </row>
    <row r="430" spans="1:21" ht="16" x14ac:dyDescent="0.15">
      <c r="A430" s="2">
        <v>274</v>
      </c>
      <c r="B430" s="8" t="s">
        <v>561</v>
      </c>
      <c r="C430" s="28" t="s">
        <v>547</v>
      </c>
      <c r="D430" s="8" t="s">
        <v>12</v>
      </c>
      <c r="E430" s="2" t="s">
        <v>265</v>
      </c>
      <c r="F430" s="9" t="str">
        <f t="shared" si="41"/>
        <v>RAW-DRY-074</v>
      </c>
      <c r="G430" s="2" t="s">
        <v>355</v>
      </c>
      <c r="H430" t="str">
        <f>IFERROR(VLOOKUP($D430,القوائم!$A$2:$B$4,2,0),"")</f>
        <v>RAW</v>
      </c>
      <c r="I430" t="str">
        <f t="shared" si="42"/>
        <v>DRY</v>
      </c>
      <c r="J430">
        <f>IF($H430="","",IF($N430=0,$Q430,SUMPRODUCT(($O$157:$O$590=$H430)*($P$157:$P$590=$I430)*$Q$157:$Q$590)+COUNTIFS($H$157:$H430,$H430,$I$157:$I430,$I430,$N$157:$N430,1)))</f>
        <v>74</v>
      </c>
      <c r="M430">
        <f>IF($I430="","",COUNTIF($I$5:$I430,$I430))</f>
        <v>76</v>
      </c>
      <c r="N430">
        <f t="shared" si="43"/>
        <v>0</v>
      </c>
      <c r="O430" t="s">
        <v>22</v>
      </c>
      <c r="P430" t="s">
        <v>266</v>
      </c>
      <c r="Q430">
        <v>74</v>
      </c>
      <c r="R430" s="25">
        <v>270</v>
      </c>
      <c r="S430" s="25">
        <v>100</v>
      </c>
      <c r="T430" s="24">
        <f t="shared" si="44"/>
        <v>2.7</v>
      </c>
      <c r="U430" s="25"/>
    </row>
    <row r="431" spans="1:21" ht="16" x14ac:dyDescent="0.15">
      <c r="A431" s="2">
        <v>275</v>
      </c>
      <c r="B431" s="8" t="s">
        <v>562</v>
      </c>
      <c r="C431" s="28" t="s">
        <v>563</v>
      </c>
      <c r="D431" s="8" t="s">
        <v>16</v>
      </c>
      <c r="E431" s="2" t="s">
        <v>26</v>
      </c>
      <c r="F431" s="9" t="str">
        <f t="shared" si="41"/>
        <v>FIN-RTS-107</v>
      </c>
      <c r="G431" s="2" t="s">
        <v>13</v>
      </c>
      <c r="H431" t="str">
        <f>IFERROR(VLOOKUP($D431,القوائم!$A$2:$B$4,2,0),"")</f>
        <v>FIN</v>
      </c>
      <c r="I431" t="str">
        <f t="shared" si="42"/>
        <v>RTS</v>
      </c>
      <c r="J431">
        <f>IF($H431="","",IF($N431=0,$Q431,SUMPRODUCT(($O$157:$O$590=$H431)*($P$157:$P$590=$I431)*$Q$157:$Q$590)+COUNTIFS($H$157:$H431,$H431,$I$157:$I431,$I431,$N$157:$N431,1)))</f>
        <v>107</v>
      </c>
      <c r="M431">
        <f>IF($I431="","",COUNTIF($I$5:$I431,$I431))</f>
        <v>107</v>
      </c>
      <c r="N431">
        <f t="shared" si="43"/>
        <v>0</v>
      </c>
      <c r="O431" t="s">
        <v>27</v>
      </c>
      <c r="P431" t="s">
        <v>28</v>
      </c>
      <c r="Q431">
        <v>107</v>
      </c>
      <c r="R431" s="25">
        <v>200</v>
      </c>
      <c r="S431" s="25">
        <v>100</v>
      </c>
      <c r="T431" s="24">
        <f t="shared" si="44"/>
        <v>2</v>
      </c>
      <c r="U431" s="25"/>
    </row>
    <row r="432" spans="1:21" ht="16" x14ac:dyDescent="0.15">
      <c r="A432" s="2">
        <v>276</v>
      </c>
      <c r="B432" s="8" t="s">
        <v>564</v>
      </c>
      <c r="C432" s="28" t="s">
        <v>565</v>
      </c>
      <c r="D432" s="8" t="s">
        <v>12</v>
      </c>
      <c r="E432" s="2" t="s">
        <v>265</v>
      </c>
      <c r="F432" s="9" t="str">
        <f t="shared" si="41"/>
        <v>RAW-DRY-075</v>
      </c>
      <c r="G432" s="2" t="s">
        <v>15</v>
      </c>
      <c r="H432" t="str">
        <f>IFERROR(VLOOKUP($D432,القوائم!$A$2:$B$4,2,0),"")</f>
        <v>RAW</v>
      </c>
      <c r="I432" t="str">
        <f t="shared" si="42"/>
        <v>DRY</v>
      </c>
      <c r="J432">
        <f>IF($H432="","",IF($N432=0,$Q432,SUMPRODUCT(($O$157:$O$590=$H432)*($P$157:$P$590=$I432)*$Q$157:$Q$590)+COUNTIFS($H$157:$H432,$H432,$I$157:$I432,$I432,$N$157:$N432,1)))</f>
        <v>75</v>
      </c>
      <c r="M432">
        <f>IF($I432="","",COUNTIF($I$5:$I432,$I432))</f>
        <v>77</v>
      </c>
      <c r="N432">
        <f t="shared" si="43"/>
        <v>0</v>
      </c>
      <c r="O432" t="s">
        <v>22</v>
      </c>
      <c r="P432" t="s">
        <v>266</v>
      </c>
      <c r="Q432">
        <v>75</v>
      </c>
      <c r="R432" s="25">
        <v>380</v>
      </c>
      <c r="S432" s="25">
        <v>100</v>
      </c>
      <c r="T432" s="24">
        <f t="shared" si="44"/>
        <v>3.8</v>
      </c>
      <c r="U432" s="25"/>
    </row>
    <row r="433" spans="1:21" ht="16" x14ac:dyDescent="0.15">
      <c r="A433" s="2">
        <v>277</v>
      </c>
      <c r="B433" s="8" t="s">
        <v>566</v>
      </c>
      <c r="C433" s="28" t="s">
        <v>567</v>
      </c>
      <c r="D433" s="8" t="s">
        <v>12</v>
      </c>
      <c r="E433" s="2" t="s">
        <v>265</v>
      </c>
      <c r="F433" s="9" t="str">
        <f t="shared" si="41"/>
        <v>RAW-DRY-076</v>
      </c>
      <c r="G433" s="2" t="s">
        <v>15</v>
      </c>
      <c r="H433" t="str">
        <f>IFERROR(VLOOKUP($D433,القوائم!$A$2:$B$4,2,0),"")</f>
        <v>RAW</v>
      </c>
      <c r="I433" t="str">
        <f t="shared" si="42"/>
        <v>DRY</v>
      </c>
      <c r="J433">
        <f>IF($H433="","",IF($N433=0,$Q433,SUMPRODUCT(($O$157:$O$590=$H433)*($P$157:$P$590=$I433)*$Q$157:$Q$590)+COUNTIFS($H$157:$H433,$H433,$I$157:$I433,$I433,$N$157:$N433,1)))</f>
        <v>76</v>
      </c>
      <c r="M433">
        <f>IF($I433="","",COUNTIF($I$5:$I433,$I433))</f>
        <v>78</v>
      </c>
      <c r="N433">
        <f t="shared" si="43"/>
        <v>0</v>
      </c>
      <c r="O433" t="s">
        <v>22</v>
      </c>
      <c r="P433" t="s">
        <v>266</v>
      </c>
      <c r="Q433">
        <v>76</v>
      </c>
      <c r="R433" s="25">
        <v>389</v>
      </c>
      <c r="S433" s="25">
        <v>100</v>
      </c>
      <c r="T433" s="24">
        <f t="shared" si="44"/>
        <v>3.89</v>
      </c>
      <c r="U433" s="25"/>
    </row>
    <row r="434" spans="1:21" ht="16" x14ac:dyDescent="0.15">
      <c r="A434" s="2">
        <v>278</v>
      </c>
      <c r="B434" s="8" t="s">
        <v>568</v>
      </c>
      <c r="C434" s="28" t="s">
        <v>569</v>
      </c>
      <c r="D434" s="8" t="s">
        <v>12</v>
      </c>
      <c r="E434" s="2" t="s">
        <v>137</v>
      </c>
      <c r="F434" s="9" t="str">
        <f t="shared" si="41"/>
        <v>RAW-CHL-034</v>
      </c>
      <c r="G434" s="2" t="s">
        <v>15</v>
      </c>
      <c r="H434" t="str">
        <f>IFERROR(VLOOKUP($D434,القوائم!$A$2:$B$4,2,0),"")</f>
        <v>RAW</v>
      </c>
      <c r="I434" t="str">
        <f t="shared" si="42"/>
        <v>CHL</v>
      </c>
      <c r="J434">
        <f>IF($H434="","",IF($N434=0,$Q434,SUMPRODUCT(($O$157:$O$590=$H434)*($P$157:$P$590=$I434)*$Q$157:$Q$590)+COUNTIFS($H$157:$H434,$H434,$I$157:$I434,$I434,$N$157:$N434,1)))</f>
        <v>34</v>
      </c>
      <c r="M434">
        <f>IF($I434="","",COUNTIF($I$5:$I434,$I434))</f>
        <v>55</v>
      </c>
      <c r="N434">
        <f t="shared" si="43"/>
        <v>0</v>
      </c>
      <c r="O434" t="s">
        <v>22</v>
      </c>
      <c r="P434" t="s">
        <v>139</v>
      </c>
      <c r="Q434">
        <v>34</v>
      </c>
      <c r="R434" s="25">
        <v>400</v>
      </c>
      <c r="S434" s="25">
        <v>100</v>
      </c>
      <c r="T434" s="24">
        <f t="shared" si="44"/>
        <v>4</v>
      </c>
      <c r="U434" s="25"/>
    </row>
    <row r="435" spans="1:21" ht="16" x14ac:dyDescent="0.15">
      <c r="A435" s="2">
        <v>279</v>
      </c>
      <c r="B435" s="8" t="s">
        <v>570</v>
      </c>
      <c r="C435" s="28" t="s">
        <v>569</v>
      </c>
      <c r="D435" s="8" t="s">
        <v>12</v>
      </c>
      <c r="E435" s="2" t="s">
        <v>137</v>
      </c>
      <c r="F435" s="9" t="str">
        <f t="shared" si="41"/>
        <v>RAW-CHL-035</v>
      </c>
      <c r="G435" s="2" t="s">
        <v>15</v>
      </c>
      <c r="H435" t="str">
        <f>IFERROR(VLOOKUP($D435,القوائم!$A$2:$B$4,2,0),"")</f>
        <v>RAW</v>
      </c>
      <c r="I435" t="str">
        <f t="shared" si="42"/>
        <v>CHL</v>
      </c>
      <c r="J435">
        <f>IF($H435="","",IF($N435=0,$Q435,SUMPRODUCT(($O$157:$O$590=$H435)*($P$157:$P$590=$I435)*$Q$157:$Q$590)+COUNTIFS($H$157:$H435,$H435,$I$157:$I435,$I435,$N$157:$N435,1)))</f>
        <v>35</v>
      </c>
      <c r="M435">
        <f>IF($I435="","",COUNTIF($I$5:$I435,$I435))</f>
        <v>56</v>
      </c>
      <c r="N435">
        <f t="shared" si="43"/>
        <v>0</v>
      </c>
      <c r="O435" t="s">
        <v>22</v>
      </c>
      <c r="P435" t="s">
        <v>139</v>
      </c>
      <c r="Q435">
        <v>35</v>
      </c>
      <c r="R435" s="25">
        <v>400</v>
      </c>
      <c r="S435" s="25">
        <v>100</v>
      </c>
      <c r="T435" s="24">
        <f t="shared" si="44"/>
        <v>4</v>
      </c>
      <c r="U435" s="25"/>
    </row>
    <row r="436" spans="1:21" ht="17" x14ac:dyDescent="0.15">
      <c r="A436" s="2">
        <v>280</v>
      </c>
      <c r="B436" s="8" t="s">
        <v>571</v>
      </c>
      <c r="C436" s="28" t="s">
        <v>572</v>
      </c>
      <c r="D436" s="8" t="s">
        <v>12</v>
      </c>
      <c r="E436" s="2" t="s">
        <v>14</v>
      </c>
      <c r="F436" s="9" t="str">
        <f t="shared" si="41"/>
        <v>RAW-CNS-033</v>
      </c>
      <c r="G436" s="2" t="s">
        <v>13</v>
      </c>
      <c r="H436" t="str">
        <f>IFERROR(VLOOKUP($D436,القوائم!$A$2:$B$4,2,0),"")</f>
        <v>RAW</v>
      </c>
      <c r="I436" t="str">
        <f t="shared" si="42"/>
        <v>CNS</v>
      </c>
      <c r="J436">
        <f>IF($H436="","",IF($N436=0,$Q436,SUMPRODUCT(($O$157:$O$590=$H436)*($P$157:$P$590=$I436)*$Q$157:$Q$590)+COUNTIFS($H$157:$H436,$H436,$I$157:$I436,$I436,$N$157:$N436,1)))</f>
        <v>33</v>
      </c>
      <c r="M436">
        <f>IF($I436="","",COUNTIF($I$5:$I436,$I436))</f>
        <v>34</v>
      </c>
      <c r="N436">
        <f t="shared" si="43"/>
        <v>0</v>
      </c>
      <c r="O436" t="s">
        <v>22</v>
      </c>
      <c r="P436" t="s">
        <v>23</v>
      </c>
      <c r="Q436">
        <v>33</v>
      </c>
      <c r="R436" s="25"/>
      <c r="S436" s="25"/>
      <c r="T436" s="24" t="str">
        <f t="shared" si="44"/>
        <v/>
      </c>
      <c r="U436" s="25"/>
    </row>
    <row r="437" spans="1:21" ht="17" x14ac:dyDescent="0.15">
      <c r="A437" s="2">
        <v>281</v>
      </c>
      <c r="B437" s="8" t="s">
        <v>573</v>
      </c>
      <c r="C437" s="28" t="s">
        <v>574</v>
      </c>
      <c r="D437" s="8" t="s">
        <v>12</v>
      </c>
      <c r="E437" s="2" t="s">
        <v>14</v>
      </c>
      <c r="F437" s="9" t="str">
        <f t="shared" si="41"/>
        <v>RAW-CNS-034</v>
      </c>
      <c r="G437" s="2" t="s">
        <v>13</v>
      </c>
      <c r="H437" t="str">
        <f>IFERROR(VLOOKUP($D437,القوائم!$A$2:$B$4,2,0),"")</f>
        <v>RAW</v>
      </c>
      <c r="I437" t="str">
        <f t="shared" si="42"/>
        <v>CNS</v>
      </c>
      <c r="J437">
        <f>IF($H437="","",IF($N437=0,$Q437,SUMPRODUCT(($O$157:$O$590=$H437)*($P$157:$P$590=$I437)*$Q$157:$Q$590)+COUNTIFS($H$157:$H437,$H437,$I$157:$I437,$I437,$N$157:$N437,1)))</f>
        <v>34</v>
      </c>
      <c r="M437">
        <f>IF($I437="","",COUNTIF($I$5:$I437,$I437))</f>
        <v>35</v>
      </c>
      <c r="N437">
        <f t="shared" si="43"/>
        <v>0</v>
      </c>
      <c r="O437" t="s">
        <v>22</v>
      </c>
      <c r="P437" t="s">
        <v>23</v>
      </c>
      <c r="Q437">
        <v>34</v>
      </c>
      <c r="R437" s="25"/>
      <c r="S437" s="25"/>
      <c r="T437" s="24" t="str">
        <f t="shared" si="44"/>
        <v/>
      </c>
      <c r="U437" s="25"/>
    </row>
    <row r="438" spans="1:21" ht="17" x14ac:dyDescent="0.15">
      <c r="A438" s="2">
        <v>282</v>
      </c>
      <c r="B438" s="8" t="s">
        <v>575</v>
      </c>
      <c r="C438" s="28" t="s">
        <v>576</v>
      </c>
      <c r="D438" s="8" t="s">
        <v>12</v>
      </c>
      <c r="E438" s="2" t="s">
        <v>14</v>
      </c>
      <c r="F438" s="9" t="str">
        <f t="shared" si="41"/>
        <v>RAW-CNS-035</v>
      </c>
      <c r="G438" s="2" t="s">
        <v>13</v>
      </c>
      <c r="H438" t="str">
        <f>IFERROR(VLOOKUP($D438,القوائم!$A$2:$B$4,2,0),"")</f>
        <v>RAW</v>
      </c>
      <c r="I438" t="str">
        <f t="shared" si="42"/>
        <v>CNS</v>
      </c>
      <c r="J438">
        <f>IF($H438="","",IF($N438=0,$Q438,SUMPRODUCT(($O$157:$O$590=$H438)*($P$157:$P$590=$I438)*$Q$157:$Q$590)+COUNTIFS($H$157:$H438,$H438,$I$157:$I438,$I438,$N$157:$N438,1)))</f>
        <v>35</v>
      </c>
      <c r="M438">
        <f>IF($I438="","",COUNTIF($I$5:$I438,$I438))</f>
        <v>36</v>
      </c>
      <c r="N438">
        <f t="shared" si="43"/>
        <v>0</v>
      </c>
      <c r="O438" t="s">
        <v>22</v>
      </c>
      <c r="P438" t="s">
        <v>23</v>
      </c>
      <c r="Q438">
        <v>35</v>
      </c>
      <c r="R438" s="25"/>
      <c r="S438" s="25"/>
      <c r="T438" s="24" t="str">
        <f t="shared" si="44"/>
        <v/>
      </c>
      <c r="U438" s="25"/>
    </row>
    <row r="439" spans="1:21" ht="17" x14ac:dyDescent="0.15">
      <c r="A439" s="2">
        <v>283</v>
      </c>
      <c r="B439" s="8" t="s">
        <v>577</v>
      </c>
      <c r="C439" s="28" t="s">
        <v>578</v>
      </c>
      <c r="D439" s="8" t="s">
        <v>12</v>
      </c>
      <c r="E439" s="2" t="s">
        <v>14</v>
      </c>
      <c r="F439" s="9" t="str">
        <f t="shared" si="41"/>
        <v>RAW-CNS-036</v>
      </c>
      <c r="G439" s="2" t="s">
        <v>13</v>
      </c>
      <c r="H439" t="str">
        <f>IFERROR(VLOOKUP($D439,القوائم!$A$2:$B$4,2,0),"")</f>
        <v>RAW</v>
      </c>
      <c r="I439" t="str">
        <f t="shared" si="42"/>
        <v>CNS</v>
      </c>
      <c r="J439">
        <f>IF($H439="","",IF($N439=0,$Q439,SUMPRODUCT(($O$157:$O$590=$H439)*($P$157:$P$590=$I439)*$Q$157:$Q$590)+COUNTIFS($H$157:$H439,$H439,$I$157:$I439,$I439,$N$157:$N439,1)))</f>
        <v>36</v>
      </c>
      <c r="M439">
        <f>IF($I439="","",COUNTIF($I$5:$I439,$I439))</f>
        <v>37</v>
      </c>
      <c r="N439">
        <f t="shared" si="43"/>
        <v>0</v>
      </c>
      <c r="O439" t="s">
        <v>22</v>
      </c>
      <c r="P439" t="s">
        <v>23</v>
      </c>
      <c r="Q439">
        <v>36</v>
      </c>
      <c r="R439" s="25"/>
      <c r="S439" s="25"/>
      <c r="T439" s="24" t="str">
        <f t="shared" si="44"/>
        <v/>
      </c>
      <c r="U439" s="25"/>
    </row>
    <row r="440" spans="1:21" ht="16" x14ac:dyDescent="0.15">
      <c r="A440" s="2">
        <v>284</v>
      </c>
      <c r="B440" s="8" t="s">
        <v>579</v>
      </c>
      <c r="C440" s="28" t="s">
        <v>580</v>
      </c>
      <c r="D440" s="8" t="s">
        <v>136</v>
      </c>
      <c r="E440" s="2" t="s">
        <v>218</v>
      </c>
      <c r="F440" s="9" t="str">
        <f t="shared" si="41"/>
        <v>TRN-FRZ-001</v>
      </c>
      <c r="G440" s="2" t="s">
        <v>15</v>
      </c>
      <c r="H440" t="str">
        <f>IFERROR(VLOOKUP($D440,القوائم!$A$2:$B$4,2,0),"")</f>
        <v>TRN</v>
      </c>
      <c r="I440" t="str">
        <f t="shared" si="42"/>
        <v>FRZ</v>
      </c>
      <c r="J440">
        <f>IF($H440="","",IF($N440=0,$Q440,SUMPRODUCT(($O$157:$O$590=$H440)*($P$157:$P$590=$I440)*$Q$157:$Q$590)+COUNTIFS($H$157:$H440,$H440,$I$157:$I440,$I440,$N$157:$N440,1)))</f>
        <v>1</v>
      </c>
      <c r="M440">
        <f>IF($I440="","",COUNTIF($I$5:$I440,$I440))</f>
        <v>8</v>
      </c>
      <c r="N440">
        <f t="shared" si="43"/>
        <v>0</v>
      </c>
      <c r="O440" t="s">
        <v>138</v>
      </c>
      <c r="P440" t="s">
        <v>219</v>
      </c>
      <c r="Q440">
        <v>1</v>
      </c>
      <c r="R440" s="25">
        <v>165</v>
      </c>
      <c r="S440" s="25">
        <v>100</v>
      </c>
      <c r="T440" s="24">
        <f t="shared" si="44"/>
        <v>1.65</v>
      </c>
      <c r="U440" s="25"/>
    </row>
    <row r="441" spans="1:21" ht="16" x14ac:dyDescent="0.15">
      <c r="A441" s="2">
        <v>285</v>
      </c>
      <c r="B441" s="8" t="s">
        <v>581</v>
      </c>
      <c r="C441" s="28" t="s">
        <v>582</v>
      </c>
      <c r="D441" s="8" t="s">
        <v>12</v>
      </c>
      <c r="E441" s="2" t="s">
        <v>218</v>
      </c>
      <c r="F441" s="9" t="str">
        <f t="shared" si="41"/>
        <v>RAW-FRZ-008</v>
      </c>
      <c r="G441" s="2" t="s">
        <v>15</v>
      </c>
      <c r="H441" t="str">
        <f>IFERROR(VLOOKUP($D441,القوائم!$A$2:$B$4,2,0),"")</f>
        <v>RAW</v>
      </c>
      <c r="I441" t="str">
        <f t="shared" si="42"/>
        <v>FRZ</v>
      </c>
      <c r="J441">
        <f>IF($H441="","",IF($N441=0,$Q441,SUMPRODUCT(($O$157:$O$590=$H441)*($P$157:$P$590=$I441)*$Q$157:$Q$590)+COUNTIFS($H$157:$H441,$H441,$I$157:$I441,$I441,$N$157:$N441,1)))</f>
        <v>8</v>
      </c>
      <c r="M441">
        <f>IF($I441="","",COUNTIF($I$5:$I441,$I441))</f>
        <v>9</v>
      </c>
      <c r="N441">
        <f t="shared" si="43"/>
        <v>0</v>
      </c>
      <c r="O441" t="s">
        <v>22</v>
      </c>
      <c r="P441" t="s">
        <v>219</v>
      </c>
      <c r="Q441">
        <v>8</v>
      </c>
      <c r="R441" s="25">
        <v>120</v>
      </c>
      <c r="S441" s="25">
        <v>100</v>
      </c>
      <c r="T441" s="24">
        <f t="shared" si="44"/>
        <v>1.2</v>
      </c>
      <c r="U441" s="25"/>
    </row>
    <row r="442" spans="1:21" ht="16" x14ac:dyDescent="0.15">
      <c r="A442" s="2">
        <v>286</v>
      </c>
      <c r="B442" s="8" t="s">
        <v>583</v>
      </c>
      <c r="C442" s="28" t="s">
        <v>584</v>
      </c>
      <c r="D442" s="8" t="s">
        <v>12</v>
      </c>
      <c r="E442" s="2" t="s">
        <v>137</v>
      </c>
      <c r="F442" s="9" t="str">
        <f t="shared" si="41"/>
        <v>RAW-CHL-036</v>
      </c>
      <c r="G442" s="2" t="s">
        <v>15</v>
      </c>
      <c r="H442" t="str">
        <f>IFERROR(VLOOKUP($D442,القوائم!$A$2:$B$4,2,0),"")</f>
        <v>RAW</v>
      </c>
      <c r="I442" t="str">
        <f t="shared" si="42"/>
        <v>CHL</v>
      </c>
      <c r="J442">
        <f>IF($H442="","",IF($N442=0,$Q442,SUMPRODUCT(($O$157:$O$590=$H442)*($P$157:$P$590=$I442)*$Q$157:$Q$590)+COUNTIFS($H$157:$H442,$H442,$I$157:$I442,$I442,$N$157:$N442,1)))</f>
        <v>36</v>
      </c>
      <c r="M442">
        <f>IF($I442="","",COUNTIF($I$5:$I442,$I442))</f>
        <v>57</v>
      </c>
      <c r="N442">
        <f t="shared" si="43"/>
        <v>0</v>
      </c>
      <c r="O442" t="s">
        <v>22</v>
      </c>
      <c r="P442" t="s">
        <v>139</v>
      </c>
      <c r="Q442">
        <v>36</v>
      </c>
      <c r="R442" s="25">
        <v>322</v>
      </c>
      <c r="S442" s="25">
        <v>100</v>
      </c>
      <c r="T442" s="24">
        <f t="shared" si="44"/>
        <v>3.22</v>
      </c>
      <c r="U442" s="25"/>
    </row>
    <row r="443" spans="1:21" ht="16" x14ac:dyDescent="0.15">
      <c r="A443" s="2">
        <v>287</v>
      </c>
      <c r="B443" s="8" t="s">
        <v>585</v>
      </c>
      <c r="C443" s="28" t="s">
        <v>586</v>
      </c>
      <c r="D443" s="8" t="s">
        <v>12</v>
      </c>
      <c r="E443" s="2" t="s">
        <v>265</v>
      </c>
      <c r="F443" s="9" t="str">
        <f t="shared" si="41"/>
        <v>RAW-DRY-077</v>
      </c>
      <c r="G443" s="2" t="s">
        <v>15</v>
      </c>
      <c r="H443" t="str">
        <f>IFERROR(VLOOKUP($D443,القوائم!$A$2:$B$4,2,0),"")</f>
        <v>RAW</v>
      </c>
      <c r="I443" t="str">
        <f t="shared" si="42"/>
        <v>DRY</v>
      </c>
      <c r="J443">
        <f>IF($H443="","",IF($N443=0,$Q443,SUMPRODUCT(($O$157:$O$590=$H443)*($P$157:$P$590=$I443)*$Q$157:$Q$590)+COUNTIFS($H$157:$H443,$H443,$I$157:$I443,$I443,$N$157:$N443,1)))</f>
        <v>77</v>
      </c>
      <c r="M443">
        <f>IF($I443="","",COUNTIF($I$5:$I443,$I443))</f>
        <v>79</v>
      </c>
      <c r="N443">
        <f t="shared" si="43"/>
        <v>0</v>
      </c>
      <c r="O443" t="s">
        <v>22</v>
      </c>
      <c r="P443" t="s">
        <v>266</v>
      </c>
      <c r="Q443">
        <v>77</v>
      </c>
      <c r="R443" s="25">
        <v>170</v>
      </c>
      <c r="S443" s="25">
        <v>100</v>
      </c>
      <c r="T443" s="24">
        <f t="shared" si="44"/>
        <v>1.7</v>
      </c>
      <c r="U443" s="25"/>
    </row>
    <row r="444" spans="1:21" ht="16" x14ac:dyDescent="0.15">
      <c r="A444" s="2">
        <v>288</v>
      </c>
      <c r="B444" s="8" t="s">
        <v>587</v>
      </c>
      <c r="C444" s="28" t="s">
        <v>588</v>
      </c>
      <c r="D444" s="8" t="s">
        <v>12</v>
      </c>
      <c r="E444" s="2" t="s">
        <v>265</v>
      </c>
      <c r="F444" s="9" t="str">
        <f t="shared" si="41"/>
        <v>RAW-DRY-078</v>
      </c>
      <c r="G444" s="2" t="s">
        <v>15</v>
      </c>
      <c r="H444" t="str">
        <f>IFERROR(VLOOKUP($D444,القوائم!$A$2:$B$4,2,0),"")</f>
        <v>RAW</v>
      </c>
      <c r="I444" t="str">
        <f t="shared" si="42"/>
        <v>DRY</v>
      </c>
      <c r="J444">
        <f>IF($H444="","",IF($N444=0,$Q444,SUMPRODUCT(($O$157:$O$590=$H444)*($P$157:$P$590=$I444)*$Q$157:$Q$590)+COUNTIFS($H$157:$H444,$H444,$I$157:$I444,$I444,$N$157:$N444,1)))</f>
        <v>78</v>
      </c>
      <c r="M444">
        <f>IF($I444="","",COUNTIF($I$5:$I444,$I444))</f>
        <v>80</v>
      </c>
      <c r="N444">
        <f t="shared" si="43"/>
        <v>0</v>
      </c>
      <c r="O444" t="s">
        <v>22</v>
      </c>
      <c r="P444" t="s">
        <v>266</v>
      </c>
      <c r="Q444">
        <v>78</v>
      </c>
      <c r="R444" s="25">
        <v>90</v>
      </c>
      <c r="S444" s="25">
        <v>100</v>
      </c>
      <c r="T444" s="24">
        <f t="shared" si="44"/>
        <v>0.9</v>
      </c>
      <c r="U444" s="25"/>
    </row>
    <row r="445" spans="1:21" ht="16" x14ac:dyDescent="0.15">
      <c r="A445" s="2">
        <v>289</v>
      </c>
      <c r="B445" s="8" t="s">
        <v>589</v>
      </c>
      <c r="C445" s="28" t="s">
        <v>590</v>
      </c>
      <c r="D445" s="8" t="s">
        <v>12</v>
      </c>
      <c r="E445" s="2" t="s">
        <v>265</v>
      </c>
      <c r="F445" s="9" t="str">
        <f t="shared" si="41"/>
        <v>RAW-DRY-079</v>
      </c>
      <c r="G445" s="2" t="s">
        <v>15</v>
      </c>
      <c r="H445" t="str">
        <f>IFERROR(VLOOKUP($D445,القوائم!$A$2:$B$4,2,0),"")</f>
        <v>RAW</v>
      </c>
      <c r="I445" t="str">
        <f t="shared" si="42"/>
        <v>DRY</v>
      </c>
      <c r="J445">
        <f>IF($H445="","",IF($N445=0,$Q445,SUMPRODUCT(($O$157:$O$590=$H445)*($P$157:$P$590=$I445)*$Q$157:$Q$590)+COUNTIFS($H$157:$H445,$H445,$I$157:$I445,$I445,$N$157:$N445,1)))</f>
        <v>79</v>
      </c>
      <c r="M445">
        <f>IF($I445="","",COUNTIF($I$5:$I445,$I445))</f>
        <v>81</v>
      </c>
      <c r="N445">
        <f t="shared" si="43"/>
        <v>0</v>
      </c>
      <c r="O445" t="s">
        <v>22</v>
      </c>
      <c r="P445" t="s">
        <v>266</v>
      </c>
      <c r="Q445">
        <v>79</v>
      </c>
      <c r="R445" s="25">
        <v>170</v>
      </c>
      <c r="S445" s="25">
        <v>100</v>
      </c>
      <c r="T445" s="24">
        <f t="shared" si="44"/>
        <v>1.7</v>
      </c>
      <c r="U445" s="25"/>
    </row>
    <row r="446" spans="1:21" ht="16" x14ac:dyDescent="0.15">
      <c r="A446" s="2">
        <v>290</v>
      </c>
      <c r="B446" s="8" t="s">
        <v>591</v>
      </c>
      <c r="C446" s="28" t="s">
        <v>592</v>
      </c>
      <c r="D446" s="8" t="s">
        <v>12</v>
      </c>
      <c r="E446" s="2" t="s">
        <v>265</v>
      </c>
      <c r="F446" s="9" t="str">
        <f t="shared" si="41"/>
        <v>RAW-DRY-080</v>
      </c>
      <c r="G446" s="2" t="s">
        <v>15</v>
      </c>
      <c r="H446" t="str">
        <f>IFERROR(VLOOKUP($D446,القوائم!$A$2:$B$4,2,0),"")</f>
        <v>RAW</v>
      </c>
      <c r="I446" t="str">
        <f t="shared" si="42"/>
        <v>DRY</v>
      </c>
      <c r="J446">
        <f>IF($H446="","",IF($N446=0,$Q446,SUMPRODUCT(($O$157:$O$590=$H446)*($P$157:$P$590=$I446)*$Q$157:$Q$590)+COUNTIFS($H$157:$H446,$H446,$I$157:$I446,$I446,$N$157:$N446,1)))</f>
        <v>80</v>
      </c>
      <c r="M446">
        <f>IF($I446="","",COUNTIF($I$5:$I446,$I446))</f>
        <v>82</v>
      </c>
      <c r="N446">
        <f t="shared" si="43"/>
        <v>0</v>
      </c>
      <c r="O446" t="s">
        <v>22</v>
      </c>
      <c r="P446" t="s">
        <v>266</v>
      </c>
      <c r="Q446">
        <v>80</v>
      </c>
      <c r="R446" s="25">
        <v>78</v>
      </c>
      <c r="S446" s="25">
        <v>100</v>
      </c>
      <c r="T446" s="24">
        <f t="shared" si="44"/>
        <v>0.78</v>
      </c>
      <c r="U446" s="25"/>
    </row>
    <row r="447" spans="1:21" ht="16" x14ac:dyDescent="0.15">
      <c r="A447" s="2">
        <v>291</v>
      </c>
      <c r="B447" s="8" t="s">
        <v>593</v>
      </c>
      <c r="C447" s="28" t="s">
        <v>594</v>
      </c>
      <c r="D447" s="8" t="s">
        <v>12</v>
      </c>
      <c r="E447" s="2" t="s">
        <v>265</v>
      </c>
      <c r="F447" s="9" t="str">
        <f t="shared" si="41"/>
        <v>RAW-DRY-081</v>
      </c>
      <c r="G447" s="2" t="s">
        <v>15</v>
      </c>
      <c r="H447" t="str">
        <f>IFERROR(VLOOKUP($D447,القوائم!$A$2:$B$4,2,0),"")</f>
        <v>RAW</v>
      </c>
      <c r="I447" t="str">
        <f t="shared" si="42"/>
        <v>DRY</v>
      </c>
      <c r="J447">
        <f>IF($H447="","",IF($N447=0,$Q447,SUMPRODUCT(($O$157:$O$590=$H447)*($P$157:$P$590=$I447)*$Q$157:$Q$590)+COUNTIFS($H$157:$H447,$H447,$I$157:$I447,$I447,$N$157:$N447,1)))</f>
        <v>81</v>
      </c>
      <c r="M447">
        <f>IF($I447="","",COUNTIF($I$5:$I447,$I447))</f>
        <v>83</v>
      </c>
      <c r="N447">
        <f t="shared" si="43"/>
        <v>0</v>
      </c>
      <c r="O447" t="s">
        <v>22</v>
      </c>
      <c r="P447" t="s">
        <v>266</v>
      </c>
      <c r="Q447">
        <v>81</v>
      </c>
      <c r="R447" s="25">
        <v>673</v>
      </c>
      <c r="S447" s="25">
        <v>100</v>
      </c>
      <c r="T447" s="24">
        <f t="shared" si="44"/>
        <v>6.73</v>
      </c>
      <c r="U447" s="25"/>
    </row>
    <row r="448" spans="1:21" ht="16" x14ac:dyDescent="0.15">
      <c r="A448" s="2">
        <v>292</v>
      </c>
      <c r="B448" s="8" t="s">
        <v>595</v>
      </c>
      <c r="C448" s="28" t="s">
        <v>596</v>
      </c>
      <c r="D448" s="8" t="s">
        <v>136</v>
      </c>
      <c r="E448" s="2" t="s">
        <v>137</v>
      </c>
      <c r="F448" s="9" t="str">
        <f t="shared" si="41"/>
        <v>TRN-CHL-022</v>
      </c>
      <c r="G448" s="2" t="s">
        <v>15</v>
      </c>
      <c r="H448" t="str">
        <f>IFERROR(VLOOKUP($D448,القوائم!$A$2:$B$4,2,0),"")</f>
        <v>TRN</v>
      </c>
      <c r="I448" t="str">
        <f t="shared" si="42"/>
        <v>CHL</v>
      </c>
      <c r="J448">
        <f>IF($H448="","",IF($N448=0,$Q448,SUMPRODUCT(($O$157:$O$590=$H448)*($P$157:$P$590=$I448)*$Q$157:$Q$590)+COUNTIFS($H$157:$H448,$H448,$I$157:$I448,$I448,$N$157:$N448,1)))</f>
        <v>22</v>
      </c>
      <c r="M448">
        <f>IF($I448="","",COUNTIF($I$5:$I448,$I448))</f>
        <v>58</v>
      </c>
      <c r="N448">
        <f t="shared" si="43"/>
        <v>0</v>
      </c>
      <c r="O448" t="s">
        <v>138</v>
      </c>
      <c r="P448" t="s">
        <v>139</v>
      </c>
      <c r="Q448">
        <v>22</v>
      </c>
      <c r="R448" s="25">
        <v>150</v>
      </c>
      <c r="S448" s="25">
        <v>100</v>
      </c>
      <c r="T448" s="24">
        <f t="shared" si="44"/>
        <v>1.5</v>
      </c>
      <c r="U448" s="25"/>
    </row>
    <row r="449" spans="1:21" ht="16" x14ac:dyDescent="0.15">
      <c r="A449" s="2">
        <v>293</v>
      </c>
      <c r="B449" s="8" t="s">
        <v>597</v>
      </c>
      <c r="C449" s="28" t="s">
        <v>598</v>
      </c>
      <c r="D449" s="8" t="s">
        <v>136</v>
      </c>
      <c r="E449" s="2" t="s">
        <v>137</v>
      </c>
      <c r="F449" s="9" t="str">
        <f t="shared" si="41"/>
        <v>TRN-CHL-023</v>
      </c>
      <c r="G449" s="2" t="s">
        <v>15</v>
      </c>
      <c r="H449" t="str">
        <f>IFERROR(VLOOKUP($D449,القوائم!$A$2:$B$4,2,0),"")</f>
        <v>TRN</v>
      </c>
      <c r="I449" t="str">
        <f t="shared" si="42"/>
        <v>CHL</v>
      </c>
      <c r="J449">
        <f>IF($H449="","",IF($N449=0,$Q449,SUMPRODUCT(($O$157:$O$590=$H449)*($P$157:$P$590=$I449)*$Q$157:$Q$590)+COUNTIFS($H$157:$H449,$H449,$I$157:$I449,$I449,$N$157:$N449,1)))</f>
        <v>23</v>
      </c>
      <c r="M449">
        <f>IF($I449="","",COUNTIF($I$5:$I449,$I449))</f>
        <v>59</v>
      </c>
      <c r="N449">
        <f t="shared" si="43"/>
        <v>0</v>
      </c>
      <c r="O449" t="s">
        <v>138</v>
      </c>
      <c r="P449" t="s">
        <v>139</v>
      </c>
      <c r="Q449">
        <v>23</v>
      </c>
      <c r="R449" s="25">
        <v>150</v>
      </c>
      <c r="S449" s="25">
        <v>100</v>
      </c>
      <c r="T449" s="24">
        <f t="shared" si="44"/>
        <v>1.5</v>
      </c>
      <c r="U449" s="25"/>
    </row>
    <row r="450" spans="1:21" ht="16" x14ac:dyDescent="0.15">
      <c r="A450" s="2">
        <v>294</v>
      </c>
      <c r="B450" s="8" t="s">
        <v>599</v>
      </c>
      <c r="C450" s="28" t="s">
        <v>600</v>
      </c>
      <c r="D450" s="8" t="s">
        <v>136</v>
      </c>
      <c r="E450" s="2" t="s">
        <v>137</v>
      </c>
      <c r="F450" s="9" t="str">
        <f t="shared" si="41"/>
        <v>TRN-CHL-024</v>
      </c>
      <c r="G450" s="2" t="s">
        <v>15</v>
      </c>
      <c r="H450" t="str">
        <f>IFERROR(VLOOKUP($D450,القوائم!$A$2:$B$4,2,0),"")</f>
        <v>TRN</v>
      </c>
      <c r="I450" t="str">
        <f t="shared" si="42"/>
        <v>CHL</v>
      </c>
      <c r="J450">
        <f>IF($H450="","",IF($N450=0,$Q450,SUMPRODUCT(($O$157:$O$590=$H450)*($P$157:$P$590=$I450)*$Q$157:$Q$590)+COUNTIFS($H$157:$H450,$H450,$I$157:$I450,$I450,$N$157:$N450,1)))</f>
        <v>24</v>
      </c>
      <c r="M450">
        <f>IF($I450="","",COUNTIF($I$5:$I450,$I450))</f>
        <v>60</v>
      </c>
      <c r="N450">
        <f t="shared" si="43"/>
        <v>0</v>
      </c>
      <c r="O450" t="s">
        <v>138</v>
      </c>
      <c r="P450" t="s">
        <v>139</v>
      </c>
      <c r="Q450">
        <v>24</v>
      </c>
      <c r="R450" s="25">
        <v>400</v>
      </c>
      <c r="S450" s="25">
        <v>100</v>
      </c>
      <c r="T450" s="24">
        <f t="shared" si="44"/>
        <v>4</v>
      </c>
      <c r="U450" s="25"/>
    </row>
    <row r="451" spans="1:21" ht="16" x14ac:dyDescent="0.15">
      <c r="A451" s="2">
        <v>295</v>
      </c>
      <c r="B451" s="8" t="s">
        <v>601</v>
      </c>
      <c r="C451" s="28" t="s">
        <v>602</v>
      </c>
      <c r="D451" s="8" t="s">
        <v>136</v>
      </c>
      <c r="E451" s="2" t="s">
        <v>137</v>
      </c>
      <c r="F451" s="9" t="str">
        <f t="shared" si="41"/>
        <v>TRN-CHL-025</v>
      </c>
      <c r="G451" s="2" t="s">
        <v>15</v>
      </c>
      <c r="H451" t="str">
        <f>IFERROR(VLOOKUP($D451,القوائم!$A$2:$B$4,2,0),"")</f>
        <v>TRN</v>
      </c>
      <c r="I451" t="str">
        <f t="shared" si="42"/>
        <v>CHL</v>
      </c>
      <c r="J451">
        <f>IF($H451="","",IF($N451=0,$Q451,SUMPRODUCT(($O$157:$O$590=$H451)*($P$157:$P$590=$I451)*$Q$157:$Q$590)+COUNTIFS($H$157:$H451,$H451,$I$157:$I451,$I451,$N$157:$N451,1)))</f>
        <v>25</v>
      </c>
      <c r="M451">
        <f>IF($I451="","",COUNTIF($I$5:$I451,$I451))</f>
        <v>61</v>
      </c>
      <c r="N451">
        <f t="shared" si="43"/>
        <v>0</v>
      </c>
      <c r="O451" t="s">
        <v>138</v>
      </c>
      <c r="P451" t="s">
        <v>139</v>
      </c>
      <c r="Q451">
        <v>25</v>
      </c>
      <c r="R451" s="25">
        <v>300</v>
      </c>
      <c r="S451" s="25">
        <v>100</v>
      </c>
      <c r="T451" s="24">
        <f t="shared" si="44"/>
        <v>3</v>
      </c>
      <c r="U451" s="25"/>
    </row>
    <row r="452" spans="1:21" ht="16" x14ac:dyDescent="0.15">
      <c r="A452" s="2">
        <v>296</v>
      </c>
      <c r="B452" s="8" t="s">
        <v>603</v>
      </c>
      <c r="C452" s="28" t="s">
        <v>604</v>
      </c>
      <c r="D452" s="8" t="s">
        <v>136</v>
      </c>
      <c r="E452" s="2" t="s">
        <v>137</v>
      </c>
      <c r="F452" s="9" t="str">
        <f t="shared" si="41"/>
        <v>TRN-CHL-026</v>
      </c>
      <c r="G452" s="2" t="s">
        <v>15</v>
      </c>
      <c r="H452" t="str">
        <f>IFERROR(VLOOKUP($D452,القوائم!$A$2:$B$4,2,0),"")</f>
        <v>TRN</v>
      </c>
      <c r="I452" t="str">
        <f t="shared" si="42"/>
        <v>CHL</v>
      </c>
      <c r="J452">
        <f>IF($H452="","",IF($N452=0,$Q452,SUMPRODUCT(($O$157:$O$590=$H452)*($P$157:$P$590=$I452)*$Q$157:$Q$590)+COUNTIFS($H$157:$H452,$H452,$I$157:$I452,$I452,$N$157:$N452,1)))</f>
        <v>26</v>
      </c>
      <c r="M452">
        <f>IF($I452="","",COUNTIF($I$5:$I452,$I452))</f>
        <v>62</v>
      </c>
      <c r="N452">
        <f t="shared" si="43"/>
        <v>0</v>
      </c>
      <c r="O452" t="s">
        <v>138</v>
      </c>
      <c r="P452" t="s">
        <v>139</v>
      </c>
      <c r="Q452">
        <v>26</v>
      </c>
      <c r="R452" s="25">
        <v>200</v>
      </c>
      <c r="S452" s="25">
        <v>100</v>
      </c>
      <c r="T452" s="24">
        <f t="shared" si="44"/>
        <v>2</v>
      </c>
      <c r="U452" s="25"/>
    </row>
    <row r="453" spans="1:21" ht="16" x14ac:dyDescent="0.15">
      <c r="A453" s="2">
        <v>297</v>
      </c>
      <c r="B453" s="8" t="s">
        <v>605</v>
      </c>
      <c r="C453" s="28" t="s">
        <v>606</v>
      </c>
      <c r="D453" s="8" t="s">
        <v>136</v>
      </c>
      <c r="E453" s="2" t="s">
        <v>137</v>
      </c>
      <c r="F453" s="9" t="str">
        <f t="shared" si="41"/>
        <v>TRN-CHL-027</v>
      </c>
      <c r="G453" s="2" t="s">
        <v>15</v>
      </c>
      <c r="H453" t="str">
        <f>IFERROR(VLOOKUP($D453,القوائم!$A$2:$B$4,2,0),"")</f>
        <v>TRN</v>
      </c>
      <c r="I453" t="str">
        <f t="shared" si="42"/>
        <v>CHL</v>
      </c>
      <c r="J453">
        <f>IF($H453="","",IF($N453=0,$Q453,SUMPRODUCT(($O$157:$O$590=$H453)*($P$157:$P$590=$I453)*$Q$157:$Q$590)+COUNTIFS($H$157:$H453,$H453,$I$157:$I453,$I453,$N$157:$N453,1)))</f>
        <v>27</v>
      </c>
      <c r="M453">
        <f>IF($I453="","",COUNTIF($I$5:$I453,$I453))</f>
        <v>63</v>
      </c>
      <c r="N453">
        <f t="shared" si="43"/>
        <v>0</v>
      </c>
      <c r="O453" t="s">
        <v>138</v>
      </c>
      <c r="P453" t="s">
        <v>139</v>
      </c>
      <c r="Q453">
        <v>27</v>
      </c>
      <c r="R453" s="25">
        <v>150</v>
      </c>
      <c r="S453" s="25">
        <v>100</v>
      </c>
      <c r="T453" s="24">
        <f t="shared" si="44"/>
        <v>1.5</v>
      </c>
      <c r="U453" s="25"/>
    </row>
    <row r="454" spans="1:21" ht="16" x14ac:dyDescent="0.15">
      <c r="A454" s="2">
        <v>298</v>
      </c>
      <c r="B454" s="8" t="s">
        <v>607</v>
      </c>
      <c r="C454" s="28" t="s">
        <v>608</v>
      </c>
      <c r="D454" s="8" t="s">
        <v>136</v>
      </c>
      <c r="E454" s="2" t="s">
        <v>137</v>
      </c>
      <c r="F454" s="9" t="str">
        <f t="shared" si="41"/>
        <v>TRN-CHL-028</v>
      </c>
      <c r="G454" s="2" t="s">
        <v>15</v>
      </c>
      <c r="H454" t="str">
        <f>IFERROR(VLOOKUP($D454,القوائم!$A$2:$B$4,2,0),"")</f>
        <v>TRN</v>
      </c>
      <c r="I454" t="str">
        <f t="shared" si="42"/>
        <v>CHL</v>
      </c>
      <c r="J454">
        <f>IF($H454="","",IF($N454=0,$Q454,SUMPRODUCT(($O$157:$O$590=$H454)*($P$157:$P$590=$I454)*$Q$157:$Q$590)+COUNTIFS($H$157:$H454,$H454,$I$157:$I454,$I454,$N$157:$N454,1)))</f>
        <v>28</v>
      </c>
      <c r="M454">
        <f>IF($I454="","",COUNTIF($I$5:$I454,$I454))</f>
        <v>64</v>
      </c>
      <c r="N454">
        <f t="shared" si="43"/>
        <v>0</v>
      </c>
      <c r="O454" t="s">
        <v>138</v>
      </c>
      <c r="P454" t="s">
        <v>139</v>
      </c>
      <c r="Q454">
        <v>28</v>
      </c>
      <c r="R454" s="25">
        <v>200</v>
      </c>
      <c r="S454" s="25">
        <v>100</v>
      </c>
      <c r="T454" s="24">
        <f t="shared" si="44"/>
        <v>2</v>
      </c>
      <c r="U454" s="25"/>
    </row>
    <row r="455" spans="1:21" ht="16" x14ac:dyDescent="0.15">
      <c r="A455" s="2">
        <v>299</v>
      </c>
      <c r="B455" s="8" t="s">
        <v>609</v>
      </c>
      <c r="C455" s="28" t="s">
        <v>610</v>
      </c>
      <c r="D455" s="8" t="s">
        <v>136</v>
      </c>
      <c r="E455" s="2" t="s">
        <v>137</v>
      </c>
      <c r="F455" s="9" t="str">
        <f t="shared" si="41"/>
        <v>TRN-CHL-029</v>
      </c>
      <c r="G455" s="2" t="s">
        <v>15</v>
      </c>
      <c r="H455" t="str">
        <f>IFERROR(VLOOKUP($D455,القوائم!$A$2:$B$4,2,0),"")</f>
        <v>TRN</v>
      </c>
      <c r="I455" t="str">
        <f t="shared" si="42"/>
        <v>CHL</v>
      </c>
      <c r="J455">
        <f>IF($H455="","",IF($N455=0,$Q455,SUMPRODUCT(($O$157:$O$590=$H455)*($P$157:$P$590=$I455)*$Q$157:$Q$590)+COUNTIFS($H$157:$H455,$H455,$I$157:$I455,$I455,$N$157:$N455,1)))</f>
        <v>29</v>
      </c>
      <c r="M455">
        <f>IF($I455="","",COUNTIF($I$5:$I455,$I455))</f>
        <v>65</v>
      </c>
      <c r="N455">
        <f t="shared" si="43"/>
        <v>0</v>
      </c>
      <c r="O455" t="s">
        <v>138</v>
      </c>
      <c r="P455" t="s">
        <v>139</v>
      </c>
      <c r="Q455">
        <v>29</v>
      </c>
      <c r="R455" s="25">
        <v>400</v>
      </c>
      <c r="S455" s="25">
        <v>100</v>
      </c>
      <c r="T455" s="24">
        <f t="shared" si="44"/>
        <v>4</v>
      </c>
      <c r="U455" s="25"/>
    </row>
    <row r="456" spans="1:21" ht="16" x14ac:dyDescent="0.15">
      <c r="A456" s="2">
        <v>300</v>
      </c>
      <c r="B456" s="8" t="s">
        <v>611</v>
      </c>
      <c r="C456" s="28" t="s">
        <v>612</v>
      </c>
      <c r="D456" s="8" t="s">
        <v>136</v>
      </c>
      <c r="E456" s="2" t="s">
        <v>137</v>
      </c>
      <c r="F456" s="9" t="str">
        <f t="shared" si="41"/>
        <v>TRN-CHL-030</v>
      </c>
      <c r="G456" s="2" t="s">
        <v>15</v>
      </c>
      <c r="H456" t="str">
        <f>IFERROR(VLOOKUP($D456,القوائم!$A$2:$B$4,2,0),"")</f>
        <v>TRN</v>
      </c>
      <c r="I456" t="str">
        <f t="shared" si="42"/>
        <v>CHL</v>
      </c>
      <c r="J456">
        <f>IF($H456="","",IF($N456=0,$Q456,SUMPRODUCT(($O$157:$O$590=$H456)*($P$157:$P$590=$I456)*$Q$157:$Q$590)+COUNTIFS($H$157:$H456,$H456,$I$157:$I456,$I456,$N$157:$N456,1)))</f>
        <v>30</v>
      </c>
      <c r="M456">
        <f>IF($I456="","",COUNTIF($I$5:$I456,$I456))</f>
        <v>66</v>
      </c>
      <c r="N456">
        <f t="shared" si="43"/>
        <v>0</v>
      </c>
      <c r="O456" t="s">
        <v>138</v>
      </c>
      <c r="P456" t="s">
        <v>139</v>
      </c>
      <c r="Q456">
        <v>30</v>
      </c>
      <c r="R456" s="25">
        <v>60</v>
      </c>
      <c r="S456" s="25">
        <v>100</v>
      </c>
      <c r="T456" s="24">
        <f t="shared" si="44"/>
        <v>0.6</v>
      </c>
      <c r="U456" s="25"/>
    </row>
    <row r="457" spans="1:21" ht="16" x14ac:dyDescent="0.15">
      <c r="A457" s="2">
        <v>301</v>
      </c>
      <c r="B457" s="8" t="s">
        <v>613</v>
      </c>
      <c r="C457" s="28" t="s">
        <v>614</v>
      </c>
      <c r="D457" s="8" t="s">
        <v>136</v>
      </c>
      <c r="E457" s="2" t="s">
        <v>137</v>
      </c>
      <c r="F457" s="9" t="str">
        <f t="shared" si="41"/>
        <v>TRN-CHL-031</v>
      </c>
      <c r="G457" s="2" t="s">
        <v>15</v>
      </c>
      <c r="H457" t="str">
        <f>IFERROR(VLOOKUP($D457,القوائم!$A$2:$B$4,2,0),"")</f>
        <v>TRN</v>
      </c>
      <c r="I457" t="str">
        <f t="shared" si="42"/>
        <v>CHL</v>
      </c>
      <c r="J457">
        <f>IF($H457="","",IF($N457=0,$Q457,SUMPRODUCT(($O$157:$O$590=$H457)*($P$157:$P$590=$I457)*$Q$157:$Q$590)+COUNTIFS($H$157:$H457,$H457,$I$157:$I457,$I457,$N$157:$N457,1)))</f>
        <v>31</v>
      </c>
      <c r="M457">
        <f>IF($I457="","",COUNTIF($I$5:$I457,$I457))</f>
        <v>67</v>
      </c>
      <c r="N457">
        <f t="shared" si="43"/>
        <v>0</v>
      </c>
      <c r="O457" t="s">
        <v>138</v>
      </c>
      <c r="P457" t="s">
        <v>139</v>
      </c>
      <c r="Q457">
        <v>31</v>
      </c>
      <c r="R457" s="25">
        <v>250</v>
      </c>
      <c r="S457" s="25">
        <v>100</v>
      </c>
      <c r="T457" s="24">
        <f t="shared" si="44"/>
        <v>2.5</v>
      </c>
      <c r="U457" s="25"/>
    </row>
    <row r="458" spans="1:21" ht="16" x14ac:dyDescent="0.15">
      <c r="A458" s="2">
        <v>302</v>
      </c>
      <c r="B458" s="8" t="s">
        <v>615</v>
      </c>
      <c r="C458" s="28" t="s">
        <v>616</v>
      </c>
      <c r="D458" s="8" t="s">
        <v>136</v>
      </c>
      <c r="E458" s="2" t="s">
        <v>137</v>
      </c>
      <c r="F458" s="9" t="str">
        <f t="shared" si="41"/>
        <v>TRN-CHL-032</v>
      </c>
      <c r="G458" s="2" t="s">
        <v>15</v>
      </c>
      <c r="H458" t="str">
        <f>IFERROR(VLOOKUP($D458,القوائم!$A$2:$B$4,2,0),"")</f>
        <v>TRN</v>
      </c>
      <c r="I458" t="str">
        <f t="shared" si="42"/>
        <v>CHL</v>
      </c>
      <c r="J458">
        <f>IF($H458="","",IF($N458=0,$Q458,SUMPRODUCT(($O$157:$O$590=$H458)*($P$157:$P$590=$I458)*$Q$157:$Q$590)+COUNTIFS($H$157:$H458,$H458,$I$157:$I458,$I458,$N$157:$N458,1)))</f>
        <v>32</v>
      </c>
      <c r="M458">
        <f>IF($I458="","",COUNTIF($I$5:$I458,$I458))</f>
        <v>68</v>
      </c>
      <c r="N458">
        <f t="shared" si="43"/>
        <v>0</v>
      </c>
      <c r="O458" t="s">
        <v>138</v>
      </c>
      <c r="P458" t="s">
        <v>139</v>
      </c>
      <c r="Q458">
        <v>32</v>
      </c>
      <c r="R458" s="25">
        <v>120</v>
      </c>
      <c r="S458" s="25">
        <v>100</v>
      </c>
      <c r="T458" s="24">
        <f t="shared" si="44"/>
        <v>1.2</v>
      </c>
      <c r="U458" s="25"/>
    </row>
    <row r="459" spans="1:21" ht="16" x14ac:dyDescent="0.15">
      <c r="A459" s="2">
        <v>303</v>
      </c>
      <c r="B459" s="8" t="s">
        <v>617</v>
      </c>
      <c r="C459" s="28" t="s">
        <v>618</v>
      </c>
      <c r="D459" s="8" t="s">
        <v>136</v>
      </c>
      <c r="E459" s="2" t="s">
        <v>137</v>
      </c>
      <c r="F459" s="9" t="str">
        <f t="shared" si="41"/>
        <v>TRN-CHL-033</v>
      </c>
      <c r="G459" s="2" t="s">
        <v>15</v>
      </c>
      <c r="H459" t="str">
        <f>IFERROR(VLOOKUP($D459,القوائم!$A$2:$B$4,2,0),"")</f>
        <v>TRN</v>
      </c>
      <c r="I459" t="str">
        <f t="shared" si="42"/>
        <v>CHL</v>
      </c>
      <c r="J459">
        <f>IF($H459="","",IF($N459=0,$Q459,SUMPRODUCT(($O$157:$O$590=$H459)*($P$157:$P$590=$I459)*$Q$157:$Q$590)+COUNTIFS($H$157:$H459,$H459,$I$157:$I459,$I459,$N$157:$N459,1)))</f>
        <v>33</v>
      </c>
      <c r="M459">
        <f>IF($I459="","",COUNTIF($I$5:$I459,$I459))</f>
        <v>69</v>
      </c>
      <c r="N459">
        <f t="shared" si="43"/>
        <v>0</v>
      </c>
      <c r="O459" t="s">
        <v>138</v>
      </c>
      <c r="P459" t="s">
        <v>139</v>
      </c>
      <c r="Q459">
        <v>33</v>
      </c>
      <c r="R459" s="25">
        <v>100</v>
      </c>
      <c r="S459" s="25">
        <v>100</v>
      </c>
      <c r="T459" s="24">
        <f t="shared" si="44"/>
        <v>1</v>
      </c>
      <c r="U459" s="25"/>
    </row>
    <row r="460" spans="1:21" ht="16" x14ac:dyDescent="0.15">
      <c r="A460" s="2">
        <v>304</v>
      </c>
      <c r="B460" s="8" t="s">
        <v>619</v>
      </c>
      <c r="C460" s="28" t="s">
        <v>620</v>
      </c>
      <c r="D460" s="8" t="s">
        <v>136</v>
      </c>
      <c r="E460" s="2" t="s">
        <v>137</v>
      </c>
      <c r="F460" s="9" t="str">
        <f t="shared" si="41"/>
        <v>TRN-CHL-034</v>
      </c>
      <c r="G460" s="2" t="s">
        <v>15</v>
      </c>
      <c r="H460" t="str">
        <f>IFERROR(VLOOKUP($D460,القوائم!$A$2:$B$4,2,0),"")</f>
        <v>TRN</v>
      </c>
      <c r="I460" t="str">
        <f t="shared" si="42"/>
        <v>CHL</v>
      </c>
      <c r="J460">
        <f>IF($H460="","",IF($N460=0,$Q460,SUMPRODUCT(($O$157:$O$590=$H460)*($P$157:$P$590=$I460)*$Q$157:$Q$590)+COUNTIFS($H$157:$H460,$H460,$I$157:$I460,$I460,$N$157:$N460,1)))</f>
        <v>34</v>
      </c>
      <c r="M460">
        <f>IF($I460="","",COUNTIF($I$5:$I460,$I460))</f>
        <v>70</v>
      </c>
      <c r="N460">
        <f t="shared" si="43"/>
        <v>0</v>
      </c>
      <c r="O460" t="s">
        <v>138</v>
      </c>
      <c r="P460" t="s">
        <v>139</v>
      </c>
      <c r="Q460">
        <v>34</v>
      </c>
      <c r="R460" s="25">
        <v>450</v>
      </c>
      <c r="S460" s="25">
        <v>100</v>
      </c>
      <c r="T460" s="24">
        <f t="shared" si="44"/>
        <v>4.5</v>
      </c>
      <c r="U460" s="25"/>
    </row>
    <row r="461" spans="1:21" ht="16" x14ac:dyDescent="0.15">
      <c r="A461" s="2">
        <v>305</v>
      </c>
      <c r="B461" s="8" t="s">
        <v>621</v>
      </c>
      <c r="C461" s="28" t="s">
        <v>622</v>
      </c>
      <c r="D461" s="8" t="s">
        <v>136</v>
      </c>
      <c r="E461" s="2" t="s">
        <v>137</v>
      </c>
      <c r="F461" s="9" t="str">
        <f t="shared" si="41"/>
        <v>TRN-CHL-035</v>
      </c>
      <c r="G461" s="2" t="s">
        <v>15</v>
      </c>
      <c r="H461" t="str">
        <f>IFERROR(VLOOKUP($D461,القوائم!$A$2:$B$4,2,0),"")</f>
        <v>TRN</v>
      </c>
      <c r="I461" t="str">
        <f t="shared" si="42"/>
        <v>CHL</v>
      </c>
      <c r="J461">
        <f>IF($H461="","",IF($N461=0,$Q461,SUMPRODUCT(($O$157:$O$590=$H461)*($P$157:$P$590=$I461)*$Q$157:$Q$590)+COUNTIFS($H$157:$H461,$H461,$I$157:$I461,$I461,$N$157:$N461,1)))</f>
        <v>35</v>
      </c>
      <c r="M461">
        <f>IF($I461="","",COUNTIF($I$5:$I461,$I461))</f>
        <v>71</v>
      </c>
      <c r="N461">
        <f t="shared" si="43"/>
        <v>0</v>
      </c>
      <c r="O461" t="s">
        <v>138</v>
      </c>
      <c r="P461" t="s">
        <v>139</v>
      </c>
      <c r="Q461">
        <v>35</v>
      </c>
      <c r="R461" s="25">
        <v>250</v>
      </c>
      <c r="S461" s="25">
        <v>100</v>
      </c>
      <c r="T461" s="24">
        <f t="shared" si="44"/>
        <v>2.5</v>
      </c>
      <c r="U461" s="25"/>
    </row>
    <row r="462" spans="1:21" ht="16" x14ac:dyDescent="0.15">
      <c r="A462" s="2">
        <v>306</v>
      </c>
      <c r="B462" s="8" t="s">
        <v>623</v>
      </c>
      <c r="C462" s="28" t="s">
        <v>624</v>
      </c>
      <c r="D462" s="8" t="s">
        <v>136</v>
      </c>
      <c r="E462" s="2" t="s">
        <v>137</v>
      </c>
      <c r="F462" s="9" t="str">
        <f t="shared" si="41"/>
        <v>TRN-CHL-036</v>
      </c>
      <c r="G462" s="2" t="s">
        <v>15</v>
      </c>
      <c r="H462" t="str">
        <f>IFERROR(VLOOKUP($D462,القوائم!$A$2:$B$4,2,0),"")</f>
        <v>TRN</v>
      </c>
      <c r="I462" t="str">
        <f t="shared" si="42"/>
        <v>CHL</v>
      </c>
      <c r="J462">
        <f>IF($H462="","",IF($N462=0,$Q462,SUMPRODUCT(($O$157:$O$590=$H462)*($P$157:$P$590=$I462)*$Q$157:$Q$590)+COUNTIFS($H$157:$H462,$H462,$I$157:$I462,$I462,$N$157:$N462,1)))</f>
        <v>36</v>
      </c>
      <c r="M462">
        <f>IF($I462="","",COUNTIF($I$5:$I462,$I462))</f>
        <v>72</v>
      </c>
      <c r="N462">
        <f t="shared" si="43"/>
        <v>0</v>
      </c>
      <c r="O462" t="s">
        <v>138</v>
      </c>
      <c r="P462" t="s">
        <v>139</v>
      </c>
      <c r="Q462">
        <v>36</v>
      </c>
      <c r="R462" s="25">
        <v>300</v>
      </c>
      <c r="S462" s="25">
        <v>100</v>
      </c>
      <c r="T462" s="24">
        <f t="shared" si="44"/>
        <v>3</v>
      </c>
      <c r="U462" s="25"/>
    </row>
    <row r="463" spans="1:21" ht="16" x14ac:dyDescent="0.15">
      <c r="A463" s="2">
        <v>307</v>
      </c>
      <c r="B463" s="8" t="s">
        <v>625</v>
      </c>
      <c r="C463" s="28" t="s">
        <v>626</v>
      </c>
      <c r="D463" s="8" t="s">
        <v>136</v>
      </c>
      <c r="E463" s="2" t="s">
        <v>137</v>
      </c>
      <c r="F463" s="9" t="str">
        <f t="shared" si="41"/>
        <v>TRN-CHL-037</v>
      </c>
      <c r="G463" s="2" t="s">
        <v>15</v>
      </c>
      <c r="H463" t="str">
        <f>IFERROR(VLOOKUP($D463,القوائم!$A$2:$B$4,2,0),"")</f>
        <v>TRN</v>
      </c>
      <c r="I463" t="str">
        <f t="shared" si="42"/>
        <v>CHL</v>
      </c>
      <c r="J463">
        <f>IF($H463="","",IF($N463=0,$Q463,SUMPRODUCT(($O$157:$O$590=$H463)*($P$157:$P$590=$I463)*$Q$157:$Q$590)+COUNTIFS($H$157:$H463,$H463,$I$157:$I463,$I463,$N$157:$N463,1)))</f>
        <v>37</v>
      </c>
      <c r="M463">
        <f>IF($I463="","",COUNTIF($I$5:$I463,$I463))</f>
        <v>73</v>
      </c>
      <c r="N463">
        <f t="shared" si="43"/>
        <v>0</v>
      </c>
      <c r="O463" t="s">
        <v>138</v>
      </c>
      <c r="P463" t="s">
        <v>139</v>
      </c>
      <c r="Q463">
        <v>37</v>
      </c>
      <c r="R463" s="25">
        <v>250</v>
      </c>
      <c r="S463" s="25">
        <v>100</v>
      </c>
      <c r="T463" s="24">
        <f t="shared" si="44"/>
        <v>2.5</v>
      </c>
      <c r="U463" s="25"/>
    </row>
    <row r="464" spans="1:21" ht="16" x14ac:dyDescent="0.15">
      <c r="A464" s="2">
        <v>308</v>
      </c>
      <c r="B464" s="8" t="s">
        <v>627</v>
      </c>
      <c r="C464" s="28" t="s">
        <v>628</v>
      </c>
      <c r="D464" s="8" t="s">
        <v>136</v>
      </c>
      <c r="E464" s="2" t="s">
        <v>137</v>
      </c>
      <c r="F464" s="9" t="str">
        <f t="shared" si="41"/>
        <v>TRN-CHL-038</v>
      </c>
      <c r="G464" s="2" t="s">
        <v>15</v>
      </c>
      <c r="H464" t="str">
        <f>IFERROR(VLOOKUP($D464,القوائم!$A$2:$B$4,2,0),"")</f>
        <v>TRN</v>
      </c>
      <c r="I464" t="str">
        <f t="shared" si="42"/>
        <v>CHL</v>
      </c>
      <c r="J464">
        <f>IF($H464="","",IF($N464=0,$Q464,SUMPRODUCT(($O$157:$O$590=$H464)*($P$157:$P$590=$I464)*$Q$157:$Q$590)+COUNTIFS($H$157:$H464,$H464,$I$157:$I464,$I464,$N$157:$N464,1)))</f>
        <v>38</v>
      </c>
      <c r="M464">
        <f>IF($I464="","",COUNTIF($I$5:$I464,$I464))</f>
        <v>74</v>
      </c>
      <c r="N464">
        <f t="shared" si="43"/>
        <v>0</v>
      </c>
      <c r="O464" t="s">
        <v>138</v>
      </c>
      <c r="P464" t="s">
        <v>139</v>
      </c>
      <c r="Q464">
        <v>38</v>
      </c>
      <c r="R464" s="25">
        <v>350</v>
      </c>
      <c r="S464" s="25">
        <v>100</v>
      </c>
      <c r="T464" s="24">
        <f t="shared" si="44"/>
        <v>3.5</v>
      </c>
      <c r="U464" s="25"/>
    </row>
    <row r="465" spans="1:21" ht="16" x14ac:dyDescent="0.15">
      <c r="A465" s="2">
        <v>309</v>
      </c>
      <c r="B465" s="8" t="s">
        <v>629</v>
      </c>
      <c r="C465" s="28" t="s">
        <v>628</v>
      </c>
      <c r="D465" s="8" t="s">
        <v>136</v>
      </c>
      <c r="E465" s="2" t="s">
        <v>137</v>
      </c>
      <c r="F465" s="9" t="str">
        <f t="shared" si="41"/>
        <v>TRN-CHL-039</v>
      </c>
      <c r="G465" s="2" t="s">
        <v>15</v>
      </c>
      <c r="H465" t="str">
        <f>IFERROR(VLOOKUP($D465,القوائم!$A$2:$B$4,2,0),"")</f>
        <v>TRN</v>
      </c>
      <c r="I465" t="str">
        <f t="shared" si="42"/>
        <v>CHL</v>
      </c>
      <c r="J465">
        <f>IF($H465="","",IF($N465=0,$Q465,SUMPRODUCT(($O$157:$O$590=$H465)*($P$157:$P$590=$I465)*$Q$157:$Q$590)+COUNTIFS($H$157:$H465,$H465,$I$157:$I465,$I465,$N$157:$N465,1)))</f>
        <v>39</v>
      </c>
      <c r="M465">
        <f>IF($I465="","",COUNTIF($I$5:$I465,$I465))</f>
        <v>75</v>
      </c>
      <c r="N465">
        <f t="shared" si="43"/>
        <v>0</v>
      </c>
      <c r="O465" t="s">
        <v>138</v>
      </c>
      <c r="P465" t="s">
        <v>139</v>
      </c>
      <c r="Q465">
        <v>39</v>
      </c>
      <c r="R465" s="25">
        <v>150</v>
      </c>
      <c r="S465" s="25">
        <v>100</v>
      </c>
      <c r="T465" s="24">
        <f t="shared" si="44"/>
        <v>1.5</v>
      </c>
      <c r="U465" s="25"/>
    </row>
    <row r="466" spans="1:21" ht="16" x14ac:dyDescent="0.15">
      <c r="A466" s="2">
        <v>310</v>
      </c>
      <c r="B466" s="8" t="s">
        <v>630</v>
      </c>
      <c r="C466" s="28" t="s">
        <v>631</v>
      </c>
      <c r="D466" s="8" t="s">
        <v>136</v>
      </c>
      <c r="E466" s="2" t="s">
        <v>137</v>
      </c>
      <c r="F466" s="9" t="str">
        <f t="shared" si="41"/>
        <v>TRN-CHL-040</v>
      </c>
      <c r="G466" s="2" t="s">
        <v>15</v>
      </c>
      <c r="H466" t="str">
        <f>IFERROR(VLOOKUP($D466,القوائم!$A$2:$B$4,2,0),"")</f>
        <v>TRN</v>
      </c>
      <c r="I466" t="str">
        <f t="shared" si="42"/>
        <v>CHL</v>
      </c>
      <c r="J466">
        <f>IF($H466="","",IF($N466=0,$Q466,SUMPRODUCT(($O$157:$O$590=$H466)*($P$157:$P$590=$I466)*$Q$157:$Q$590)+COUNTIFS($H$157:$H466,$H466,$I$157:$I466,$I466,$N$157:$N466,1)))</f>
        <v>40</v>
      </c>
      <c r="M466">
        <f>IF($I466="","",COUNTIF($I$5:$I466,$I466))</f>
        <v>76</v>
      </c>
      <c r="N466">
        <f t="shared" si="43"/>
        <v>0</v>
      </c>
      <c r="O466" t="s">
        <v>138</v>
      </c>
      <c r="P466" t="s">
        <v>139</v>
      </c>
      <c r="Q466">
        <v>40</v>
      </c>
      <c r="R466" s="25">
        <v>300</v>
      </c>
      <c r="S466" s="25">
        <v>100</v>
      </c>
      <c r="T466" s="24">
        <f t="shared" si="44"/>
        <v>3</v>
      </c>
      <c r="U466" s="25"/>
    </row>
    <row r="467" spans="1:21" ht="16" x14ac:dyDescent="0.15">
      <c r="A467" s="2">
        <v>311</v>
      </c>
      <c r="B467" s="8" t="s">
        <v>632</v>
      </c>
      <c r="C467" s="28" t="s">
        <v>633</v>
      </c>
      <c r="D467" s="8" t="s">
        <v>136</v>
      </c>
      <c r="E467" s="2" t="s">
        <v>137</v>
      </c>
      <c r="F467" s="9" t="str">
        <f t="shared" si="41"/>
        <v>TRN-CHL-041</v>
      </c>
      <c r="G467" s="2" t="s">
        <v>15</v>
      </c>
      <c r="H467" t="str">
        <f>IFERROR(VLOOKUP($D467,القوائم!$A$2:$B$4,2,0),"")</f>
        <v>TRN</v>
      </c>
      <c r="I467" t="str">
        <f t="shared" si="42"/>
        <v>CHL</v>
      </c>
      <c r="J467">
        <f>IF($H467="","",IF($N467=0,$Q467,SUMPRODUCT(($O$157:$O$590=$H467)*($P$157:$P$590=$I467)*$Q$157:$Q$590)+COUNTIFS($H$157:$H467,$H467,$I$157:$I467,$I467,$N$157:$N467,1)))</f>
        <v>41</v>
      </c>
      <c r="M467">
        <f>IF($I467="","",COUNTIF($I$5:$I467,$I467))</f>
        <v>77</v>
      </c>
      <c r="N467">
        <f t="shared" si="43"/>
        <v>0</v>
      </c>
      <c r="O467" t="s">
        <v>138</v>
      </c>
      <c r="P467" t="s">
        <v>139</v>
      </c>
      <c r="Q467">
        <v>41</v>
      </c>
      <c r="R467" s="25">
        <v>300</v>
      </c>
      <c r="S467" s="25">
        <v>100</v>
      </c>
      <c r="T467" s="24">
        <f t="shared" si="44"/>
        <v>3</v>
      </c>
      <c r="U467" s="25"/>
    </row>
    <row r="468" spans="1:21" ht="16" x14ac:dyDescent="0.15">
      <c r="A468" s="2">
        <v>312</v>
      </c>
      <c r="B468" s="8" t="s">
        <v>634</v>
      </c>
      <c r="C468" s="28" t="s">
        <v>635</v>
      </c>
      <c r="D468" s="8" t="s">
        <v>136</v>
      </c>
      <c r="E468" s="2" t="s">
        <v>137</v>
      </c>
      <c r="F468" s="9" t="str">
        <f t="shared" si="41"/>
        <v>TRN-CHL-042</v>
      </c>
      <c r="G468" s="2" t="s">
        <v>15</v>
      </c>
      <c r="H468" t="str">
        <f>IFERROR(VLOOKUP($D468,القوائم!$A$2:$B$4,2,0),"")</f>
        <v>TRN</v>
      </c>
      <c r="I468" t="str">
        <f t="shared" si="42"/>
        <v>CHL</v>
      </c>
      <c r="J468">
        <f>IF($H468="","",IF($N468=0,$Q468,SUMPRODUCT(($O$157:$O$590=$H468)*($P$157:$P$590=$I468)*$Q$157:$Q$590)+COUNTIFS($H$157:$H468,$H468,$I$157:$I468,$I468,$N$157:$N468,1)))</f>
        <v>42</v>
      </c>
      <c r="M468">
        <f>IF($I468="","",COUNTIF($I$5:$I468,$I468))</f>
        <v>78</v>
      </c>
      <c r="N468">
        <f t="shared" si="43"/>
        <v>0</v>
      </c>
      <c r="O468" t="s">
        <v>138</v>
      </c>
      <c r="P468" t="s">
        <v>139</v>
      </c>
      <c r="Q468">
        <v>42</v>
      </c>
      <c r="R468" s="25">
        <v>250</v>
      </c>
      <c r="S468" s="25">
        <v>100</v>
      </c>
      <c r="T468" s="24">
        <f t="shared" si="44"/>
        <v>2.5</v>
      </c>
      <c r="U468" s="25"/>
    </row>
    <row r="469" spans="1:21" ht="16" x14ac:dyDescent="0.15">
      <c r="A469" s="2">
        <v>313</v>
      </c>
      <c r="B469" s="8" t="s">
        <v>636</v>
      </c>
      <c r="C469" s="28" t="s">
        <v>637</v>
      </c>
      <c r="D469" s="8" t="s">
        <v>136</v>
      </c>
      <c r="E469" s="2" t="s">
        <v>137</v>
      </c>
      <c r="F469" s="9" t="str">
        <f t="shared" si="41"/>
        <v>TRN-CHL-043</v>
      </c>
      <c r="G469" s="2" t="s">
        <v>15</v>
      </c>
      <c r="H469" t="str">
        <f>IFERROR(VLOOKUP($D469,القوائم!$A$2:$B$4,2,0),"")</f>
        <v>TRN</v>
      </c>
      <c r="I469" t="str">
        <f t="shared" si="42"/>
        <v>CHL</v>
      </c>
      <c r="J469">
        <f>IF($H469="","",IF($N469=0,$Q469,SUMPRODUCT(($O$157:$O$590=$H469)*($P$157:$P$590=$I469)*$Q$157:$Q$590)+COUNTIFS($H$157:$H469,$H469,$I$157:$I469,$I469,$N$157:$N469,1)))</f>
        <v>43</v>
      </c>
      <c r="M469">
        <f>IF($I469="","",COUNTIF($I$5:$I469,$I469))</f>
        <v>79</v>
      </c>
      <c r="N469">
        <f t="shared" si="43"/>
        <v>0</v>
      </c>
      <c r="O469" t="s">
        <v>138</v>
      </c>
      <c r="P469" t="s">
        <v>139</v>
      </c>
      <c r="Q469">
        <v>43</v>
      </c>
      <c r="R469" s="25">
        <v>250</v>
      </c>
      <c r="S469" s="25">
        <v>100</v>
      </c>
      <c r="T469" s="24">
        <f t="shared" si="44"/>
        <v>2.5</v>
      </c>
      <c r="U469" s="25"/>
    </row>
    <row r="470" spans="1:21" ht="16" x14ac:dyDescent="0.15">
      <c r="A470" s="2">
        <v>314</v>
      </c>
      <c r="B470" s="8" t="s">
        <v>638</v>
      </c>
      <c r="C470" s="28" t="s">
        <v>639</v>
      </c>
      <c r="D470" s="8" t="s">
        <v>136</v>
      </c>
      <c r="E470" s="2" t="s">
        <v>137</v>
      </c>
      <c r="F470" s="9" t="str">
        <f t="shared" si="41"/>
        <v>TRN-CHL-044</v>
      </c>
      <c r="G470" s="2" t="s">
        <v>15</v>
      </c>
      <c r="H470" t="str">
        <f>IFERROR(VLOOKUP($D470,القوائم!$A$2:$B$4,2,0),"")</f>
        <v>TRN</v>
      </c>
      <c r="I470" t="str">
        <f t="shared" si="42"/>
        <v>CHL</v>
      </c>
      <c r="J470">
        <f>IF($H470="","",IF($N470=0,$Q470,SUMPRODUCT(($O$157:$O$590=$H470)*($P$157:$P$590=$I470)*$Q$157:$Q$590)+COUNTIFS($H$157:$H470,$H470,$I$157:$I470,$I470,$N$157:$N470,1)))</f>
        <v>44</v>
      </c>
      <c r="M470">
        <f>IF($I470="","",COUNTIF($I$5:$I470,$I470))</f>
        <v>80</v>
      </c>
      <c r="N470">
        <f t="shared" si="43"/>
        <v>0</v>
      </c>
      <c r="O470" t="s">
        <v>138</v>
      </c>
      <c r="P470" t="s">
        <v>139</v>
      </c>
      <c r="Q470">
        <v>44</v>
      </c>
      <c r="R470" s="25">
        <v>60</v>
      </c>
      <c r="S470" s="25">
        <v>100</v>
      </c>
      <c r="T470" s="24">
        <f t="shared" si="44"/>
        <v>0.6</v>
      </c>
      <c r="U470" s="25"/>
    </row>
    <row r="471" spans="1:21" ht="16" x14ac:dyDescent="0.15">
      <c r="A471" s="2">
        <v>315</v>
      </c>
      <c r="B471" s="8" t="s">
        <v>640</v>
      </c>
      <c r="C471" s="28" t="s">
        <v>641</v>
      </c>
      <c r="D471" s="8" t="s">
        <v>136</v>
      </c>
      <c r="E471" s="2" t="s">
        <v>137</v>
      </c>
      <c r="F471" s="9" t="str">
        <f t="shared" si="41"/>
        <v>TRN-CHL-045</v>
      </c>
      <c r="G471" s="2" t="s">
        <v>15</v>
      </c>
      <c r="H471" t="str">
        <f>IFERROR(VLOOKUP($D471,القوائم!$A$2:$B$4,2,0),"")</f>
        <v>TRN</v>
      </c>
      <c r="I471" t="str">
        <f t="shared" si="42"/>
        <v>CHL</v>
      </c>
      <c r="J471">
        <f>IF($H471="","",IF($N471=0,$Q471,SUMPRODUCT(($O$157:$O$590=$H471)*($P$157:$P$590=$I471)*$Q$157:$Q$590)+COUNTIFS($H$157:$H471,$H471,$I$157:$I471,$I471,$N$157:$N471,1)))</f>
        <v>45</v>
      </c>
      <c r="M471">
        <f>IF($I471="","",COUNTIF($I$5:$I471,$I471))</f>
        <v>81</v>
      </c>
      <c r="N471">
        <f t="shared" si="43"/>
        <v>0</v>
      </c>
      <c r="O471" t="s">
        <v>138</v>
      </c>
      <c r="P471" t="s">
        <v>139</v>
      </c>
      <c r="Q471">
        <v>45</v>
      </c>
      <c r="R471" s="25">
        <v>180</v>
      </c>
      <c r="S471" s="25">
        <v>100</v>
      </c>
      <c r="T471" s="24">
        <f t="shared" si="44"/>
        <v>1.8</v>
      </c>
      <c r="U471" s="25"/>
    </row>
    <row r="472" spans="1:21" ht="16" x14ac:dyDescent="0.15">
      <c r="A472" s="2">
        <v>316</v>
      </c>
      <c r="B472" s="8" t="s">
        <v>642</v>
      </c>
      <c r="C472" s="28" t="s">
        <v>643</v>
      </c>
      <c r="D472" s="8" t="s">
        <v>136</v>
      </c>
      <c r="E472" s="2" t="s">
        <v>137</v>
      </c>
      <c r="F472" s="9" t="str">
        <f t="shared" si="41"/>
        <v>TRN-CHL-046</v>
      </c>
      <c r="G472" s="2" t="s">
        <v>15</v>
      </c>
      <c r="H472" t="str">
        <f>IFERROR(VLOOKUP($D472,القوائم!$A$2:$B$4,2,0),"")</f>
        <v>TRN</v>
      </c>
      <c r="I472" t="str">
        <f t="shared" si="42"/>
        <v>CHL</v>
      </c>
      <c r="J472">
        <f>IF($H472="","",IF($N472=0,$Q472,SUMPRODUCT(($O$157:$O$590=$H472)*($P$157:$P$590=$I472)*$Q$157:$Q$590)+COUNTIFS($H$157:$H472,$H472,$I$157:$I472,$I472,$N$157:$N472,1)))</f>
        <v>46</v>
      </c>
      <c r="M472">
        <f>IF($I472="","",COUNTIF($I$5:$I472,$I472))</f>
        <v>82</v>
      </c>
      <c r="N472">
        <f t="shared" si="43"/>
        <v>0</v>
      </c>
      <c r="O472" t="s">
        <v>138</v>
      </c>
      <c r="P472" t="s">
        <v>139</v>
      </c>
      <c r="Q472">
        <v>46</v>
      </c>
      <c r="R472" s="25">
        <v>200</v>
      </c>
      <c r="S472" s="25">
        <v>100</v>
      </c>
      <c r="T472" s="24">
        <f t="shared" si="44"/>
        <v>2</v>
      </c>
      <c r="U472" s="25"/>
    </row>
    <row r="473" spans="1:21" ht="17" x14ac:dyDescent="0.15">
      <c r="A473" s="2">
        <v>317</v>
      </c>
      <c r="B473" s="8" t="s">
        <v>644</v>
      </c>
      <c r="C473" s="28" t="s">
        <v>645</v>
      </c>
      <c r="D473" s="8" t="s">
        <v>12</v>
      </c>
      <c r="E473" s="2" t="s">
        <v>14</v>
      </c>
      <c r="F473" s="9" t="str">
        <f t="shared" si="41"/>
        <v>RAW-CNS-037</v>
      </c>
      <c r="G473" s="2" t="s">
        <v>13</v>
      </c>
      <c r="H473" t="str">
        <f>IFERROR(VLOOKUP($D473,القوائم!$A$2:$B$4,2,0),"")</f>
        <v>RAW</v>
      </c>
      <c r="I473" t="str">
        <f t="shared" si="42"/>
        <v>CNS</v>
      </c>
      <c r="J473">
        <f>IF($H473="","",IF($N473=0,$Q473,SUMPRODUCT(($O$157:$O$590=$H473)*($P$157:$P$590=$I473)*$Q$157:$Q$590)+COUNTIFS($H$157:$H473,$H473,$I$157:$I473,$I473,$N$157:$N473,1)))</f>
        <v>37</v>
      </c>
      <c r="M473">
        <f>IF($I473="","",COUNTIF($I$5:$I473,$I473))</f>
        <v>38</v>
      </c>
      <c r="N473">
        <f t="shared" si="43"/>
        <v>0</v>
      </c>
      <c r="O473" t="s">
        <v>22</v>
      </c>
      <c r="P473" t="s">
        <v>23</v>
      </c>
      <c r="Q473">
        <v>37</v>
      </c>
      <c r="R473" s="25"/>
      <c r="S473" s="25"/>
      <c r="T473" s="24" t="str">
        <f t="shared" si="44"/>
        <v/>
      </c>
      <c r="U473" s="25"/>
    </row>
    <row r="474" spans="1:21" ht="17" x14ac:dyDescent="0.15">
      <c r="A474" s="2">
        <v>318</v>
      </c>
      <c r="B474" s="8" t="s">
        <v>646</v>
      </c>
      <c r="C474" s="28" t="s">
        <v>647</v>
      </c>
      <c r="D474" s="8" t="s">
        <v>12</v>
      </c>
      <c r="E474" s="2" t="s">
        <v>14</v>
      </c>
      <c r="F474" s="9" t="str">
        <f t="shared" si="41"/>
        <v>RAW-CNS-038</v>
      </c>
      <c r="G474" s="2" t="s">
        <v>13</v>
      </c>
      <c r="H474" t="str">
        <f>IFERROR(VLOOKUP($D474,القوائم!$A$2:$B$4,2,0),"")</f>
        <v>RAW</v>
      </c>
      <c r="I474" t="str">
        <f t="shared" si="42"/>
        <v>CNS</v>
      </c>
      <c r="J474">
        <f>IF($H474="","",IF($N474=0,$Q474,SUMPRODUCT(($O$157:$O$590=$H474)*($P$157:$P$590=$I474)*$Q$157:$Q$590)+COUNTIFS($H$157:$H474,$H474,$I$157:$I474,$I474,$N$157:$N474,1)))</f>
        <v>38</v>
      </c>
      <c r="M474">
        <f>IF($I474="","",COUNTIF($I$5:$I474,$I474))</f>
        <v>39</v>
      </c>
      <c r="N474">
        <f t="shared" si="43"/>
        <v>0</v>
      </c>
      <c r="O474" t="s">
        <v>22</v>
      </c>
      <c r="P474" t="s">
        <v>23</v>
      </c>
      <c r="Q474">
        <v>38</v>
      </c>
      <c r="R474" s="25"/>
      <c r="S474" s="25"/>
      <c r="T474" s="24" t="str">
        <f t="shared" si="44"/>
        <v/>
      </c>
      <c r="U474" s="25"/>
    </row>
    <row r="475" spans="1:21" ht="28.5" customHeight="1" x14ac:dyDescent="0.15">
      <c r="A475" s="2">
        <v>319</v>
      </c>
      <c r="B475" s="8" t="s">
        <v>648</v>
      </c>
      <c r="C475" s="28" t="s">
        <v>649</v>
      </c>
      <c r="D475" s="8" t="s">
        <v>12</v>
      </c>
      <c r="E475" s="2" t="s">
        <v>14</v>
      </c>
      <c r="F475" s="9" t="str">
        <f t="shared" si="41"/>
        <v>RAW-CNS-039</v>
      </c>
      <c r="G475" s="2" t="s">
        <v>13</v>
      </c>
      <c r="H475" t="str">
        <f>IFERROR(VLOOKUP($D475,القوائم!$A$2:$B$4,2,0),"")</f>
        <v>RAW</v>
      </c>
      <c r="I475" t="str">
        <f t="shared" si="42"/>
        <v>CNS</v>
      </c>
      <c r="J475">
        <f>IF($H475="","",IF($N475=0,$Q475,SUMPRODUCT(($O$157:$O$590=$H475)*($P$157:$P$590=$I475)*$Q$157:$Q$590)+COUNTIFS($H$157:$H475,$H475,$I$157:$I475,$I475,$N$157:$N475,1)))</f>
        <v>39</v>
      </c>
      <c r="M475">
        <f>IF($I475="","",COUNTIF($I$5:$I475,$I475))</f>
        <v>40</v>
      </c>
      <c r="N475">
        <f t="shared" si="43"/>
        <v>0</v>
      </c>
      <c r="O475" t="s">
        <v>22</v>
      </c>
      <c r="P475" t="s">
        <v>23</v>
      </c>
      <c r="Q475">
        <v>39</v>
      </c>
      <c r="R475" s="25"/>
      <c r="S475" s="25"/>
      <c r="T475" s="24" t="str">
        <f t="shared" si="44"/>
        <v/>
      </c>
      <c r="U475" s="25"/>
    </row>
    <row r="476" spans="1:21" ht="17" x14ac:dyDescent="0.15">
      <c r="A476" s="2">
        <v>320</v>
      </c>
      <c r="B476" s="8" t="s">
        <v>650</v>
      </c>
      <c r="C476" s="28" t="s">
        <v>651</v>
      </c>
      <c r="D476" s="8" t="s">
        <v>12</v>
      </c>
      <c r="E476" s="2" t="s">
        <v>14</v>
      </c>
      <c r="F476" s="9" t="str">
        <f t="shared" si="41"/>
        <v>RAW-CNS-040</v>
      </c>
      <c r="G476" s="2" t="s">
        <v>13</v>
      </c>
      <c r="H476" t="str">
        <f>IFERROR(VLOOKUP($D476,القوائم!$A$2:$B$4,2,0),"")</f>
        <v>RAW</v>
      </c>
      <c r="I476" t="str">
        <f t="shared" si="42"/>
        <v>CNS</v>
      </c>
      <c r="J476">
        <f>IF($H476="","",IF($N476=0,$Q476,SUMPRODUCT(($O$157:$O$590=$H476)*($P$157:$P$590=$I476)*$Q$157:$Q$590)+COUNTIFS($H$157:$H476,$H476,$I$157:$I476,$I476,$N$157:$N476,1)))</f>
        <v>40</v>
      </c>
      <c r="M476">
        <f>IF($I476="","",COUNTIF($I$5:$I476,$I476))</f>
        <v>41</v>
      </c>
      <c r="N476">
        <f t="shared" si="43"/>
        <v>0</v>
      </c>
      <c r="O476" t="s">
        <v>22</v>
      </c>
      <c r="P476" t="s">
        <v>23</v>
      </c>
      <c r="Q476">
        <v>40</v>
      </c>
      <c r="R476" s="25"/>
      <c r="S476" s="25"/>
      <c r="T476" s="24" t="str">
        <f t="shared" si="44"/>
        <v/>
      </c>
      <c r="U476" s="25"/>
    </row>
    <row r="477" spans="1:21" ht="16" x14ac:dyDescent="0.15">
      <c r="A477" s="2">
        <v>321</v>
      </c>
      <c r="B477" s="8" t="s">
        <v>652</v>
      </c>
      <c r="C477" s="28" t="s">
        <v>653</v>
      </c>
      <c r="D477" s="8" t="s">
        <v>12</v>
      </c>
      <c r="E477" s="2" t="s">
        <v>265</v>
      </c>
      <c r="F477" s="9" t="str">
        <f t="shared" ref="F477:F540" si="45">IF($H477="","",$H477&amp;"-"&amp;$I477&amp;"-"&amp;TEXT($J477,"000"))</f>
        <v>RAW-DRY-082</v>
      </c>
      <c r="G477" s="2" t="s">
        <v>15</v>
      </c>
      <c r="H477" t="str">
        <f>IFERROR(VLOOKUP($D477,القوائم!$A$2:$B$4,2,0),"")</f>
        <v>RAW</v>
      </c>
      <c r="I477" t="str">
        <f t="shared" ref="I477:I540" si="46">IF($H477="FIN","RTS",IF(ISNUMBER(SEARCH("مجمد",$E477)),"FRZ",IF(ISNUMBER(SEARCH("مبرد",$E477)),"CHL",IF(ISNUMBER(SEARCH("جاف",$E477)),"DRY",IF(ISNUMBER(SEARCH("استهلاك",$E477)),"CNS",IF(ISNUMBER(SEARCH("بيع",$E477)),"RTS",""))))))</f>
        <v>DRY</v>
      </c>
      <c r="J477">
        <f>IF($H477="","",IF($N477=0,$Q477,SUMPRODUCT(($O$157:$O$590=$H477)*($P$157:$P$590=$I477)*$Q$157:$Q$590)+COUNTIFS($H$157:$H477,$H477,$I$157:$I477,$I477,$N$157:$N477,1)))</f>
        <v>82</v>
      </c>
      <c r="M477">
        <f>IF($I477="","",COUNTIF($I$5:$I477,$I477))</f>
        <v>84</v>
      </c>
      <c r="N477">
        <f t="shared" ref="N477:N540" si="47">IF($H477="","",IF(OR($H477&lt;&gt;$O477,$I477&lt;&gt;$P477),1,0))</f>
        <v>0</v>
      </c>
      <c r="O477" t="s">
        <v>22</v>
      </c>
      <c r="P477" t="s">
        <v>266</v>
      </c>
      <c r="Q477">
        <v>82</v>
      </c>
      <c r="R477" s="25">
        <v>364</v>
      </c>
      <c r="S477" s="25">
        <v>100</v>
      </c>
      <c r="T477" s="24">
        <f t="shared" ref="T477:T540" si="48">IF(OR($R477="",$S477="",$S477=0),"",ROUND($R477/$S477,2))</f>
        <v>3.64</v>
      </c>
      <c r="U477" s="25"/>
    </row>
    <row r="478" spans="1:21" ht="16" x14ac:dyDescent="0.15">
      <c r="A478" s="2">
        <v>322</v>
      </c>
      <c r="B478" s="8" t="s">
        <v>654</v>
      </c>
      <c r="C478" s="28" t="s">
        <v>655</v>
      </c>
      <c r="D478" s="8" t="s">
        <v>12</v>
      </c>
      <c r="E478" s="2" t="s">
        <v>265</v>
      </c>
      <c r="F478" s="9" t="str">
        <f t="shared" si="45"/>
        <v>RAW-DRY-083</v>
      </c>
      <c r="G478" s="2" t="s">
        <v>15</v>
      </c>
      <c r="H478" t="str">
        <f>IFERROR(VLOOKUP($D478,القوائم!$A$2:$B$4,2,0),"")</f>
        <v>RAW</v>
      </c>
      <c r="I478" t="str">
        <f t="shared" si="46"/>
        <v>DRY</v>
      </c>
      <c r="J478">
        <f>IF($H478="","",IF($N478=0,$Q478,SUMPRODUCT(($O$157:$O$590=$H478)*($P$157:$P$590=$I478)*$Q$157:$Q$590)+COUNTIFS($H$157:$H478,$H478,$I$157:$I478,$I478,$N$157:$N478,1)))</f>
        <v>83</v>
      </c>
      <c r="M478">
        <f>IF($I478="","",COUNTIF($I$5:$I478,$I478))</f>
        <v>85</v>
      </c>
      <c r="N478">
        <f t="shared" si="47"/>
        <v>0</v>
      </c>
      <c r="O478" t="s">
        <v>22</v>
      </c>
      <c r="P478" t="s">
        <v>266</v>
      </c>
      <c r="Q478">
        <v>83</v>
      </c>
      <c r="R478" s="25">
        <v>595</v>
      </c>
      <c r="S478" s="25">
        <v>100</v>
      </c>
      <c r="T478" s="24">
        <f t="shared" si="48"/>
        <v>5.95</v>
      </c>
      <c r="U478" s="25"/>
    </row>
    <row r="479" spans="1:21" ht="17" x14ac:dyDescent="0.15">
      <c r="A479" s="2">
        <v>323</v>
      </c>
      <c r="B479" s="8" t="s">
        <v>656</v>
      </c>
      <c r="C479" s="28" t="s">
        <v>657</v>
      </c>
      <c r="D479" s="8" t="s">
        <v>12</v>
      </c>
      <c r="E479" s="2" t="s">
        <v>14</v>
      </c>
      <c r="F479" s="9" t="str">
        <f t="shared" si="45"/>
        <v>RAW-CNS-041</v>
      </c>
      <c r="G479" s="2" t="s">
        <v>13</v>
      </c>
      <c r="H479" t="str">
        <f>IFERROR(VLOOKUP($D479,القوائم!$A$2:$B$4,2,0),"")</f>
        <v>RAW</v>
      </c>
      <c r="I479" t="str">
        <f t="shared" si="46"/>
        <v>CNS</v>
      </c>
      <c r="J479">
        <f>IF($H479="","",IF($N479=0,$Q479,SUMPRODUCT(($O$157:$O$590=$H479)*($P$157:$P$590=$I479)*$Q$157:$Q$590)+COUNTIFS($H$157:$H479,$H479,$I$157:$I479,$I479,$N$157:$N479,1)))</f>
        <v>41</v>
      </c>
      <c r="M479">
        <f>IF($I479="","",COUNTIF($I$5:$I479,$I479))</f>
        <v>42</v>
      </c>
      <c r="N479">
        <f t="shared" si="47"/>
        <v>0</v>
      </c>
      <c r="O479" t="s">
        <v>22</v>
      </c>
      <c r="P479" t="s">
        <v>23</v>
      </c>
      <c r="Q479">
        <v>41</v>
      </c>
      <c r="R479" s="25"/>
      <c r="S479" s="25"/>
      <c r="T479" s="24" t="str">
        <f t="shared" si="48"/>
        <v/>
      </c>
      <c r="U479" s="25"/>
    </row>
    <row r="480" spans="1:21" ht="16" x14ac:dyDescent="0.15">
      <c r="A480" s="2">
        <v>324</v>
      </c>
      <c r="B480" s="8" t="s">
        <v>658</v>
      </c>
      <c r="C480" s="28" t="s">
        <v>659</v>
      </c>
      <c r="D480" s="8" t="s">
        <v>12</v>
      </c>
      <c r="E480" s="2" t="s">
        <v>137</v>
      </c>
      <c r="F480" s="9" t="str">
        <f t="shared" si="45"/>
        <v>RAW-CHL-037</v>
      </c>
      <c r="G480" s="2" t="s">
        <v>15</v>
      </c>
      <c r="H480" t="str">
        <f>IFERROR(VLOOKUP($D480,القوائم!$A$2:$B$4,2,0),"")</f>
        <v>RAW</v>
      </c>
      <c r="I480" t="str">
        <f t="shared" si="46"/>
        <v>CHL</v>
      </c>
      <c r="J480">
        <f>IF($H480="","",IF($N480=0,$Q480,SUMPRODUCT(($O$157:$O$590=$H480)*($P$157:$P$590=$I480)*$Q$157:$Q$590)+COUNTIFS($H$157:$H480,$H480,$I$157:$I480,$I480,$N$157:$N480,1)))</f>
        <v>37</v>
      </c>
      <c r="M480">
        <f>IF($I480="","",COUNTIF($I$5:$I480,$I480))</f>
        <v>83</v>
      </c>
      <c r="N480">
        <f t="shared" si="47"/>
        <v>0</v>
      </c>
      <c r="O480" t="s">
        <v>22</v>
      </c>
      <c r="P480" t="s">
        <v>139</v>
      </c>
      <c r="Q480">
        <v>37</v>
      </c>
      <c r="R480" s="25">
        <v>18</v>
      </c>
      <c r="S480" s="25">
        <v>100</v>
      </c>
      <c r="T480" s="24">
        <f t="shared" si="48"/>
        <v>0.18</v>
      </c>
      <c r="U480" s="25"/>
    </row>
    <row r="481" spans="1:21" ht="16" x14ac:dyDescent="0.15">
      <c r="A481" s="2">
        <v>325</v>
      </c>
      <c r="B481" s="8" t="s">
        <v>660</v>
      </c>
      <c r="C481" s="28" t="s">
        <v>661</v>
      </c>
      <c r="D481" s="8" t="s">
        <v>12</v>
      </c>
      <c r="E481" s="2" t="s">
        <v>265</v>
      </c>
      <c r="F481" s="9" t="str">
        <f t="shared" si="45"/>
        <v>RAW-DRY-084</v>
      </c>
      <c r="G481" s="2" t="s">
        <v>15</v>
      </c>
      <c r="H481" t="str">
        <f>IFERROR(VLOOKUP($D481,القوائم!$A$2:$B$4,2,0),"")</f>
        <v>RAW</v>
      </c>
      <c r="I481" t="str">
        <f t="shared" si="46"/>
        <v>DRY</v>
      </c>
      <c r="J481">
        <f>IF($H481="","",IF($N481=0,$Q481,SUMPRODUCT(($O$157:$O$590=$H481)*($P$157:$P$590=$I481)*$Q$157:$Q$590)+COUNTIFS($H$157:$H481,$H481,$I$157:$I481,$I481,$N$157:$N481,1)))</f>
        <v>84</v>
      </c>
      <c r="M481">
        <f>IF($I481="","",COUNTIF($I$5:$I481,$I481))</f>
        <v>86</v>
      </c>
      <c r="N481">
        <f t="shared" si="47"/>
        <v>0</v>
      </c>
      <c r="O481" t="s">
        <v>22</v>
      </c>
      <c r="P481" t="s">
        <v>266</v>
      </c>
      <c r="Q481">
        <v>84</v>
      </c>
      <c r="R481" s="25">
        <v>30</v>
      </c>
      <c r="S481" s="25">
        <v>100</v>
      </c>
      <c r="T481" s="24">
        <f t="shared" si="48"/>
        <v>0.3</v>
      </c>
      <c r="U481" s="25"/>
    </row>
    <row r="482" spans="1:21" ht="16" x14ac:dyDescent="0.15">
      <c r="A482" s="2">
        <v>326</v>
      </c>
      <c r="B482" s="8" t="s">
        <v>662</v>
      </c>
      <c r="C482" s="28" t="s">
        <v>663</v>
      </c>
      <c r="D482" s="8" t="s">
        <v>12</v>
      </c>
      <c r="E482" s="2" t="s">
        <v>137</v>
      </c>
      <c r="F482" s="9" t="str">
        <f t="shared" si="45"/>
        <v>RAW-CHL-038</v>
      </c>
      <c r="G482" s="2" t="s">
        <v>15</v>
      </c>
      <c r="H482" t="str">
        <f>IFERROR(VLOOKUP($D482,القوائم!$A$2:$B$4,2,0),"")</f>
        <v>RAW</v>
      </c>
      <c r="I482" t="str">
        <f t="shared" si="46"/>
        <v>CHL</v>
      </c>
      <c r="J482">
        <f>IF($H482="","",IF($N482=0,$Q482,SUMPRODUCT(($O$157:$O$590=$H482)*($P$157:$P$590=$I482)*$Q$157:$Q$590)+COUNTIFS($H$157:$H482,$H482,$I$157:$I482,$I482,$N$157:$N482,1)))</f>
        <v>38</v>
      </c>
      <c r="M482">
        <f>IF($I482="","",COUNTIF($I$5:$I482,$I482))</f>
        <v>84</v>
      </c>
      <c r="N482">
        <f t="shared" si="47"/>
        <v>0</v>
      </c>
      <c r="O482" t="s">
        <v>22</v>
      </c>
      <c r="P482" t="s">
        <v>139</v>
      </c>
      <c r="Q482">
        <v>38</v>
      </c>
      <c r="R482" s="25">
        <v>18</v>
      </c>
      <c r="S482" s="25">
        <v>100</v>
      </c>
      <c r="T482" s="24">
        <f t="shared" si="48"/>
        <v>0.18</v>
      </c>
      <c r="U482" s="25"/>
    </row>
    <row r="483" spans="1:21" ht="16" x14ac:dyDescent="0.15">
      <c r="A483" s="2">
        <v>327</v>
      </c>
      <c r="B483" s="8" t="s">
        <v>664</v>
      </c>
      <c r="C483" s="28" t="s">
        <v>665</v>
      </c>
      <c r="D483" s="8" t="s">
        <v>12</v>
      </c>
      <c r="E483" s="2" t="s">
        <v>265</v>
      </c>
      <c r="F483" s="9" t="str">
        <f t="shared" si="45"/>
        <v>RAW-DRY-085</v>
      </c>
      <c r="G483" s="2" t="s">
        <v>15</v>
      </c>
      <c r="H483" t="str">
        <f>IFERROR(VLOOKUP($D483,القوائم!$A$2:$B$4,2,0),"")</f>
        <v>RAW</v>
      </c>
      <c r="I483" t="str">
        <f t="shared" si="46"/>
        <v>DRY</v>
      </c>
      <c r="J483">
        <f>IF($H483="","",IF($N483=0,$Q483,SUMPRODUCT(($O$157:$O$590=$H483)*($P$157:$P$590=$I483)*$Q$157:$Q$590)+COUNTIFS($H$157:$H483,$H483,$I$157:$I483,$I483,$N$157:$N483,1)))</f>
        <v>85</v>
      </c>
      <c r="M483">
        <f>IF($I483="","",COUNTIF($I$5:$I483,$I483))</f>
        <v>87</v>
      </c>
      <c r="N483">
        <f t="shared" si="47"/>
        <v>0</v>
      </c>
      <c r="O483" t="s">
        <v>22</v>
      </c>
      <c r="P483" t="s">
        <v>266</v>
      </c>
      <c r="Q483">
        <v>85</v>
      </c>
      <c r="R483" s="25">
        <v>250</v>
      </c>
      <c r="S483" s="25">
        <v>100</v>
      </c>
      <c r="T483" s="24">
        <f t="shared" si="48"/>
        <v>2.5</v>
      </c>
      <c r="U483" s="25"/>
    </row>
    <row r="484" spans="1:21" ht="17" x14ac:dyDescent="0.15">
      <c r="A484" s="2">
        <v>328</v>
      </c>
      <c r="B484" s="8" t="s">
        <v>666</v>
      </c>
      <c r="C484" s="28" t="s">
        <v>667</v>
      </c>
      <c r="D484" s="8" t="s">
        <v>12</v>
      </c>
      <c r="E484" s="2" t="s">
        <v>14</v>
      </c>
      <c r="F484" s="9" t="str">
        <f t="shared" si="45"/>
        <v>RAW-CNS-042</v>
      </c>
      <c r="G484" s="2" t="s">
        <v>13</v>
      </c>
      <c r="H484" t="str">
        <f>IFERROR(VLOOKUP($D484,القوائم!$A$2:$B$4,2,0),"")</f>
        <v>RAW</v>
      </c>
      <c r="I484" t="str">
        <f t="shared" si="46"/>
        <v>CNS</v>
      </c>
      <c r="J484">
        <f>IF($H484="","",IF($N484=0,$Q484,SUMPRODUCT(($O$157:$O$590=$H484)*($P$157:$P$590=$I484)*$Q$157:$Q$590)+COUNTIFS($H$157:$H484,$H484,$I$157:$I484,$I484,$N$157:$N484,1)))</f>
        <v>42</v>
      </c>
      <c r="M484">
        <f>IF($I484="","",COUNTIF($I$5:$I484,$I484))</f>
        <v>43</v>
      </c>
      <c r="N484">
        <f t="shared" si="47"/>
        <v>0</v>
      </c>
      <c r="O484" t="s">
        <v>22</v>
      </c>
      <c r="P484" t="s">
        <v>23</v>
      </c>
      <c r="Q484">
        <v>42</v>
      </c>
      <c r="R484" s="25"/>
      <c r="S484" s="25"/>
      <c r="T484" s="24" t="str">
        <f t="shared" si="48"/>
        <v/>
      </c>
      <c r="U484" s="25"/>
    </row>
    <row r="485" spans="1:21" ht="16" x14ac:dyDescent="0.15">
      <c r="A485" s="2">
        <v>329</v>
      </c>
      <c r="B485" s="8" t="s">
        <v>668</v>
      </c>
      <c r="C485" s="28" t="s">
        <v>669</v>
      </c>
      <c r="D485" s="8" t="s">
        <v>136</v>
      </c>
      <c r="E485" s="2" t="s">
        <v>137</v>
      </c>
      <c r="F485" s="9" t="str">
        <f t="shared" si="45"/>
        <v>TRN-CHL-047</v>
      </c>
      <c r="G485" s="2" t="s">
        <v>15</v>
      </c>
      <c r="H485" t="str">
        <f>IFERROR(VLOOKUP($D485,القوائم!$A$2:$B$4,2,0),"")</f>
        <v>TRN</v>
      </c>
      <c r="I485" t="str">
        <f t="shared" si="46"/>
        <v>CHL</v>
      </c>
      <c r="J485">
        <f>IF($H485="","",IF($N485=0,$Q485,SUMPRODUCT(($O$157:$O$590=$H485)*($P$157:$P$590=$I485)*$Q$157:$Q$590)+COUNTIFS($H$157:$H485,$H485,$I$157:$I485,$I485,$N$157:$N485,1)))</f>
        <v>47</v>
      </c>
      <c r="M485">
        <f>IF($I485="","",COUNTIF($I$5:$I485,$I485))</f>
        <v>85</v>
      </c>
      <c r="N485">
        <f t="shared" si="47"/>
        <v>0</v>
      </c>
      <c r="O485" t="s">
        <v>138</v>
      </c>
      <c r="P485" t="s">
        <v>139</v>
      </c>
      <c r="Q485">
        <v>47</v>
      </c>
      <c r="R485" s="25">
        <v>300</v>
      </c>
      <c r="S485" s="25">
        <v>100</v>
      </c>
      <c r="T485" s="24">
        <f t="shared" si="48"/>
        <v>3</v>
      </c>
      <c r="U485" s="25"/>
    </row>
    <row r="486" spans="1:21" ht="16" x14ac:dyDescent="0.15">
      <c r="A486" s="2">
        <v>330</v>
      </c>
      <c r="B486" s="8" t="s">
        <v>670</v>
      </c>
      <c r="C486" s="28" t="s">
        <v>671</v>
      </c>
      <c r="D486" s="8" t="s">
        <v>12</v>
      </c>
      <c r="E486" s="2" t="s">
        <v>265</v>
      </c>
      <c r="F486" s="9" t="str">
        <f t="shared" si="45"/>
        <v>RAW-DRY-086</v>
      </c>
      <c r="G486" s="2" t="s">
        <v>15</v>
      </c>
      <c r="H486" t="str">
        <f>IFERROR(VLOOKUP($D486,القوائم!$A$2:$B$4,2,0),"")</f>
        <v>RAW</v>
      </c>
      <c r="I486" t="str">
        <f t="shared" si="46"/>
        <v>DRY</v>
      </c>
      <c r="J486">
        <f>IF($H486="","",IF($N486=0,$Q486,SUMPRODUCT(($O$157:$O$590=$H486)*($P$157:$P$590=$I486)*$Q$157:$Q$590)+COUNTIFS($H$157:$H486,$H486,$I$157:$I486,$I486,$N$157:$N486,1)))</f>
        <v>86</v>
      </c>
      <c r="M486">
        <f>IF($I486="","",COUNTIF($I$5:$I486,$I486))</f>
        <v>88</v>
      </c>
      <c r="N486">
        <f t="shared" si="47"/>
        <v>0</v>
      </c>
      <c r="O486" t="s">
        <v>22</v>
      </c>
      <c r="P486" t="s">
        <v>266</v>
      </c>
      <c r="Q486">
        <v>86</v>
      </c>
      <c r="R486" s="25">
        <v>304</v>
      </c>
      <c r="S486" s="25">
        <v>100</v>
      </c>
      <c r="T486" s="24">
        <f t="shared" si="48"/>
        <v>3.04</v>
      </c>
      <c r="U486" s="25"/>
    </row>
    <row r="487" spans="1:21" ht="17" x14ac:dyDescent="0.15">
      <c r="A487" s="2">
        <v>331</v>
      </c>
      <c r="B487" s="8" t="s">
        <v>672</v>
      </c>
      <c r="C487" s="28" t="s">
        <v>673</v>
      </c>
      <c r="D487" s="8" t="s">
        <v>12</v>
      </c>
      <c r="E487" s="2" t="s">
        <v>14</v>
      </c>
      <c r="F487" s="9" t="str">
        <f t="shared" si="45"/>
        <v>RAW-CNS-043</v>
      </c>
      <c r="G487" s="2" t="s">
        <v>13</v>
      </c>
      <c r="H487" t="str">
        <f>IFERROR(VLOOKUP($D487,القوائم!$A$2:$B$4,2,0),"")</f>
        <v>RAW</v>
      </c>
      <c r="I487" t="str">
        <f t="shared" si="46"/>
        <v>CNS</v>
      </c>
      <c r="J487">
        <f>IF($H487="","",IF($N487=0,$Q487,SUMPRODUCT(($O$157:$O$590=$H487)*($P$157:$P$590=$I487)*$Q$157:$Q$590)+COUNTIFS($H$157:$H487,$H487,$I$157:$I487,$I487,$N$157:$N487,1)))</f>
        <v>43</v>
      </c>
      <c r="M487">
        <f>IF($I487="","",COUNTIF($I$5:$I487,$I487))</f>
        <v>44</v>
      </c>
      <c r="N487">
        <f t="shared" si="47"/>
        <v>0</v>
      </c>
      <c r="O487" t="s">
        <v>22</v>
      </c>
      <c r="P487" t="s">
        <v>23</v>
      </c>
      <c r="Q487">
        <v>43</v>
      </c>
      <c r="R487" s="25"/>
      <c r="S487" s="25"/>
      <c r="T487" s="24" t="str">
        <f t="shared" si="48"/>
        <v/>
      </c>
      <c r="U487" s="25"/>
    </row>
    <row r="488" spans="1:21" ht="17" x14ac:dyDescent="0.15">
      <c r="A488" s="2">
        <v>332</v>
      </c>
      <c r="B488" s="8" t="s">
        <v>674</v>
      </c>
      <c r="C488" s="28" t="s">
        <v>675</v>
      </c>
      <c r="D488" s="8" t="s">
        <v>12</v>
      </c>
      <c r="E488" s="2" t="s">
        <v>14</v>
      </c>
      <c r="F488" s="9" t="str">
        <f t="shared" si="45"/>
        <v>RAW-CNS-044</v>
      </c>
      <c r="G488" s="2" t="s">
        <v>13</v>
      </c>
      <c r="H488" t="str">
        <f>IFERROR(VLOOKUP($D488,القوائم!$A$2:$B$4,2,0),"")</f>
        <v>RAW</v>
      </c>
      <c r="I488" t="str">
        <f t="shared" si="46"/>
        <v>CNS</v>
      </c>
      <c r="J488">
        <f>IF($H488="","",IF($N488=0,$Q488,SUMPRODUCT(($O$157:$O$590=$H488)*($P$157:$P$590=$I488)*$Q$157:$Q$590)+COUNTIFS($H$157:$H488,$H488,$I$157:$I488,$I488,$N$157:$N488,1)))</f>
        <v>44</v>
      </c>
      <c r="M488">
        <f>IF($I488="","",COUNTIF($I$5:$I488,$I488))</f>
        <v>45</v>
      </c>
      <c r="N488">
        <f t="shared" si="47"/>
        <v>0</v>
      </c>
      <c r="O488" t="s">
        <v>22</v>
      </c>
      <c r="P488" t="s">
        <v>23</v>
      </c>
      <c r="Q488">
        <v>44</v>
      </c>
      <c r="R488" s="25"/>
      <c r="S488" s="25"/>
      <c r="T488" s="24" t="str">
        <f t="shared" si="48"/>
        <v/>
      </c>
      <c r="U488" s="25"/>
    </row>
    <row r="489" spans="1:21" ht="17" x14ac:dyDescent="0.15">
      <c r="A489" s="2">
        <v>333</v>
      </c>
      <c r="B489" s="8" t="s">
        <v>676</v>
      </c>
      <c r="C489" s="28" t="s">
        <v>677</v>
      </c>
      <c r="D489" s="8" t="s">
        <v>12</v>
      </c>
      <c r="E489" s="2" t="s">
        <v>14</v>
      </c>
      <c r="F489" s="9" t="str">
        <f t="shared" si="45"/>
        <v>RAW-CNS-045</v>
      </c>
      <c r="G489" s="2" t="s">
        <v>13</v>
      </c>
      <c r="H489" t="str">
        <f>IFERROR(VLOOKUP($D489,القوائم!$A$2:$B$4,2,0),"")</f>
        <v>RAW</v>
      </c>
      <c r="I489" t="str">
        <f t="shared" si="46"/>
        <v>CNS</v>
      </c>
      <c r="J489">
        <f>IF($H489="","",IF($N489=0,$Q489,SUMPRODUCT(($O$157:$O$590=$H489)*($P$157:$P$590=$I489)*$Q$157:$Q$590)+COUNTIFS($H$157:$H489,$H489,$I$157:$I489,$I489,$N$157:$N489,1)))</f>
        <v>45</v>
      </c>
      <c r="M489">
        <f>IF($I489="","",COUNTIF($I$5:$I489,$I489))</f>
        <v>46</v>
      </c>
      <c r="N489">
        <f t="shared" si="47"/>
        <v>0</v>
      </c>
      <c r="O489" t="s">
        <v>22</v>
      </c>
      <c r="P489" t="s">
        <v>23</v>
      </c>
      <c r="Q489">
        <v>45</v>
      </c>
      <c r="R489" s="25"/>
      <c r="S489" s="25"/>
      <c r="T489" s="24" t="str">
        <f t="shared" si="48"/>
        <v/>
      </c>
      <c r="U489" s="25"/>
    </row>
    <row r="490" spans="1:21" ht="17" x14ac:dyDescent="0.15">
      <c r="A490" s="2">
        <v>334</v>
      </c>
      <c r="B490" s="8" t="s">
        <v>678</v>
      </c>
      <c r="C490" s="28" t="s">
        <v>679</v>
      </c>
      <c r="D490" s="8" t="s">
        <v>12</v>
      </c>
      <c r="E490" s="2" t="s">
        <v>14</v>
      </c>
      <c r="F490" s="9" t="str">
        <f t="shared" si="45"/>
        <v>RAW-CNS-046</v>
      </c>
      <c r="G490" s="2" t="s">
        <v>13</v>
      </c>
      <c r="H490" t="str">
        <f>IFERROR(VLOOKUP($D490,القوائم!$A$2:$B$4,2,0),"")</f>
        <v>RAW</v>
      </c>
      <c r="I490" t="str">
        <f t="shared" si="46"/>
        <v>CNS</v>
      </c>
      <c r="J490">
        <f>IF($H490="","",IF($N490=0,$Q490,SUMPRODUCT(($O$157:$O$590=$H490)*($P$157:$P$590=$I490)*$Q$157:$Q$590)+COUNTIFS($H$157:$H490,$H490,$I$157:$I490,$I490,$N$157:$N490,1)))</f>
        <v>46</v>
      </c>
      <c r="M490">
        <f>IF($I490="","",COUNTIF($I$5:$I490,$I490))</f>
        <v>47</v>
      </c>
      <c r="N490">
        <f t="shared" si="47"/>
        <v>0</v>
      </c>
      <c r="O490" t="s">
        <v>22</v>
      </c>
      <c r="P490" t="s">
        <v>23</v>
      </c>
      <c r="Q490">
        <v>46</v>
      </c>
      <c r="R490" s="25"/>
      <c r="S490" s="25"/>
      <c r="T490" s="24" t="str">
        <f t="shared" si="48"/>
        <v/>
      </c>
      <c r="U490" s="25"/>
    </row>
    <row r="491" spans="1:21" ht="17" x14ac:dyDescent="0.15">
      <c r="A491" s="2">
        <v>335</v>
      </c>
      <c r="B491" s="8" t="s">
        <v>680</v>
      </c>
      <c r="C491" s="28" t="s">
        <v>681</v>
      </c>
      <c r="D491" s="8" t="s">
        <v>12</v>
      </c>
      <c r="E491" s="2" t="s">
        <v>14</v>
      </c>
      <c r="F491" s="9" t="str">
        <f t="shared" si="45"/>
        <v>RAW-CNS-047</v>
      </c>
      <c r="G491" s="2" t="s">
        <v>13</v>
      </c>
      <c r="H491" t="str">
        <f>IFERROR(VLOOKUP($D491,القوائم!$A$2:$B$4,2,0),"")</f>
        <v>RAW</v>
      </c>
      <c r="I491" t="str">
        <f t="shared" si="46"/>
        <v>CNS</v>
      </c>
      <c r="J491">
        <f>IF($H491="","",IF($N491=0,$Q491,SUMPRODUCT(($O$157:$O$590=$H491)*($P$157:$P$590=$I491)*$Q$157:$Q$590)+COUNTIFS($H$157:$H491,$H491,$I$157:$I491,$I491,$N$157:$N491,1)))</f>
        <v>47</v>
      </c>
      <c r="M491">
        <f>IF($I491="","",COUNTIF($I$5:$I491,$I491))</f>
        <v>48</v>
      </c>
      <c r="N491">
        <f t="shared" si="47"/>
        <v>0</v>
      </c>
      <c r="O491" t="s">
        <v>22</v>
      </c>
      <c r="P491" t="s">
        <v>23</v>
      </c>
      <c r="Q491">
        <v>47</v>
      </c>
      <c r="R491" s="25"/>
      <c r="S491" s="25"/>
      <c r="T491" s="24" t="str">
        <f t="shared" si="48"/>
        <v/>
      </c>
      <c r="U491" s="25"/>
    </row>
    <row r="492" spans="1:21" ht="17" x14ac:dyDescent="0.15">
      <c r="A492" s="2">
        <v>336</v>
      </c>
      <c r="B492" s="8" t="s">
        <v>682</v>
      </c>
      <c r="C492" s="28" t="s">
        <v>683</v>
      </c>
      <c r="D492" s="8" t="s">
        <v>12</v>
      </c>
      <c r="E492" s="2" t="s">
        <v>14</v>
      </c>
      <c r="F492" s="9" t="str">
        <f t="shared" si="45"/>
        <v>RAW-CNS-048</v>
      </c>
      <c r="G492" s="2" t="s">
        <v>13</v>
      </c>
      <c r="H492" t="str">
        <f>IFERROR(VLOOKUP($D492,القوائم!$A$2:$B$4,2,0),"")</f>
        <v>RAW</v>
      </c>
      <c r="I492" t="str">
        <f t="shared" si="46"/>
        <v>CNS</v>
      </c>
      <c r="J492">
        <f>IF($H492="","",IF($N492=0,$Q492,SUMPRODUCT(($O$157:$O$590=$H492)*($P$157:$P$590=$I492)*$Q$157:$Q$590)+COUNTIFS($H$157:$H492,$H492,$I$157:$I492,$I492,$N$157:$N492,1)))</f>
        <v>48</v>
      </c>
      <c r="M492">
        <f>IF($I492="","",COUNTIF($I$5:$I492,$I492))</f>
        <v>49</v>
      </c>
      <c r="N492">
        <f t="shared" si="47"/>
        <v>0</v>
      </c>
      <c r="O492" t="s">
        <v>22</v>
      </c>
      <c r="P492" t="s">
        <v>23</v>
      </c>
      <c r="Q492">
        <v>48</v>
      </c>
      <c r="R492" s="25"/>
      <c r="S492" s="25"/>
      <c r="T492" s="24" t="str">
        <f t="shared" si="48"/>
        <v/>
      </c>
      <c r="U492" s="25"/>
    </row>
    <row r="493" spans="1:21" ht="17" x14ac:dyDescent="0.15">
      <c r="A493" s="2">
        <v>337</v>
      </c>
      <c r="B493" s="8" t="s">
        <v>684</v>
      </c>
      <c r="C493" s="28" t="s">
        <v>685</v>
      </c>
      <c r="D493" s="8" t="s">
        <v>12</v>
      </c>
      <c r="E493" s="2" t="s">
        <v>14</v>
      </c>
      <c r="F493" s="9" t="str">
        <f t="shared" si="45"/>
        <v>RAW-CNS-049</v>
      </c>
      <c r="G493" s="2" t="s">
        <v>13</v>
      </c>
      <c r="H493" t="str">
        <f>IFERROR(VLOOKUP($D493,القوائم!$A$2:$B$4,2,0),"")</f>
        <v>RAW</v>
      </c>
      <c r="I493" t="str">
        <f t="shared" si="46"/>
        <v>CNS</v>
      </c>
      <c r="J493">
        <f>IF($H493="","",IF($N493=0,$Q493,SUMPRODUCT(($O$157:$O$590=$H493)*($P$157:$P$590=$I493)*$Q$157:$Q$590)+COUNTIFS($H$157:$H493,$H493,$I$157:$I493,$I493,$N$157:$N493,1)))</f>
        <v>49</v>
      </c>
      <c r="M493">
        <f>IF($I493="","",COUNTIF($I$5:$I493,$I493))</f>
        <v>50</v>
      </c>
      <c r="N493">
        <f t="shared" si="47"/>
        <v>0</v>
      </c>
      <c r="O493" t="s">
        <v>22</v>
      </c>
      <c r="P493" t="s">
        <v>23</v>
      </c>
      <c r="Q493">
        <v>49</v>
      </c>
      <c r="R493" s="25"/>
      <c r="S493" s="25"/>
      <c r="T493" s="24" t="str">
        <f t="shared" si="48"/>
        <v/>
      </c>
      <c r="U493" s="25"/>
    </row>
    <row r="494" spans="1:21" ht="17" x14ac:dyDescent="0.15">
      <c r="A494" s="2">
        <v>338</v>
      </c>
      <c r="B494" s="8" t="s">
        <v>686</v>
      </c>
      <c r="C494" s="28" t="s">
        <v>687</v>
      </c>
      <c r="D494" s="8" t="s">
        <v>12</v>
      </c>
      <c r="E494" s="2" t="s">
        <v>14</v>
      </c>
      <c r="F494" s="9" t="str">
        <f t="shared" si="45"/>
        <v>RAW-CNS-050</v>
      </c>
      <c r="G494" s="2" t="s">
        <v>13</v>
      </c>
      <c r="H494" t="str">
        <f>IFERROR(VLOOKUP($D494,القوائم!$A$2:$B$4,2,0),"")</f>
        <v>RAW</v>
      </c>
      <c r="I494" t="str">
        <f t="shared" si="46"/>
        <v>CNS</v>
      </c>
      <c r="J494">
        <f>IF($H494="","",IF($N494=0,$Q494,SUMPRODUCT(($O$157:$O$590=$H494)*($P$157:$P$590=$I494)*$Q$157:$Q$590)+COUNTIFS($H$157:$H494,$H494,$I$157:$I494,$I494,$N$157:$N494,1)))</f>
        <v>50</v>
      </c>
      <c r="M494">
        <f>IF($I494="","",COUNTIF($I$5:$I494,$I494))</f>
        <v>51</v>
      </c>
      <c r="N494">
        <f t="shared" si="47"/>
        <v>0</v>
      </c>
      <c r="O494" t="s">
        <v>22</v>
      </c>
      <c r="P494" t="s">
        <v>23</v>
      </c>
      <c r="Q494">
        <v>50</v>
      </c>
      <c r="R494" s="25"/>
      <c r="S494" s="25"/>
      <c r="T494" s="24" t="str">
        <f t="shared" si="48"/>
        <v/>
      </c>
      <c r="U494" s="25"/>
    </row>
    <row r="495" spans="1:21" ht="17" x14ac:dyDescent="0.15">
      <c r="A495" s="2">
        <v>339</v>
      </c>
      <c r="B495" s="8" t="s">
        <v>688</v>
      </c>
      <c r="C495" s="28" t="s">
        <v>689</v>
      </c>
      <c r="D495" s="8" t="s">
        <v>12</v>
      </c>
      <c r="E495" s="2" t="s">
        <v>14</v>
      </c>
      <c r="F495" s="9" t="str">
        <f t="shared" si="45"/>
        <v>RAW-CNS-051</v>
      </c>
      <c r="G495" s="2" t="s">
        <v>13</v>
      </c>
      <c r="H495" t="str">
        <f>IFERROR(VLOOKUP($D495,القوائم!$A$2:$B$4,2,0),"")</f>
        <v>RAW</v>
      </c>
      <c r="I495" t="str">
        <f t="shared" si="46"/>
        <v>CNS</v>
      </c>
      <c r="J495">
        <f>IF($H495="","",IF($N495=0,$Q495,SUMPRODUCT(($O$157:$O$590=$H495)*($P$157:$P$590=$I495)*$Q$157:$Q$590)+COUNTIFS($H$157:$H495,$H495,$I$157:$I495,$I495,$N$157:$N495,1)))</f>
        <v>51</v>
      </c>
      <c r="M495">
        <f>IF($I495="","",COUNTIF($I$5:$I495,$I495))</f>
        <v>52</v>
      </c>
      <c r="N495">
        <f t="shared" si="47"/>
        <v>0</v>
      </c>
      <c r="O495" t="s">
        <v>22</v>
      </c>
      <c r="P495" t="s">
        <v>23</v>
      </c>
      <c r="Q495">
        <v>51</v>
      </c>
      <c r="R495" s="25"/>
      <c r="S495" s="25"/>
      <c r="T495" s="24" t="str">
        <f t="shared" si="48"/>
        <v/>
      </c>
      <c r="U495" s="25"/>
    </row>
    <row r="496" spans="1:21" ht="17" x14ac:dyDescent="0.15">
      <c r="A496" s="2">
        <v>340</v>
      </c>
      <c r="B496" s="8" t="s">
        <v>690</v>
      </c>
      <c r="C496" s="28" t="s">
        <v>691</v>
      </c>
      <c r="D496" s="8" t="s">
        <v>12</v>
      </c>
      <c r="E496" s="2" t="s">
        <v>14</v>
      </c>
      <c r="F496" s="9" t="str">
        <f t="shared" si="45"/>
        <v>RAW-CNS-052</v>
      </c>
      <c r="G496" s="2" t="s">
        <v>13</v>
      </c>
      <c r="H496" t="str">
        <f>IFERROR(VLOOKUP($D496,القوائم!$A$2:$B$4,2,0),"")</f>
        <v>RAW</v>
      </c>
      <c r="I496" t="str">
        <f t="shared" si="46"/>
        <v>CNS</v>
      </c>
      <c r="J496">
        <f>IF($H496="","",IF($N496=0,$Q496,SUMPRODUCT(($O$157:$O$590=$H496)*($P$157:$P$590=$I496)*$Q$157:$Q$590)+COUNTIFS($H$157:$H496,$H496,$I$157:$I496,$I496,$N$157:$N496,1)))</f>
        <v>52</v>
      </c>
      <c r="M496">
        <f>IF($I496="","",COUNTIF($I$5:$I496,$I496))</f>
        <v>53</v>
      </c>
      <c r="N496">
        <f t="shared" si="47"/>
        <v>0</v>
      </c>
      <c r="O496" t="s">
        <v>22</v>
      </c>
      <c r="P496" t="s">
        <v>23</v>
      </c>
      <c r="Q496">
        <v>52</v>
      </c>
      <c r="R496" s="25"/>
      <c r="S496" s="25"/>
      <c r="T496" s="24" t="str">
        <f t="shared" si="48"/>
        <v/>
      </c>
      <c r="U496" s="25"/>
    </row>
    <row r="497" spans="1:21" ht="17" x14ac:dyDescent="0.15">
      <c r="A497" s="2">
        <v>341</v>
      </c>
      <c r="B497" s="8" t="s">
        <v>692</v>
      </c>
      <c r="C497" s="28" t="s">
        <v>693</v>
      </c>
      <c r="D497" s="8" t="s">
        <v>12</v>
      </c>
      <c r="E497" s="2" t="s">
        <v>14</v>
      </c>
      <c r="F497" s="9" t="str">
        <f t="shared" si="45"/>
        <v>RAW-CNS-053</v>
      </c>
      <c r="G497" s="2" t="s">
        <v>13</v>
      </c>
      <c r="H497" t="str">
        <f>IFERROR(VLOOKUP($D497,القوائم!$A$2:$B$4,2,0),"")</f>
        <v>RAW</v>
      </c>
      <c r="I497" t="str">
        <f t="shared" si="46"/>
        <v>CNS</v>
      </c>
      <c r="J497">
        <f>IF($H497="","",IF($N497=0,$Q497,SUMPRODUCT(($O$157:$O$590=$H497)*($P$157:$P$590=$I497)*$Q$157:$Q$590)+COUNTIFS($H$157:$H497,$H497,$I$157:$I497,$I497,$N$157:$N497,1)))</f>
        <v>53</v>
      </c>
      <c r="M497">
        <f>IF($I497="","",COUNTIF($I$5:$I497,$I497))</f>
        <v>54</v>
      </c>
      <c r="N497">
        <f t="shared" si="47"/>
        <v>0</v>
      </c>
      <c r="O497" t="s">
        <v>22</v>
      </c>
      <c r="P497" t="s">
        <v>23</v>
      </c>
      <c r="Q497">
        <v>53</v>
      </c>
      <c r="R497" s="25"/>
      <c r="S497" s="25"/>
      <c r="T497" s="24" t="str">
        <f t="shared" si="48"/>
        <v/>
      </c>
      <c r="U497" s="25"/>
    </row>
    <row r="498" spans="1:21" ht="16" x14ac:dyDescent="0.15">
      <c r="A498" s="2">
        <v>342</v>
      </c>
      <c r="B498" s="8" t="s">
        <v>694</v>
      </c>
      <c r="C498" s="28" t="s">
        <v>695</v>
      </c>
      <c r="D498" s="8" t="s">
        <v>12</v>
      </c>
      <c r="E498" s="2" t="s">
        <v>265</v>
      </c>
      <c r="F498" s="9" t="str">
        <f t="shared" si="45"/>
        <v>RAW-DRY-087</v>
      </c>
      <c r="G498" s="2" t="s">
        <v>355</v>
      </c>
      <c r="H498" t="str">
        <f>IFERROR(VLOOKUP($D498,القوائم!$A$2:$B$4,2,0),"")</f>
        <v>RAW</v>
      </c>
      <c r="I498" t="str">
        <f t="shared" si="46"/>
        <v>DRY</v>
      </c>
      <c r="J498">
        <f>IF($H498="","",IF($N498=0,$Q498,SUMPRODUCT(($O$157:$O$590=$H498)*($P$157:$P$590=$I498)*$Q$157:$Q$590)+COUNTIFS($H$157:$H498,$H498,$I$157:$I498,$I498,$N$157:$N498,1)))</f>
        <v>87</v>
      </c>
      <c r="M498">
        <f>IF($I498="","",COUNTIF($I$5:$I498,$I498))</f>
        <v>89</v>
      </c>
      <c r="N498">
        <f t="shared" si="47"/>
        <v>0</v>
      </c>
      <c r="O498" t="s">
        <v>22</v>
      </c>
      <c r="P498" t="s">
        <v>266</v>
      </c>
      <c r="Q498">
        <v>87</v>
      </c>
      <c r="R498" s="25">
        <v>288</v>
      </c>
      <c r="S498" s="25">
        <v>100</v>
      </c>
      <c r="T498" s="24">
        <f t="shared" si="48"/>
        <v>2.88</v>
      </c>
      <c r="U498" s="25"/>
    </row>
    <row r="499" spans="1:21" ht="16" x14ac:dyDescent="0.15">
      <c r="A499" s="2">
        <v>343</v>
      </c>
      <c r="B499" s="8" t="s">
        <v>696</v>
      </c>
      <c r="C499" s="28" t="s">
        <v>697</v>
      </c>
      <c r="D499" s="8" t="s">
        <v>12</v>
      </c>
      <c r="E499" s="2" t="s">
        <v>137</v>
      </c>
      <c r="F499" s="9" t="str">
        <f t="shared" si="45"/>
        <v>RAW-CHL-039</v>
      </c>
      <c r="G499" s="2" t="s">
        <v>15</v>
      </c>
      <c r="H499" t="str">
        <f>IFERROR(VLOOKUP($D499,القوائم!$A$2:$B$4,2,0),"")</f>
        <v>RAW</v>
      </c>
      <c r="I499" t="str">
        <f t="shared" si="46"/>
        <v>CHL</v>
      </c>
      <c r="J499">
        <f>IF($H499="","",IF($N499=0,$Q499,SUMPRODUCT(($O$157:$O$590=$H499)*($P$157:$P$590=$I499)*$Q$157:$Q$590)+COUNTIFS($H$157:$H499,$H499,$I$157:$I499,$I499,$N$157:$N499,1)))</f>
        <v>39</v>
      </c>
      <c r="M499">
        <f>IF($I499="","",COUNTIF($I$5:$I499,$I499))</f>
        <v>86</v>
      </c>
      <c r="N499">
        <f t="shared" si="47"/>
        <v>0</v>
      </c>
      <c r="O499" t="s">
        <v>22</v>
      </c>
      <c r="P499" t="s">
        <v>139</v>
      </c>
      <c r="Q499">
        <v>39</v>
      </c>
      <c r="R499" s="25">
        <v>16</v>
      </c>
      <c r="S499" s="25">
        <v>100</v>
      </c>
      <c r="T499" s="24">
        <f t="shared" si="48"/>
        <v>0.16</v>
      </c>
      <c r="U499" s="25"/>
    </row>
    <row r="500" spans="1:21" ht="16" x14ac:dyDescent="0.15">
      <c r="A500" s="2">
        <v>344</v>
      </c>
      <c r="B500" s="8" t="s">
        <v>698</v>
      </c>
      <c r="C500" s="28" t="s">
        <v>699</v>
      </c>
      <c r="D500" s="8" t="s">
        <v>12</v>
      </c>
      <c r="E500" s="2" t="s">
        <v>137</v>
      </c>
      <c r="F500" s="9" t="str">
        <f t="shared" si="45"/>
        <v>RAW-CHL-040</v>
      </c>
      <c r="G500" s="2" t="s">
        <v>15</v>
      </c>
      <c r="H500" t="str">
        <f>IFERROR(VLOOKUP($D500,القوائم!$A$2:$B$4,2,0),"")</f>
        <v>RAW</v>
      </c>
      <c r="I500" t="str">
        <f t="shared" si="46"/>
        <v>CHL</v>
      </c>
      <c r="J500">
        <f>IF($H500="","",IF($N500=0,$Q500,SUMPRODUCT(($O$157:$O$590=$H500)*($P$157:$P$590=$I500)*$Q$157:$Q$590)+COUNTIFS($H$157:$H500,$H500,$I$157:$I500,$I500,$N$157:$N500,1)))</f>
        <v>40</v>
      </c>
      <c r="M500">
        <f>IF($I500="","",COUNTIF($I$5:$I500,$I500))</f>
        <v>87</v>
      </c>
      <c r="N500">
        <f t="shared" si="47"/>
        <v>0</v>
      </c>
      <c r="O500" t="s">
        <v>22</v>
      </c>
      <c r="P500" t="s">
        <v>139</v>
      </c>
      <c r="Q500">
        <v>40</v>
      </c>
      <c r="R500" s="25">
        <v>22</v>
      </c>
      <c r="S500" s="25">
        <v>100</v>
      </c>
      <c r="T500" s="24">
        <f t="shared" si="48"/>
        <v>0.22</v>
      </c>
      <c r="U500" s="25"/>
    </row>
    <row r="501" spans="1:21" ht="16" x14ac:dyDescent="0.15">
      <c r="A501" s="2">
        <v>345</v>
      </c>
      <c r="B501" s="8" t="s">
        <v>700</v>
      </c>
      <c r="C501" s="28" t="s">
        <v>701</v>
      </c>
      <c r="D501" s="8" t="s">
        <v>12</v>
      </c>
      <c r="E501" s="2" t="s">
        <v>265</v>
      </c>
      <c r="F501" s="9" t="str">
        <f t="shared" si="45"/>
        <v>RAW-DRY-088</v>
      </c>
      <c r="G501" s="2" t="s">
        <v>15</v>
      </c>
      <c r="H501" t="str">
        <f>IFERROR(VLOOKUP($D501,القوائم!$A$2:$B$4,2,0),"")</f>
        <v>RAW</v>
      </c>
      <c r="I501" t="str">
        <f t="shared" si="46"/>
        <v>DRY</v>
      </c>
      <c r="J501">
        <f>IF($H501="","",IF($N501=0,$Q501,SUMPRODUCT(($O$157:$O$590=$H501)*($P$157:$P$590=$I501)*$Q$157:$Q$590)+COUNTIFS($H$157:$H501,$H501,$I$157:$I501,$I501,$N$157:$N501,1)))</f>
        <v>88</v>
      </c>
      <c r="M501">
        <f>IF($I501="","",COUNTIF($I$5:$I501,$I501))</f>
        <v>90</v>
      </c>
      <c r="N501">
        <f t="shared" si="47"/>
        <v>0</v>
      </c>
      <c r="O501" t="s">
        <v>22</v>
      </c>
      <c r="P501" t="s">
        <v>266</v>
      </c>
      <c r="Q501">
        <v>88</v>
      </c>
      <c r="R501" s="25">
        <v>318</v>
      </c>
      <c r="S501" s="25">
        <v>100</v>
      </c>
      <c r="T501" s="24">
        <f t="shared" si="48"/>
        <v>3.18</v>
      </c>
      <c r="U501" s="25"/>
    </row>
    <row r="502" spans="1:21" ht="16" x14ac:dyDescent="0.15">
      <c r="A502" s="2">
        <v>346</v>
      </c>
      <c r="B502" s="8" t="s">
        <v>702</v>
      </c>
      <c r="C502" s="28" t="s">
        <v>701</v>
      </c>
      <c r="D502" s="8" t="s">
        <v>12</v>
      </c>
      <c r="E502" s="2" t="s">
        <v>265</v>
      </c>
      <c r="F502" s="9" t="str">
        <f t="shared" si="45"/>
        <v>RAW-DRY-089</v>
      </c>
      <c r="G502" s="2" t="s">
        <v>15</v>
      </c>
      <c r="H502" t="str">
        <f>IFERROR(VLOOKUP($D502,القوائم!$A$2:$B$4,2,0),"")</f>
        <v>RAW</v>
      </c>
      <c r="I502" t="str">
        <f t="shared" si="46"/>
        <v>DRY</v>
      </c>
      <c r="J502">
        <f>IF($H502="","",IF($N502=0,$Q502,SUMPRODUCT(($O$157:$O$590=$H502)*($P$157:$P$590=$I502)*$Q$157:$Q$590)+COUNTIFS($H$157:$H502,$H502,$I$157:$I502,$I502,$N$157:$N502,1)))</f>
        <v>89</v>
      </c>
      <c r="M502">
        <f>IF($I502="","",COUNTIF($I$5:$I502,$I502))</f>
        <v>91</v>
      </c>
      <c r="N502">
        <f t="shared" si="47"/>
        <v>0</v>
      </c>
      <c r="O502" t="s">
        <v>22</v>
      </c>
      <c r="P502" t="s">
        <v>266</v>
      </c>
      <c r="Q502">
        <v>89</v>
      </c>
      <c r="R502" s="25">
        <v>251</v>
      </c>
      <c r="S502" s="25">
        <v>100</v>
      </c>
      <c r="T502" s="24">
        <f t="shared" si="48"/>
        <v>2.5099999999999998</v>
      </c>
      <c r="U502" s="25"/>
    </row>
    <row r="503" spans="1:21" ht="16" x14ac:dyDescent="0.15">
      <c r="A503" s="2">
        <v>347</v>
      </c>
      <c r="B503" s="8" t="s">
        <v>703</v>
      </c>
      <c r="C503" s="28" t="s">
        <v>701</v>
      </c>
      <c r="D503" s="8" t="s">
        <v>12</v>
      </c>
      <c r="E503" s="2" t="s">
        <v>137</v>
      </c>
      <c r="F503" s="9" t="str">
        <f t="shared" si="45"/>
        <v>RAW-CHL-041</v>
      </c>
      <c r="G503" s="2" t="s">
        <v>15</v>
      </c>
      <c r="H503" t="str">
        <f>IFERROR(VLOOKUP($D503,القوائم!$A$2:$B$4,2,0),"")</f>
        <v>RAW</v>
      </c>
      <c r="I503" t="str">
        <f t="shared" si="46"/>
        <v>CHL</v>
      </c>
      <c r="J503">
        <f>IF($H503="","",IF($N503=0,$Q503,SUMPRODUCT(($O$157:$O$590=$H503)*($P$157:$P$590=$I503)*$Q$157:$Q$590)+COUNTIFS($H$157:$H503,$H503,$I$157:$I503,$I503,$N$157:$N503,1)))</f>
        <v>41</v>
      </c>
      <c r="M503">
        <f>IF($I503="","",COUNTIF($I$5:$I503,$I503))</f>
        <v>88</v>
      </c>
      <c r="N503">
        <f t="shared" si="47"/>
        <v>0</v>
      </c>
      <c r="O503" t="s">
        <v>22</v>
      </c>
      <c r="P503" t="s">
        <v>139</v>
      </c>
      <c r="Q503">
        <v>41</v>
      </c>
      <c r="R503" s="25">
        <v>30</v>
      </c>
      <c r="S503" s="25">
        <v>100</v>
      </c>
      <c r="T503" s="24">
        <f t="shared" si="48"/>
        <v>0.3</v>
      </c>
      <c r="U503" s="25"/>
    </row>
    <row r="504" spans="1:21" ht="16" x14ac:dyDescent="0.15">
      <c r="A504" s="2">
        <v>348</v>
      </c>
      <c r="B504" s="8" t="s">
        <v>704</v>
      </c>
      <c r="C504" s="28" t="s">
        <v>701</v>
      </c>
      <c r="D504" s="8" t="s">
        <v>12</v>
      </c>
      <c r="E504" s="2" t="s">
        <v>137</v>
      </c>
      <c r="F504" s="9" t="str">
        <f t="shared" si="45"/>
        <v>RAW-CHL-042</v>
      </c>
      <c r="G504" s="2" t="s">
        <v>15</v>
      </c>
      <c r="H504" t="str">
        <f>IFERROR(VLOOKUP($D504,القوائم!$A$2:$B$4,2,0),"")</f>
        <v>RAW</v>
      </c>
      <c r="I504" t="str">
        <f t="shared" si="46"/>
        <v>CHL</v>
      </c>
      <c r="J504">
        <f>IF($H504="","",IF($N504=0,$Q504,SUMPRODUCT(($O$157:$O$590=$H504)*($P$157:$P$590=$I504)*$Q$157:$Q$590)+COUNTIFS($H$157:$H504,$H504,$I$157:$I504,$I504,$N$157:$N504,1)))</f>
        <v>42</v>
      </c>
      <c r="M504">
        <f>IF($I504="","",COUNTIF($I$5:$I504,$I504))</f>
        <v>89</v>
      </c>
      <c r="N504">
        <f t="shared" si="47"/>
        <v>0</v>
      </c>
      <c r="O504" t="s">
        <v>22</v>
      </c>
      <c r="P504" t="s">
        <v>139</v>
      </c>
      <c r="Q504">
        <v>42</v>
      </c>
      <c r="R504" s="25">
        <v>20</v>
      </c>
      <c r="S504" s="25">
        <v>100</v>
      </c>
      <c r="T504" s="24">
        <f t="shared" si="48"/>
        <v>0.2</v>
      </c>
      <c r="U504" s="25"/>
    </row>
    <row r="505" spans="1:21" ht="16" x14ac:dyDescent="0.15">
      <c r="A505" s="2">
        <v>349</v>
      </c>
      <c r="B505" s="8" t="s">
        <v>705</v>
      </c>
      <c r="C505" s="28" t="s">
        <v>706</v>
      </c>
      <c r="D505" s="8" t="s">
        <v>12</v>
      </c>
      <c r="E505" s="2" t="s">
        <v>265</v>
      </c>
      <c r="F505" s="9" t="str">
        <f t="shared" si="45"/>
        <v>RAW-DRY-090</v>
      </c>
      <c r="G505" s="2" t="s">
        <v>15</v>
      </c>
      <c r="H505" t="str">
        <f>IFERROR(VLOOKUP($D505,القوائم!$A$2:$B$4,2,0),"")</f>
        <v>RAW</v>
      </c>
      <c r="I505" t="str">
        <f t="shared" si="46"/>
        <v>DRY</v>
      </c>
      <c r="J505">
        <f>IF($H505="","",IF($N505=0,$Q505,SUMPRODUCT(($O$157:$O$590=$H505)*($P$157:$P$590=$I505)*$Q$157:$Q$590)+COUNTIFS($H$157:$H505,$H505,$I$157:$I505,$I505,$N$157:$N505,1)))</f>
        <v>90</v>
      </c>
      <c r="M505">
        <f>IF($I505="","",COUNTIF($I$5:$I505,$I505))</f>
        <v>92</v>
      </c>
      <c r="N505">
        <f t="shared" si="47"/>
        <v>0</v>
      </c>
      <c r="O505" t="s">
        <v>22</v>
      </c>
      <c r="P505" t="s">
        <v>266</v>
      </c>
      <c r="Q505">
        <v>90</v>
      </c>
      <c r="R505" s="25">
        <v>370</v>
      </c>
      <c r="S505" s="25">
        <v>100</v>
      </c>
      <c r="T505" s="24">
        <f t="shared" si="48"/>
        <v>3.7</v>
      </c>
      <c r="U505" s="25"/>
    </row>
    <row r="506" spans="1:21" ht="17" x14ac:dyDescent="0.15">
      <c r="A506" s="2">
        <v>350</v>
      </c>
      <c r="B506" s="8" t="s">
        <v>707</v>
      </c>
      <c r="C506" s="28" t="s">
        <v>708</v>
      </c>
      <c r="D506" s="8" t="s">
        <v>12</v>
      </c>
      <c r="E506" s="2" t="s">
        <v>14</v>
      </c>
      <c r="F506" s="9" t="str">
        <f t="shared" si="45"/>
        <v>RAW-CNS-054</v>
      </c>
      <c r="G506" s="2" t="s">
        <v>13</v>
      </c>
      <c r="H506" t="str">
        <f>IFERROR(VLOOKUP($D506,القوائم!$A$2:$B$4,2,0),"")</f>
        <v>RAW</v>
      </c>
      <c r="I506" t="str">
        <f t="shared" si="46"/>
        <v>CNS</v>
      </c>
      <c r="J506">
        <f>IF($H506="","",IF($N506=0,$Q506,SUMPRODUCT(($O$157:$O$590=$H506)*($P$157:$P$590=$I506)*$Q$157:$Q$590)+COUNTIFS($H$157:$H506,$H506,$I$157:$I506,$I506,$N$157:$N506,1)))</f>
        <v>54</v>
      </c>
      <c r="M506">
        <f>IF($I506="","",COUNTIF($I$5:$I506,$I506))</f>
        <v>55</v>
      </c>
      <c r="N506">
        <f t="shared" si="47"/>
        <v>0</v>
      </c>
      <c r="O506" t="s">
        <v>22</v>
      </c>
      <c r="P506" t="s">
        <v>23</v>
      </c>
      <c r="Q506">
        <v>54</v>
      </c>
      <c r="R506" s="25"/>
      <c r="S506" s="25"/>
      <c r="T506" s="24" t="str">
        <f t="shared" si="48"/>
        <v/>
      </c>
      <c r="U506" s="25"/>
    </row>
    <row r="507" spans="1:21" ht="17" x14ac:dyDescent="0.15">
      <c r="A507" s="2">
        <v>351</v>
      </c>
      <c r="B507" s="8" t="s">
        <v>709</v>
      </c>
      <c r="C507" s="28" t="s">
        <v>710</v>
      </c>
      <c r="D507" s="8" t="s">
        <v>12</v>
      </c>
      <c r="E507" s="2" t="s">
        <v>14</v>
      </c>
      <c r="F507" s="9" t="str">
        <f t="shared" si="45"/>
        <v>RAW-CNS-055</v>
      </c>
      <c r="G507" s="2" t="s">
        <v>13</v>
      </c>
      <c r="H507" t="str">
        <f>IFERROR(VLOOKUP($D507,القوائم!$A$2:$B$4,2,0),"")</f>
        <v>RAW</v>
      </c>
      <c r="I507" t="str">
        <f t="shared" si="46"/>
        <v>CNS</v>
      </c>
      <c r="J507">
        <f>IF($H507="","",IF($N507=0,$Q507,SUMPRODUCT(($O$157:$O$590=$H507)*($P$157:$P$590=$I507)*$Q$157:$Q$590)+COUNTIFS($H$157:$H507,$H507,$I$157:$I507,$I507,$N$157:$N507,1)))</f>
        <v>55</v>
      </c>
      <c r="M507">
        <f>IF($I507="","",COUNTIF($I$5:$I507,$I507))</f>
        <v>56</v>
      </c>
      <c r="N507">
        <f t="shared" si="47"/>
        <v>0</v>
      </c>
      <c r="O507" t="s">
        <v>22</v>
      </c>
      <c r="P507" t="s">
        <v>23</v>
      </c>
      <c r="Q507">
        <v>55</v>
      </c>
      <c r="R507" s="25"/>
      <c r="S507" s="25"/>
      <c r="T507" s="24" t="str">
        <f t="shared" si="48"/>
        <v/>
      </c>
      <c r="U507" s="25"/>
    </row>
    <row r="508" spans="1:21" ht="16" x14ac:dyDescent="0.15">
      <c r="A508" s="2">
        <v>352</v>
      </c>
      <c r="B508" s="8" t="s">
        <v>711</v>
      </c>
      <c r="C508" s="28" t="s">
        <v>712</v>
      </c>
      <c r="D508" s="8" t="s">
        <v>12</v>
      </c>
      <c r="E508" s="2" t="s">
        <v>265</v>
      </c>
      <c r="F508" s="9" t="str">
        <f t="shared" si="45"/>
        <v>RAW-DRY-091</v>
      </c>
      <c r="G508" s="2" t="s">
        <v>15</v>
      </c>
      <c r="H508" t="str">
        <f>IFERROR(VLOOKUP($D508,القوائم!$A$2:$B$4,2,0),"")</f>
        <v>RAW</v>
      </c>
      <c r="I508" t="str">
        <f t="shared" si="46"/>
        <v>DRY</v>
      </c>
      <c r="J508">
        <f>IF($H508="","",IF($N508=0,$Q508,SUMPRODUCT(($O$157:$O$590=$H508)*($P$157:$P$590=$I508)*$Q$157:$Q$590)+COUNTIFS($H$157:$H508,$H508,$I$157:$I508,$I508,$N$157:$N508,1)))</f>
        <v>91</v>
      </c>
      <c r="M508">
        <f>IF($I508="","",COUNTIF($I$5:$I508,$I508))</f>
        <v>93</v>
      </c>
      <c r="N508">
        <f t="shared" si="47"/>
        <v>0</v>
      </c>
      <c r="O508" t="s">
        <v>22</v>
      </c>
      <c r="P508" t="s">
        <v>266</v>
      </c>
      <c r="Q508">
        <v>91</v>
      </c>
      <c r="R508" s="25">
        <v>274</v>
      </c>
      <c r="S508" s="25">
        <v>100</v>
      </c>
      <c r="T508" s="24">
        <f t="shared" si="48"/>
        <v>2.74</v>
      </c>
      <c r="U508" s="25"/>
    </row>
    <row r="509" spans="1:21" ht="16" x14ac:dyDescent="0.15">
      <c r="A509" s="2">
        <v>353</v>
      </c>
      <c r="B509" s="8" t="s">
        <v>713</v>
      </c>
      <c r="C509" s="28" t="s">
        <v>714</v>
      </c>
      <c r="D509" s="8" t="s">
        <v>12</v>
      </c>
      <c r="E509" s="2" t="s">
        <v>137</v>
      </c>
      <c r="F509" s="9" t="str">
        <f t="shared" si="45"/>
        <v>RAW-CHL-043</v>
      </c>
      <c r="G509" s="2" t="s">
        <v>15</v>
      </c>
      <c r="H509" t="str">
        <f>IFERROR(VLOOKUP($D509,القوائم!$A$2:$B$4,2,0),"")</f>
        <v>RAW</v>
      </c>
      <c r="I509" t="str">
        <f t="shared" si="46"/>
        <v>CHL</v>
      </c>
      <c r="J509">
        <f>IF($H509="","",IF($N509=0,$Q509,SUMPRODUCT(($O$157:$O$590=$H509)*($P$157:$P$590=$I509)*$Q$157:$Q$590)+COUNTIFS($H$157:$H509,$H509,$I$157:$I509,$I509,$N$157:$N509,1)))</f>
        <v>43</v>
      </c>
      <c r="M509">
        <f>IF($I509="","",COUNTIF($I$5:$I509,$I509))</f>
        <v>90</v>
      </c>
      <c r="N509">
        <f t="shared" si="47"/>
        <v>0</v>
      </c>
      <c r="O509" t="s">
        <v>22</v>
      </c>
      <c r="P509" t="s">
        <v>139</v>
      </c>
      <c r="Q509">
        <v>43</v>
      </c>
      <c r="R509" s="25">
        <v>80</v>
      </c>
      <c r="S509" s="25">
        <v>100</v>
      </c>
      <c r="T509" s="24">
        <f t="shared" si="48"/>
        <v>0.8</v>
      </c>
      <c r="U509" s="25"/>
    </row>
    <row r="510" spans="1:21" ht="16" x14ac:dyDescent="0.15">
      <c r="A510" s="2">
        <v>354</v>
      </c>
      <c r="B510" s="8" t="s">
        <v>715</v>
      </c>
      <c r="C510" s="28" t="s">
        <v>716</v>
      </c>
      <c r="D510" s="8" t="s">
        <v>12</v>
      </c>
      <c r="E510" s="2" t="s">
        <v>137</v>
      </c>
      <c r="F510" s="9" t="str">
        <f t="shared" si="45"/>
        <v>RAW-CHL-044</v>
      </c>
      <c r="G510" s="2" t="s">
        <v>15</v>
      </c>
      <c r="H510" t="str">
        <f>IFERROR(VLOOKUP($D510,القوائم!$A$2:$B$4,2,0),"")</f>
        <v>RAW</v>
      </c>
      <c r="I510" t="str">
        <f t="shared" si="46"/>
        <v>CHL</v>
      </c>
      <c r="J510">
        <f>IF($H510="","",IF($N510=0,$Q510,SUMPRODUCT(($O$157:$O$590=$H510)*($P$157:$P$590=$I510)*$Q$157:$Q$590)+COUNTIFS($H$157:$H510,$H510,$I$157:$I510,$I510,$N$157:$N510,1)))</f>
        <v>44</v>
      </c>
      <c r="M510">
        <f>IF($I510="","",COUNTIF($I$5:$I510,$I510))</f>
        <v>91</v>
      </c>
      <c r="N510">
        <f t="shared" si="47"/>
        <v>0</v>
      </c>
      <c r="O510" t="s">
        <v>22</v>
      </c>
      <c r="P510" t="s">
        <v>139</v>
      </c>
      <c r="Q510">
        <v>44</v>
      </c>
      <c r="R510" s="25">
        <v>97</v>
      </c>
      <c r="S510" s="25">
        <v>100</v>
      </c>
      <c r="T510" s="24">
        <f t="shared" si="48"/>
        <v>0.97</v>
      </c>
      <c r="U510" s="25"/>
    </row>
    <row r="511" spans="1:21" ht="17" x14ac:dyDescent="0.15">
      <c r="A511" s="2">
        <v>355</v>
      </c>
      <c r="B511" s="8" t="s">
        <v>717</v>
      </c>
      <c r="C511" s="28" t="s">
        <v>718</v>
      </c>
      <c r="D511" s="8" t="s">
        <v>12</v>
      </c>
      <c r="E511" s="2" t="s">
        <v>14</v>
      </c>
      <c r="F511" s="9" t="str">
        <f t="shared" si="45"/>
        <v>RAW-CNS-056</v>
      </c>
      <c r="G511" s="2" t="s">
        <v>13</v>
      </c>
      <c r="H511" t="str">
        <f>IFERROR(VLOOKUP($D511,القوائم!$A$2:$B$4,2,0),"")</f>
        <v>RAW</v>
      </c>
      <c r="I511" t="str">
        <f t="shared" si="46"/>
        <v>CNS</v>
      </c>
      <c r="J511">
        <f>IF($H511="","",IF($N511=0,$Q511,SUMPRODUCT(($O$157:$O$590=$H511)*($P$157:$P$590=$I511)*$Q$157:$Q$590)+COUNTIFS($H$157:$H511,$H511,$I$157:$I511,$I511,$N$157:$N511,1)))</f>
        <v>56</v>
      </c>
      <c r="M511">
        <f>IF($I511="","",COUNTIF($I$5:$I511,$I511))</f>
        <v>57</v>
      </c>
      <c r="N511">
        <f t="shared" si="47"/>
        <v>0</v>
      </c>
      <c r="O511" t="s">
        <v>22</v>
      </c>
      <c r="P511" t="s">
        <v>23</v>
      </c>
      <c r="Q511">
        <v>56</v>
      </c>
      <c r="R511" s="25"/>
      <c r="S511" s="25"/>
      <c r="T511" s="24" t="str">
        <f t="shared" si="48"/>
        <v/>
      </c>
      <c r="U511" s="25"/>
    </row>
    <row r="512" spans="1:21" ht="17" x14ac:dyDescent="0.15">
      <c r="A512" s="2">
        <v>356</v>
      </c>
      <c r="B512" s="8" t="s">
        <v>719</v>
      </c>
      <c r="C512" s="28" t="s">
        <v>718</v>
      </c>
      <c r="D512" s="8" t="s">
        <v>12</v>
      </c>
      <c r="E512" s="2" t="s">
        <v>14</v>
      </c>
      <c r="F512" s="9" t="str">
        <f t="shared" si="45"/>
        <v>RAW-CNS-057</v>
      </c>
      <c r="G512" s="2" t="s">
        <v>13</v>
      </c>
      <c r="H512" t="str">
        <f>IFERROR(VLOOKUP($D512,القوائم!$A$2:$B$4,2,0),"")</f>
        <v>RAW</v>
      </c>
      <c r="I512" t="str">
        <f t="shared" si="46"/>
        <v>CNS</v>
      </c>
      <c r="J512">
        <f>IF($H512="","",IF($N512=0,$Q512,SUMPRODUCT(($O$157:$O$590=$H512)*($P$157:$P$590=$I512)*$Q$157:$Q$590)+COUNTIFS($H$157:$H512,$H512,$I$157:$I512,$I512,$N$157:$N512,1)))</f>
        <v>57</v>
      </c>
      <c r="M512">
        <f>IF($I512="","",COUNTIF($I$5:$I512,$I512))</f>
        <v>58</v>
      </c>
      <c r="N512">
        <f t="shared" si="47"/>
        <v>0</v>
      </c>
      <c r="O512" t="s">
        <v>22</v>
      </c>
      <c r="P512" t="s">
        <v>23</v>
      </c>
      <c r="Q512">
        <v>57</v>
      </c>
      <c r="R512" s="25"/>
      <c r="S512" s="25"/>
      <c r="T512" s="24" t="str">
        <f t="shared" si="48"/>
        <v/>
      </c>
      <c r="U512" s="25"/>
    </row>
    <row r="513" spans="1:21" ht="16" x14ac:dyDescent="0.15">
      <c r="A513" s="2">
        <v>357</v>
      </c>
      <c r="B513" s="8" t="s">
        <v>720</v>
      </c>
      <c r="C513" s="28" t="s">
        <v>721</v>
      </c>
      <c r="D513" s="8" t="s">
        <v>12</v>
      </c>
      <c r="E513" s="2" t="s">
        <v>265</v>
      </c>
      <c r="F513" s="9" t="str">
        <f t="shared" si="45"/>
        <v>RAW-DRY-092</v>
      </c>
      <c r="G513" s="2" t="s">
        <v>13</v>
      </c>
      <c r="H513" t="str">
        <f>IFERROR(VLOOKUP($D513,القوائم!$A$2:$B$4,2,0),"")</f>
        <v>RAW</v>
      </c>
      <c r="I513" t="str">
        <f t="shared" si="46"/>
        <v>DRY</v>
      </c>
      <c r="J513">
        <f>IF($H513="","",IF($N513=0,$Q513,SUMPRODUCT(($O$157:$O$590=$H513)*($P$157:$P$590=$I513)*$Q$157:$Q$590)+COUNTIFS($H$157:$H513,$H513,$I$157:$I513,$I513,$N$157:$N513,1)))</f>
        <v>92</v>
      </c>
      <c r="M513">
        <f>IF($I513="","",COUNTIF($I$5:$I513,$I513))</f>
        <v>94</v>
      </c>
      <c r="N513">
        <f t="shared" si="47"/>
        <v>0</v>
      </c>
      <c r="O513" t="s">
        <v>22</v>
      </c>
      <c r="P513" t="s">
        <v>266</v>
      </c>
      <c r="Q513">
        <v>92</v>
      </c>
      <c r="R513" s="25">
        <v>100</v>
      </c>
      <c r="S513" s="25">
        <v>100</v>
      </c>
      <c r="T513" s="24">
        <f t="shared" si="48"/>
        <v>1</v>
      </c>
      <c r="U513" s="25"/>
    </row>
    <row r="514" spans="1:21" ht="16" x14ac:dyDescent="0.15">
      <c r="A514" s="2">
        <v>358</v>
      </c>
      <c r="B514" s="8" t="s">
        <v>722</v>
      </c>
      <c r="C514" s="28" t="s">
        <v>721</v>
      </c>
      <c r="D514" s="8" t="s">
        <v>12</v>
      </c>
      <c r="E514" s="2" t="s">
        <v>265</v>
      </c>
      <c r="F514" s="9" t="str">
        <f t="shared" si="45"/>
        <v>RAW-DRY-093</v>
      </c>
      <c r="G514" s="2" t="s">
        <v>13</v>
      </c>
      <c r="H514" t="str">
        <f>IFERROR(VLOOKUP($D514,القوائم!$A$2:$B$4,2,0),"")</f>
        <v>RAW</v>
      </c>
      <c r="I514" t="str">
        <f t="shared" si="46"/>
        <v>DRY</v>
      </c>
      <c r="J514">
        <f>IF($H514="","",IF($N514=0,$Q514,SUMPRODUCT(($O$157:$O$590=$H514)*($P$157:$P$590=$I514)*$Q$157:$Q$590)+COUNTIFS($H$157:$H514,$H514,$I$157:$I514,$I514,$N$157:$N514,1)))</f>
        <v>93</v>
      </c>
      <c r="M514">
        <f>IF($I514="","",COUNTIF($I$5:$I514,$I514))</f>
        <v>95</v>
      </c>
      <c r="N514">
        <f t="shared" si="47"/>
        <v>0</v>
      </c>
      <c r="O514" t="s">
        <v>22</v>
      </c>
      <c r="P514" t="s">
        <v>266</v>
      </c>
      <c r="Q514">
        <v>93</v>
      </c>
      <c r="R514" s="25">
        <v>100</v>
      </c>
      <c r="S514" s="25">
        <v>100</v>
      </c>
      <c r="T514" s="24">
        <f t="shared" si="48"/>
        <v>1</v>
      </c>
      <c r="U514" s="25"/>
    </row>
    <row r="515" spans="1:21" ht="17" x14ac:dyDescent="0.15">
      <c r="A515" s="2">
        <v>359</v>
      </c>
      <c r="B515" s="8" t="s">
        <v>723</v>
      </c>
      <c r="C515" s="28" t="s">
        <v>724</v>
      </c>
      <c r="D515" s="8" t="s">
        <v>12</v>
      </c>
      <c r="E515" s="2" t="s">
        <v>14</v>
      </c>
      <c r="F515" s="9" t="str">
        <f t="shared" si="45"/>
        <v>RAW-CNS-058</v>
      </c>
      <c r="G515" s="2" t="s">
        <v>13</v>
      </c>
      <c r="H515" t="str">
        <f>IFERROR(VLOOKUP($D515,القوائم!$A$2:$B$4,2,0),"")</f>
        <v>RAW</v>
      </c>
      <c r="I515" t="str">
        <f t="shared" si="46"/>
        <v>CNS</v>
      </c>
      <c r="J515">
        <f>IF($H515="","",IF($N515=0,$Q515,SUMPRODUCT(($O$157:$O$590=$H515)*($P$157:$P$590=$I515)*$Q$157:$Q$590)+COUNTIFS($H$157:$H515,$H515,$I$157:$I515,$I515,$N$157:$N515,1)))</f>
        <v>58</v>
      </c>
      <c r="M515">
        <f>IF($I515="","",COUNTIF($I$5:$I515,$I515))</f>
        <v>59</v>
      </c>
      <c r="N515">
        <f t="shared" si="47"/>
        <v>0</v>
      </c>
      <c r="O515" t="s">
        <v>22</v>
      </c>
      <c r="P515" t="s">
        <v>23</v>
      </c>
      <c r="Q515">
        <v>58</v>
      </c>
      <c r="R515" s="25"/>
      <c r="S515" s="25"/>
      <c r="T515" s="24" t="str">
        <f t="shared" si="48"/>
        <v/>
      </c>
      <c r="U515" s="25"/>
    </row>
    <row r="516" spans="1:21" ht="17" x14ac:dyDescent="0.15">
      <c r="A516" s="2">
        <v>360</v>
      </c>
      <c r="B516" s="8" t="s">
        <v>725</v>
      </c>
      <c r="C516" s="28" t="s">
        <v>726</v>
      </c>
      <c r="D516" s="8" t="s">
        <v>12</v>
      </c>
      <c r="E516" s="2" t="s">
        <v>14</v>
      </c>
      <c r="F516" s="9" t="str">
        <f t="shared" si="45"/>
        <v>RAW-CNS-059</v>
      </c>
      <c r="G516" s="2" t="s">
        <v>13</v>
      </c>
      <c r="H516" t="str">
        <f>IFERROR(VLOOKUP($D516,القوائم!$A$2:$B$4,2,0),"")</f>
        <v>RAW</v>
      </c>
      <c r="I516" t="str">
        <f t="shared" si="46"/>
        <v>CNS</v>
      </c>
      <c r="J516">
        <f>IF($H516="","",IF($N516=0,$Q516,SUMPRODUCT(($O$157:$O$590=$H516)*($P$157:$P$590=$I516)*$Q$157:$Q$590)+COUNTIFS($H$157:$H516,$H516,$I$157:$I516,$I516,$N$157:$N516,1)))</f>
        <v>59</v>
      </c>
      <c r="M516">
        <f>IF($I516="","",COUNTIF($I$5:$I516,$I516))</f>
        <v>60</v>
      </c>
      <c r="N516">
        <f t="shared" si="47"/>
        <v>0</v>
      </c>
      <c r="O516" t="s">
        <v>22</v>
      </c>
      <c r="P516" t="s">
        <v>23</v>
      </c>
      <c r="Q516">
        <v>59</v>
      </c>
      <c r="R516" s="25"/>
      <c r="S516" s="25"/>
      <c r="T516" s="24" t="str">
        <f t="shared" si="48"/>
        <v/>
      </c>
      <c r="U516" s="25"/>
    </row>
    <row r="517" spans="1:21" ht="17" x14ac:dyDescent="0.15">
      <c r="A517" s="2">
        <v>361</v>
      </c>
      <c r="B517" s="8" t="s">
        <v>727</v>
      </c>
      <c r="C517" s="28" t="s">
        <v>728</v>
      </c>
      <c r="D517" s="8" t="s">
        <v>12</v>
      </c>
      <c r="E517" s="2" t="s">
        <v>14</v>
      </c>
      <c r="F517" s="9" t="str">
        <f t="shared" si="45"/>
        <v>RAW-CNS-060</v>
      </c>
      <c r="G517" s="2" t="s">
        <v>13</v>
      </c>
      <c r="H517" t="str">
        <f>IFERROR(VLOOKUP($D517,القوائم!$A$2:$B$4,2,0),"")</f>
        <v>RAW</v>
      </c>
      <c r="I517" t="str">
        <f t="shared" si="46"/>
        <v>CNS</v>
      </c>
      <c r="J517">
        <f>IF($H517="","",IF($N517=0,$Q517,SUMPRODUCT(($O$157:$O$590=$H517)*($P$157:$P$590=$I517)*$Q$157:$Q$590)+COUNTIFS($H$157:$H517,$H517,$I$157:$I517,$I517,$N$157:$N517,1)))</f>
        <v>60</v>
      </c>
      <c r="M517">
        <f>IF($I517="","",COUNTIF($I$5:$I517,$I517))</f>
        <v>61</v>
      </c>
      <c r="N517">
        <f t="shared" si="47"/>
        <v>0</v>
      </c>
      <c r="O517" t="s">
        <v>22</v>
      </c>
      <c r="P517" t="s">
        <v>23</v>
      </c>
      <c r="Q517">
        <v>60</v>
      </c>
      <c r="R517" s="25"/>
      <c r="S517" s="25"/>
      <c r="T517" s="24" t="str">
        <f t="shared" si="48"/>
        <v/>
      </c>
      <c r="U517" s="25"/>
    </row>
    <row r="518" spans="1:21" ht="16" x14ac:dyDescent="0.15">
      <c r="A518" s="2">
        <v>362</v>
      </c>
      <c r="B518" s="8" t="s">
        <v>729</v>
      </c>
      <c r="C518" s="28" t="s">
        <v>730</v>
      </c>
      <c r="D518" s="8" t="s">
        <v>12</v>
      </c>
      <c r="E518" s="2" t="s">
        <v>265</v>
      </c>
      <c r="F518" s="9" t="str">
        <f t="shared" si="45"/>
        <v>RAW-DRY-094</v>
      </c>
      <c r="G518" s="2" t="s">
        <v>15</v>
      </c>
      <c r="H518" t="str">
        <f>IFERROR(VLOOKUP($D518,القوائم!$A$2:$B$4,2,0),"")</f>
        <v>RAW</v>
      </c>
      <c r="I518" t="str">
        <f t="shared" si="46"/>
        <v>DRY</v>
      </c>
      <c r="J518">
        <f>IF($H518="","",IF($N518=0,$Q518,SUMPRODUCT(($O$157:$O$590=$H518)*($P$157:$P$590=$I518)*$Q$157:$Q$590)+COUNTIFS($H$157:$H518,$H518,$I$157:$I518,$I518,$N$157:$N518,1)))</f>
        <v>94</v>
      </c>
      <c r="M518">
        <f>IF($I518="","",COUNTIF($I$5:$I518,$I518))</f>
        <v>96</v>
      </c>
      <c r="N518">
        <f t="shared" si="47"/>
        <v>0</v>
      </c>
      <c r="O518" t="s">
        <v>22</v>
      </c>
      <c r="P518" t="s">
        <v>266</v>
      </c>
      <c r="Q518">
        <v>94</v>
      </c>
      <c r="R518" s="25">
        <v>370</v>
      </c>
      <c r="S518" s="25">
        <v>100</v>
      </c>
      <c r="T518" s="24">
        <f t="shared" si="48"/>
        <v>3.7</v>
      </c>
      <c r="U518" s="25"/>
    </row>
    <row r="519" spans="1:21" ht="16" x14ac:dyDescent="0.15">
      <c r="A519" s="2">
        <v>363</v>
      </c>
      <c r="B519" s="8" t="s">
        <v>731</v>
      </c>
      <c r="C519" s="28" t="s">
        <v>732</v>
      </c>
      <c r="D519" s="8" t="s">
        <v>12</v>
      </c>
      <c r="E519" s="2" t="s">
        <v>265</v>
      </c>
      <c r="F519" s="9" t="str">
        <f t="shared" si="45"/>
        <v>RAW-DRY-095</v>
      </c>
      <c r="G519" s="2" t="s">
        <v>15</v>
      </c>
      <c r="H519" t="str">
        <f>IFERROR(VLOOKUP($D519,القوائم!$A$2:$B$4,2,0),"")</f>
        <v>RAW</v>
      </c>
      <c r="I519" t="str">
        <f t="shared" si="46"/>
        <v>DRY</v>
      </c>
      <c r="J519">
        <f>IF($H519="","",IF($N519=0,$Q519,SUMPRODUCT(($O$157:$O$590=$H519)*($P$157:$P$590=$I519)*$Q$157:$Q$590)+COUNTIFS($H$157:$H519,$H519,$I$157:$I519,$I519,$N$157:$N519,1)))</f>
        <v>95</v>
      </c>
      <c r="M519">
        <f>IF($I519="","",COUNTIF($I$5:$I519,$I519))</f>
        <v>97</v>
      </c>
      <c r="N519">
        <f t="shared" si="47"/>
        <v>0</v>
      </c>
      <c r="O519" t="s">
        <v>22</v>
      </c>
      <c r="P519" t="s">
        <v>266</v>
      </c>
      <c r="Q519">
        <v>95</v>
      </c>
      <c r="R519" s="25">
        <v>370</v>
      </c>
      <c r="S519" s="25">
        <v>100</v>
      </c>
      <c r="T519" s="24">
        <f t="shared" si="48"/>
        <v>3.7</v>
      </c>
      <c r="U519" s="25"/>
    </row>
    <row r="520" spans="1:21" ht="16" x14ac:dyDescent="0.15">
      <c r="A520" s="2">
        <v>364</v>
      </c>
      <c r="B520" s="8" t="s">
        <v>733</v>
      </c>
      <c r="C520" s="28" t="s">
        <v>734</v>
      </c>
      <c r="D520" s="8" t="s">
        <v>12</v>
      </c>
      <c r="E520" s="2" t="s">
        <v>137</v>
      </c>
      <c r="F520" s="9" t="str">
        <f t="shared" si="45"/>
        <v>RAW-CHL-045</v>
      </c>
      <c r="G520" s="2" t="s">
        <v>15</v>
      </c>
      <c r="H520" t="str">
        <f>IFERROR(VLOOKUP($D520,القوائم!$A$2:$B$4,2,0),"")</f>
        <v>RAW</v>
      </c>
      <c r="I520" t="str">
        <f t="shared" si="46"/>
        <v>CHL</v>
      </c>
      <c r="J520">
        <f>IF($H520="","",IF($N520=0,$Q520,SUMPRODUCT(($O$157:$O$590=$H520)*($P$157:$P$590=$I520)*$Q$157:$Q$590)+COUNTIFS($H$157:$H520,$H520,$I$157:$I520,$I520,$N$157:$N520,1)))</f>
        <v>45</v>
      </c>
      <c r="M520">
        <f>IF($I520="","",COUNTIF($I$5:$I520,$I520))</f>
        <v>92</v>
      </c>
      <c r="N520">
        <f t="shared" si="47"/>
        <v>0</v>
      </c>
      <c r="O520" t="s">
        <v>22</v>
      </c>
      <c r="P520" t="s">
        <v>139</v>
      </c>
      <c r="Q520">
        <v>45</v>
      </c>
      <c r="R520" s="25">
        <v>290</v>
      </c>
      <c r="S520" s="25">
        <v>100</v>
      </c>
      <c r="T520" s="24">
        <f t="shared" si="48"/>
        <v>2.9</v>
      </c>
      <c r="U520" s="25"/>
    </row>
    <row r="521" spans="1:21" ht="16" x14ac:dyDescent="0.15">
      <c r="A521" s="2">
        <v>365</v>
      </c>
      <c r="B521" s="8" t="s">
        <v>735</v>
      </c>
      <c r="C521" s="28" t="s">
        <v>736</v>
      </c>
      <c r="D521" s="8" t="s">
        <v>12</v>
      </c>
      <c r="E521" s="2" t="s">
        <v>265</v>
      </c>
      <c r="F521" s="9" t="str">
        <f t="shared" si="45"/>
        <v>RAW-DRY-096</v>
      </c>
      <c r="G521" s="2" t="s">
        <v>15</v>
      </c>
      <c r="H521" t="str">
        <f>IFERROR(VLOOKUP($D521,القوائم!$A$2:$B$4,2,0),"")</f>
        <v>RAW</v>
      </c>
      <c r="I521" t="str">
        <f t="shared" si="46"/>
        <v>DRY</v>
      </c>
      <c r="J521">
        <f>IF($H521="","",IF($N521=0,$Q521,SUMPRODUCT(($O$157:$O$590=$H521)*($P$157:$P$590=$I521)*$Q$157:$Q$590)+COUNTIFS($H$157:$H521,$H521,$I$157:$I521,$I521,$N$157:$N521,1)))</f>
        <v>96</v>
      </c>
      <c r="M521">
        <f>IF($I521="","",COUNTIF($I$5:$I521,$I521))</f>
        <v>98</v>
      </c>
      <c r="N521">
        <f t="shared" si="47"/>
        <v>0</v>
      </c>
      <c r="O521" t="s">
        <v>22</v>
      </c>
      <c r="P521" t="s">
        <v>266</v>
      </c>
      <c r="Q521">
        <v>96</v>
      </c>
      <c r="R521" s="25">
        <v>228</v>
      </c>
      <c r="S521" s="25">
        <v>100</v>
      </c>
      <c r="T521" s="24">
        <f t="shared" si="48"/>
        <v>2.2799999999999998</v>
      </c>
      <c r="U521" s="25"/>
    </row>
    <row r="522" spans="1:21" ht="17" x14ac:dyDescent="0.15">
      <c r="A522" s="2">
        <v>366</v>
      </c>
      <c r="B522" s="8" t="s">
        <v>737</v>
      </c>
      <c r="C522" s="28" t="s">
        <v>738</v>
      </c>
      <c r="D522" s="8" t="s">
        <v>12</v>
      </c>
      <c r="E522" s="2" t="s">
        <v>14</v>
      </c>
      <c r="F522" s="9" t="str">
        <f t="shared" si="45"/>
        <v>RAW-CNS-061</v>
      </c>
      <c r="G522" s="2" t="s">
        <v>13</v>
      </c>
      <c r="H522" t="str">
        <f>IFERROR(VLOOKUP($D522,القوائم!$A$2:$B$4,2,0),"")</f>
        <v>RAW</v>
      </c>
      <c r="I522" t="str">
        <f t="shared" si="46"/>
        <v>CNS</v>
      </c>
      <c r="J522">
        <f>IF($H522="","",IF($N522=0,$Q522,SUMPRODUCT(($O$157:$O$590=$H522)*($P$157:$P$590=$I522)*$Q$157:$Q$590)+COUNTIFS($H$157:$H522,$H522,$I$157:$I522,$I522,$N$157:$N522,1)))</f>
        <v>61</v>
      </c>
      <c r="M522">
        <f>IF($I522="","",COUNTIF($I$5:$I522,$I522))</f>
        <v>62</v>
      </c>
      <c r="N522">
        <f t="shared" si="47"/>
        <v>0</v>
      </c>
      <c r="O522" t="s">
        <v>22</v>
      </c>
      <c r="P522" t="s">
        <v>23</v>
      </c>
      <c r="Q522">
        <v>61</v>
      </c>
      <c r="R522" s="25"/>
      <c r="S522" s="25"/>
      <c r="T522" s="24" t="str">
        <f t="shared" si="48"/>
        <v/>
      </c>
      <c r="U522" s="25"/>
    </row>
    <row r="523" spans="1:21" ht="17" x14ac:dyDescent="0.15">
      <c r="A523" s="2">
        <v>367</v>
      </c>
      <c r="B523" s="8" t="s">
        <v>739</v>
      </c>
      <c r="C523" s="28" t="s">
        <v>740</v>
      </c>
      <c r="D523" s="8" t="s">
        <v>12</v>
      </c>
      <c r="E523" s="2" t="s">
        <v>14</v>
      </c>
      <c r="F523" s="9" t="str">
        <f t="shared" si="45"/>
        <v>RAW-CNS-062</v>
      </c>
      <c r="G523" s="2" t="s">
        <v>13</v>
      </c>
      <c r="H523" t="str">
        <f>IFERROR(VLOOKUP($D523,القوائم!$A$2:$B$4,2,0),"")</f>
        <v>RAW</v>
      </c>
      <c r="I523" t="str">
        <f t="shared" si="46"/>
        <v>CNS</v>
      </c>
      <c r="J523">
        <f>IF($H523="","",IF($N523=0,$Q523,SUMPRODUCT(($O$157:$O$590=$H523)*($P$157:$P$590=$I523)*$Q$157:$Q$590)+COUNTIFS($H$157:$H523,$H523,$I$157:$I523,$I523,$N$157:$N523,1)))</f>
        <v>62</v>
      </c>
      <c r="M523">
        <f>IF($I523="","",COUNTIF($I$5:$I523,$I523))</f>
        <v>63</v>
      </c>
      <c r="N523">
        <f t="shared" si="47"/>
        <v>0</v>
      </c>
      <c r="O523" t="s">
        <v>22</v>
      </c>
      <c r="P523" t="s">
        <v>23</v>
      </c>
      <c r="Q523">
        <v>62</v>
      </c>
      <c r="R523" s="25"/>
      <c r="S523" s="25"/>
      <c r="T523" s="24" t="str">
        <f t="shared" si="48"/>
        <v/>
      </c>
      <c r="U523" s="25"/>
    </row>
    <row r="524" spans="1:21" ht="16" x14ac:dyDescent="0.15">
      <c r="A524" s="2">
        <v>368</v>
      </c>
      <c r="B524" s="8" t="s">
        <v>741</v>
      </c>
      <c r="C524" s="28" t="s">
        <v>742</v>
      </c>
      <c r="D524" s="8" t="s">
        <v>12</v>
      </c>
      <c r="E524" s="2" t="s">
        <v>265</v>
      </c>
      <c r="F524" s="9" t="str">
        <f t="shared" si="45"/>
        <v>RAW-DRY-097</v>
      </c>
      <c r="G524" s="2" t="s">
        <v>15</v>
      </c>
      <c r="H524" t="str">
        <f>IFERROR(VLOOKUP($D524,القوائم!$A$2:$B$4,2,0),"")</f>
        <v>RAW</v>
      </c>
      <c r="I524" t="str">
        <f t="shared" si="46"/>
        <v>DRY</v>
      </c>
      <c r="J524">
        <f>IF($H524="","",IF($N524=0,$Q524,SUMPRODUCT(($O$157:$O$590=$H524)*($P$157:$P$590=$I524)*$Q$157:$Q$590)+COUNTIFS($H$157:$H524,$H524,$I$157:$I524,$I524,$N$157:$N524,1)))</f>
        <v>97</v>
      </c>
      <c r="M524">
        <f>IF($I524="","",COUNTIF($I$5:$I524,$I524))</f>
        <v>99</v>
      </c>
      <c r="N524">
        <f t="shared" si="47"/>
        <v>0</v>
      </c>
      <c r="O524" t="s">
        <v>22</v>
      </c>
      <c r="P524" t="s">
        <v>266</v>
      </c>
      <c r="Q524">
        <v>97</v>
      </c>
      <c r="R524" s="25">
        <v>312</v>
      </c>
      <c r="S524" s="25">
        <v>100</v>
      </c>
      <c r="T524" s="24">
        <f t="shared" si="48"/>
        <v>3.12</v>
      </c>
      <c r="U524" s="25"/>
    </row>
    <row r="525" spans="1:21" ht="16" x14ac:dyDescent="0.15">
      <c r="A525" s="2">
        <v>369</v>
      </c>
      <c r="B525" s="8" t="s">
        <v>743</v>
      </c>
      <c r="C525" s="28" t="s">
        <v>744</v>
      </c>
      <c r="D525" s="8" t="s">
        <v>12</v>
      </c>
      <c r="E525" s="2" t="s">
        <v>265</v>
      </c>
      <c r="F525" s="9" t="str">
        <f t="shared" si="45"/>
        <v>RAW-DRY-098</v>
      </c>
      <c r="G525" s="2" t="s">
        <v>355</v>
      </c>
      <c r="H525" t="str">
        <f>IFERROR(VLOOKUP($D525,القوائم!$A$2:$B$4,2,0),"")</f>
        <v>RAW</v>
      </c>
      <c r="I525" t="str">
        <f t="shared" si="46"/>
        <v>DRY</v>
      </c>
      <c r="J525">
        <f>IF($H525="","",IF($N525=0,$Q525,SUMPRODUCT(($O$157:$O$590=$H525)*($P$157:$P$590=$I525)*$Q$157:$Q$590)+COUNTIFS($H$157:$H525,$H525,$I$157:$I525,$I525,$N$157:$N525,1)))</f>
        <v>98</v>
      </c>
      <c r="M525">
        <f>IF($I525="","",COUNTIF($I$5:$I525,$I525))</f>
        <v>100</v>
      </c>
      <c r="N525">
        <f t="shared" si="47"/>
        <v>0</v>
      </c>
      <c r="O525" t="s">
        <v>22</v>
      </c>
      <c r="P525" t="s">
        <v>266</v>
      </c>
      <c r="Q525">
        <v>98</v>
      </c>
      <c r="R525" s="25">
        <v>210</v>
      </c>
      <c r="S525" s="25">
        <v>100</v>
      </c>
      <c r="T525" s="24">
        <f t="shared" si="48"/>
        <v>2.1</v>
      </c>
      <c r="U525" s="25"/>
    </row>
    <row r="526" spans="1:21" ht="16" x14ac:dyDescent="0.15">
      <c r="A526" s="2">
        <v>370</v>
      </c>
      <c r="B526" s="8" t="s">
        <v>745</v>
      </c>
      <c r="C526" s="28" t="s">
        <v>746</v>
      </c>
      <c r="D526" s="8" t="s">
        <v>12</v>
      </c>
      <c r="E526" s="2" t="s">
        <v>137</v>
      </c>
      <c r="F526" s="9" t="str">
        <f t="shared" si="45"/>
        <v>RAW-CHL-046</v>
      </c>
      <c r="G526" s="2" t="s">
        <v>355</v>
      </c>
      <c r="H526" t="str">
        <f>IFERROR(VLOOKUP($D526,القوائم!$A$2:$B$4,2,0),"")</f>
        <v>RAW</v>
      </c>
      <c r="I526" t="str">
        <f t="shared" si="46"/>
        <v>CHL</v>
      </c>
      <c r="J526">
        <f>IF($H526="","",IF($N526=0,$Q526,SUMPRODUCT(($O$157:$O$590=$H526)*($P$157:$P$590=$I526)*$Q$157:$Q$590)+COUNTIFS($H$157:$H526,$H526,$I$157:$I526,$I526,$N$157:$N526,1)))</f>
        <v>46</v>
      </c>
      <c r="M526">
        <f>IF($I526="","",COUNTIF($I$5:$I526,$I526))</f>
        <v>93</v>
      </c>
      <c r="N526">
        <f t="shared" si="47"/>
        <v>0</v>
      </c>
      <c r="O526" t="s">
        <v>22</v>
      </c>
      <c r="P526" t="s">
        <v>139</v>
      </c>
      <c r="Q526">
        <v>46</v>
      </c>
      <c r="R526" s="25">
        <v>340</v>
      </c>
      <c r="S526" s="25">
        <v>100</v>
      </c>
      <c r="T526" s="24">
        <f t="shared" si="48"/>
        <v>3.4</v>
      </c>
      <c r="U526" s="25"/>
    </row>
    <row r="527" spans="1:21" ht="16" x14ac:dyDescent="0.15">
      <c r="A527" s="2">
        <v>371</v>
      </c>
      <c r="B527" s="8" t="s">
        <v>747</v>
      </c>
      <c r="C527" s="28" t="s">
        <v>748</v>
      </c>
      <c r="D527" s="8" t="s">
        <v>12</v>
      </c>
      <c r="E527" s="2" t="s">
        <v>137</v>
      </c>
      <c r="F527" s="9" t="str">
        <f t="shared" si="45"/>
        <v>RAW-CHL-047</v>
      </c>
      <c r="G527" s="2" t="s">
        <v>355</v>
      </c>
      <c r="H527" t="str">
        <f>IFERROR(VLOOKUP($D527,القوائم!$A$2:$B$4,2,0),"")</f>
        <v>RAW</v>
      </c>
      <c r="I527" t="str">
        <f t="shared" si="46"/>
        <v>CHL</v>
      </c>
      <c r="J527">
        <f>IF($H527="","",IF($N527=0,$Q527,SUMPRODUCT(($O$157:$O$590=$H527)*($P$157:$P$590=$I527)*$Q$157:$Q$590)+COUNTIFS($H$157:$H527,$H527,$I$157:$I527,$I527,$N$157:$N527,1)))</f>
        <v>47</v>
      </c>
      <c r="M527">
        <f>IF($I527="","",COUNTIF($I$5:$I527,$I527))</f>
        <v>94</v>
      </c>
      <c r="N527">
        <f t="shared" si="47"/>
        <v>0</v>
      </c>
      <c r="O527" t="s">
        <v>22</v>
      </c>
      <c r="P527" t="s">
        <v>139</v>
      </c>
      <c r="Q527">
        <v>47</v>
      </c>
      <c r="R527" s="25">
        <v>195</v>
      </c>
      <c r="S527" s="25">
        <v>100</v>
      </c>
      <c r="T527" s="24">
        <f t="shared" si="48"/>
        <v>1.95</v>
      </c>
      <c r="U527" s="25"/>
    </row>
    <row r="528" spans="1:21" ht="16" x14ac:dyDescent="0.15">
      <c r="A528" s="2">
        <v>372</v>
      </c>
      <c r="B528" s="8" t="s">
        <v>749</v>
      </c>
      <c r="C528" s="28" t="s">
        <v>750</v>
      </c>
      <c r="D528" s="8" t="s">
        <v>12</v>
      </c>
      <c r="E528" s="2" t="s">
        <v>137</v>
      </c>
      <c r="F528" s="9" t="str">
        <f t="shared" si="45"/>
        <v>RAW-CHL-048</v>
      </c>
      <c r="G528" s="2" t="s">
        <v>355</v>
      </c>
      <c r="H528" t="str">
        <f>IFERROR(VLOOKUP($D528,القوائم!$A$2:$B$4,2,0),"")</f>
        <v>RAW</v>
      </c>
      <c r="I528" t="str">
        <f t="shared" si="46"/>
        <v>CHL</v>
      </c>
      <c r="J528">
        <f>IF($H528="","",IF($N528=0,$Q528,SUMPRODUCT(($O$157:$O$590=$H528)*($P$157:$P$590=$I528)*$Q$157:$Q$590)+COUNTIFS($H$157:$H528,$H528,$I$157:$I528,$I528,$N$157:$N528,1)))</f>
        <v>48</v>
      </c>
      <c r="M528">
        <f>IF($I528="","",COUNTIF($I$5:$I528,$I528))</f>
        <v>95</v>
      </c>
      <c r="N528">
        <f t="shared" si="47"/>
        <v>0</v>
      </c>
      <c r="O528" t="s">
        <v>22</v>
      </c>
      <c r="P528" t="s">
        <v>139</v>
      </c>
      <c r="Q528">
        <v>48</v>
      </c>
      <c r="R528" s="25">
        <v>300</v>
      </c>
      <c r="S528" s="25">
        <v>100</v>
      </c>
      <c r="T528" s="24">
        <f t="shared" si="48"/>
        <v>3</v>
      </c>
      <c r="U528" s="25"/>
    </row>
    <row r="529" spans="1:21" ht="16" x14ac:dyDescent="0.15">
      <c r="A529" s="2">
        <v>373</v>
      </c>
      <c r="B529" s="8" t="s">
        <v>751</v>
      </c>
      <c r="C529" s="28" t="s">
        <v>752</v>
      </c>
      <c r="D529" s="8" t="s">
        <v>12</v>
      </c>
      <c r="E529" s="2" t="s">
        <v>137</v>
      </c>
      <c r="F529" s="9" t="str">
        <f t="shared" si="45"/>
        <v>RAW-CHL-049</v>
      </c>
      <c r="G529" s="2" t="s">
        <v>15</v>
      </c>
      <c r="H529" t="str">
        <f>IFERROR(VLOOKUP($D529,القوائم!$A$2:$B$4,2,0),"")</f>
        <v>RAW</v>
      </c>
      <c r="I529" t="str">
        <f t="shared" si="46"/>
        <v>CHL</v>
      </c>
      <c r="J529">
        <f>IF($H529="","",IF($N529=0,$Q529,SUMPRODUCT(($O$157:$O$590=$H529)*($P$157:$P$590=$I529)*$Q$157:$Q$590)+COUNTIFS($H$157:$H529,$H529,$I$157:$I529,$I529,$N$157:$N529,1)))</f>
        <v>49</v>
      </c>
      <c r="M529">
        <f>IF($I529="","",COUNTIF($I$5:$I529,$I529))</f>
        <v>96</v>
      </c>
      <c r="N529">
        <f t="shared" si="47"/>
        <v>0</v>
      </c>
      <c r="O529" t="s">
        <v>22</v>
      </c>
      <c r="P529" t="s">
        <v>139</v>
      </c>
      <c r="Q529">
        <v>49</v>
      </c>
      <c r="R529" s="25">
        <v>23</v>
      </c>
      <c r="S529" s="25">
        <v>100</v>
      </c>
      <c r="T529" s="24">
        <f t="shared" si="48"/>
        <v>0.23</v>
      </c>
      <c r="U529" s="25"/>
    </row>
    <row r="530" spans="1:21" ht="16" x14ac:dyDescent="0.15">
      <c r="A530" s="2">
        <v>374</v>
      </c>
      <c r="B530" s="8" t="s">
        <v>753</v>
      </c>
      <c r="C530" s="28" t="s">
        <v>752</v>
      </c>
      <c r="D530" s="8" t="s">
        <v>12</v>
      </c>
      <c r="E530" s="2" t="s">
        <v>265</v>
      </c>
      <c r="F530" s="9" t="str">
        <f t="shared" si="45"/>
        <v>RAW-DRY-099</v>
      </c>
      <c r="G530" s="2" t="s">
        <v>15</v>
      </c>
      <c r="H530" t="str">
        <f>IFERROR(VLOOKUP($D530,القوائم!$A$2:$B$4,2,0),"")</f>
        <v>RAW</v>
      </c>
      <c r="I530" t="str">
        <f t="shared" si="46"/>
        <v>DRY</v>
      </c>
      <c r="J530">
        <f>IF($H530="","",IF($N530=0,$Q530,SUMPRODUCT(($O$157:$O$590=$H530)*($P$157:$P$590=$I530)*$Q$157:$Q$590)+COUNTIFS($H$157:$H530,$H530,$I$157:$I530,$I530,$N$157:$N530,1)))</f>
        <v>99</v>
      </c>
      <c r="M530">
        <f>IF($I530="","",COUNTIF($I$5:$I530,$I530))</f>
        <v>101</v>
      </c>
      <c r="N530">
        <f t="shared" si="47"/>
        <v>0</v>
      </c>
      <c r="O530" t="s">
        <v>22</v>
      </c>
      <c r="P530" t="s">
        <v>266</v>
      </c>
      <c r="Q530">
        <v>99</v>
      </c>
      <c r="R530" s="25">
        <v>298</v>
      </c>
      <c r="S530" s="25">
        <v>100</v>
      </c>
      <c r="T530" s="24">
        <f t="shared" si="48"/>
        <v>2.98</v>
      </c>
      <c r="U530" s="25"/>
    </row>
    <row r="531" spans="1:21" ht="17" x14ac:dyDescent="0.15">
      <c r="A531" s="2">
        <v>375</v>
      </c>
      <c r="B531" s="8" t="s">
        <v>754</v>
      </c>
      <c r="C531" s="28" t="s">
        <v>755</v>
      </c>
      <c r="D531" s="8" t="s">
        <v>12</v>
      </c>
      <c r="E531" s="2" t="s">
        <v>14</v>
      </c>
      <c r="F531" s="9" t="str">
        <f t="shared" si="45"/>
        <v>RAW-CNS-063</v>
      </c>
      <c r="G531" s="2" t="s">
        <v>13</v>
      </c>
      <c r="H531" t="str">
        <f>IFERROR(VLOOKUP($D531,القوائم!$A$2:$B$4,2,0),"")</f>
        <v>RAW</v>
      </c>
      <c r="I531" t="str">
        <f t="shared" si="46"/>
        <v>CNS</v>
      </c>
      <c r="J531">
        <f>IF($H531="","",IF($N531=0,$Q531,SUMPRODUCT(($O$157:$O$590=$H531)*($P$157:$P$590=$I531)*$Q$157:$Q$590)+COUNTIFS($H$157:$H531,$H531,$I$157:$I531,$I531,$N$157:$N531,1)))</f>
        <v>63</v>
      </c>
      <c r="M531">
        <f>IF($I531="","",COUNTIF($I$5:$I531,$I531))</f>
        <v>64</v>
      </c>
      <c r="N531">
        <f t="shared" si="47"/>
        <v>0</v>
      </c>
      <c r="O531" t="s">
        <v>22</v>
      </c>
      <c r="P531" t="s">
        <v>23</v>
      </c>
      <c r="Q531">
        <v>63</v>
      </c>
      <c r="R531" s="25"/>
      <c r="S531" s="25"/>
      <c r="T531" s="24" t="str">
        <f t="shared" si="48"/>
        <v/>
      </c>
      <c r="U531" s="25"/>
    </row>
    <row r="532" spans="1:21" ht="17" x14ac:dyDescent="0.15">
      <c r="A532" s="2">
        <v>376</v>
      </c>
      <c r="B532" s="8" t="s">
        <v>756</v>
      </c>
      <c r="C532" s="28" t="s">
        <v>755</v>
      </c>
      <c r="D532" s="8" t="s">
        <v>12</v>
      </c>
      <c r="E532" s="2" t="s">
        <v>14</v>
      </c>
      <c r="F532" s="9" t="str">
        <f t="shared" si="45"/>
        <v>RAW-CNS-064</v>
      </c>
      <c r="G532" s="2" t="s">
        <v>13</v>
      </c>
      <c r="H532" t="str">
        <f>IFERROR(VLOOKUP($D532,القوائم!$A$2:$B$4,2,0),"")</f>
        <v>RAW</v>
      </c>
      <c r="I532" t="str">
        <f t="shared" si="46"/>
        <v>CNS</v>
      </c>
      <c r="J532">
        <f>IF($H532="","",IF($N532=0,$Q532,SUMPRODUCT(($O$157:$O$590=$H532)*($P$157:$P$590=$I532)*$Q$157:$Q$590)+COUNTIFS($H$157:$H532,$H532,$I$157:$I532,$I532,$N$157:$N532,1)))</f>
        <v>64</v>
      </c>
      <c r="M532">
        <f>IF($I532="","",COUNTIF($I$5:$I532,$I532))</f>
        <v>65</v>
      </c>
      <c r="N532">
        <f t="shared" si="47"/>
        <v>0</v>
      </c>
      <c r="O532" t="s">
        <v>22</v>
      </c>
      <c r="P532" t="s">
        <v>23</v>
      </c>
      <c r="Q532">
        <v>64</v>
      </c>
      <c r="R532" s="25"/>
      <c r="S532" s="25"/>
      <c r="T532" s="24" t="str">
        <f t="shared" si="48"/>
        <v/>
      </c>
      <c r="U532" s="25"/>
    </row>
    <row r="533" spans="1:21" ht="16" x14ac:dyDescent="0.15">
      <c r="A533" s="2">
        <v>377</v>
      </c>
      <c r="B533" s="8" t="s">
        <v>757</v>
      </c>
      <c r="C533" s="28" t="s">
        <v>758</v>
      </c>
      <c r="D533" s="8" t="s">
        <v>12</v>
      </c>
      <c r="E533" s="2" t="s">
        <v>137</v>
      </c>
      <c r="F533" s="9" t="str">
        <f t="shared" si="45"/>
        <v>RAW-CHL-050</v>
      </c>
      <c r="G533" s="2" t="s">
        <v>15</v>
      </c>
      <c r="H533" t="str">
        <f>IFERROR(VLOOKUP($D533,القوائم!$A$2:$B$4,2,0),"")</f>
        <v>RAW</v>
      </c>
      <c r="I533" t="str">
        <f t="shared" si="46"/>
        <v>CHL</v>
      </c>
      <c r="J533">
        <f>IF($H533="","",IF($N533=0,$Q533,SUMPRODUCT(($O$157:$O$590=$H533)*($P$157:$P$590=$I533)*$Q$157:$Q$590)+COUNTIFS($H$157:$H533,$H533,$I$157:$I533,$I533,$N$157:$N533,1)))</f>
        <v>50</v>
      </c>
      <c r="M533">
        <f>IF($I533="","",COUNTIF($I$5:$I533,$I533))</f>
        <v>97</v>
      </c>
      <c r="N533">
        <f t="shared" si="47"/>
        <v>0</v>
      </c>
      <c r="O533" t="s">
        <v>22</v>
      </c>
      <c r="P533" t="s">
        <v>139</v>
      </c>
      <c r="Q533">
        <v>50</v>
      </c>
      <c r="R533" s="25">
        <v>17</v>
      </c>
      <c r="S533" s="25">
        <v>100</v>
      </c>
      <c r="T533" s="24">
        <f t="shared" si="48"/>
        <v>0.17</v>
      </c>
      <c r="U533" s="25"/>
    </row>
    <row r="534" spans="1:21" ht="17" x14ac:dyDescent="0.15">
      <c r="A534" s="2">
        <v>378</v>
      </c>
      <c r="B534" s="8" t="s">
        <v>759</v>
      </c>
      <c r="C534" s="28" t="s">
        <v>760</v>
      </c>
      <c r="D534" s="8" t="s">
        <v>12</v>
      </c>
      <c r="E534" s="2" t="s">
        <v>14</v>
      </c>
      <c r="F534" s="9" t="str">
        <f t="shared" si="45"/>
        <v>RAW-CNS-065</v>
      </c>
      <c r="G534" s="2" t="s">
        <v>13</v>
      </c>
      <c r="H534" t="str">
        <f>IFERROR(VLOOKUP($D534,القوائم!$A$2:$B$4,2,0),"")</f>
        <v>RAW</v>
      </c>
      <c r="I534" t="str">
        <f t="shared" si="46"/>
        <v>CNS</v>
      </c>
      <c r="J534">
        <f>IF($H534="","",IF($N534=0,$Q534,SUMPRODUCT(($O$157:$O$590=$H534)*($P$157:$P$590=$I534)*$Q$157:$Q$590)+COUNTIFS($H$157:$H534,$H534,$I$157:$I534,$I534,$N$157:$N534,1)))</f>
        <v>65</v>
      </c>
      <c r="M534">
        <f>IF($I534="","",COUNTIF($I$5:$I534,$I534))</f>
        <v>66</v>
      </c>
      <c r="N534">
        <f t="shared" si="47"/>
        <v>0</v>
      </c>
      <c r="O534" t="s">
        <v>22</v>
      </c>
      <c r="P534" t="s">
        <v>23</v>
      </c>
      <c r="Q534">
        <v>65</v>
      </c>
      <c r="R534" s="25"/>
      <c r="S534" s="25"/>
      <c r="T534" s="24" t="str">
        <f t="shared" si="48"/>
        <v/>
      </c>
      <c r="U534" s="25"/>
    </row>
    <row r="535" spans="1:21" ht="16" x14ac:dyDescent="0.15">
      <c r="A535" s="2">
        <v>379</v>
      </c>
      <c r="B535" s="8" t="s">
        <v>761</v>
      </c>
      <c r="C535" s="28" t="s">
        <v>272</v>
      </c>
      <c r="D535" s="8" t="s">
        <v>12</v>
      </c>
      <c r="E535" s="2" t="s">
        <v>265</v>
      </c>
      <c r="F535" s="9" t="str">
        <f t="shared" si="45"/>
        <v>RAW-DRY-100</v>
      </c>
      <c r="G535" s="2" t="s">
        <v>15</v>
      </c>
      <c r="H535" t="str">
        <f>IFERROR(VLOOKUP($D535,القوائم!$A$2:$B$4,2,0),"")</f>
        <v>RAW</v>
      </c>
      <c r="I535" t="str">
        <f t="shared" si="46"/>
        <v>DRY</v>
      </c>
      <c r="J535">
        <f>IF($H535="","",IF($N535=0,$Q535,SUMPRODUCT(($O$157:$O$590=$H535)*($P$157:$P$590=$I535)*$Q$157:$Q$590)+COUNTIFS($H$157:$H535,$H535,$I$157:$I535,$I535,$N$157:$N535,1)))</f>
        <v>100</v>
      </c>
      <c r="M535">
        <f>IF($I535="","",COUNTIF($I$5:$I535,$I535))</f>
        <v>102</v>
      </c>
      <c r="N535">
        <f t="shared" si="47"/>
        <v>0</v>
      </c>
      <c r="O535" t="s">
        <v>22</v>
      </c>
      <c r="P535" t="s">
        <v>266</v>
      </c>
      <c r="Q535">
        <v>100</v>
      </c>
      <c r="R535" s="25">
        <v>368</v>
      </c>
      <c r="S535" s="25">
        <v>100</v>
      </c>
      <c r="T535" s="24">
        <f t="shared" si="48"/>
        <v>3.68</v>
      </c>
      <c r="U535" s="25"/>
    </row>
    <row r="536" spans="1:21" ht="16" x14ac:dyDescent="0.15">
      <c r="A536" s="2">
        <v>380</v>
      </c>
      <c r="B536" s="8" t="s">
        <v>762</v>
      </c>
      <c r="C536" s="28" t="s">
        <v>272</v>
      </c>
      <c r="D536" s="8" t="s">
        <v>12</v>
      </c>
      <c r="E536" s="2" t="s">
        <v>265</v>
      </c>
      <c r="F536" s="9" t="str">
        <f t="shared" si="45"/>
        <v>RAW-DRY-101</v>
      </c>
      <c r="G536" s="2" t="s">
        <v>15</v>
      </c>
      <c r="H536" t="str">
        <f>IFERROR(VLOOKUP($D536,القوائم!$A$2:$B$4,2,0),"")</f>
        <v>RAW</v>
      </c>
      <c r="I536" t="str">
        <f t="shared" si="46"/>
        <v>DRY</v>
      </c>
      <c r="J536">
        <f>IF($H536="","",IF($N536=0,$Q536,SUMPRODUCT(($O$157:$O$590=$H536)*($P$157:$P$590=$I536)*$Q$157:$Q$590)+COUNTIFS($H$157:$H536,$H536,$I$157:$I536,$I536,$N$157:$N536,1)))</f>
        <v>101</v>
      </c>
      <c r="M536">
        <f>IF($I536="","",COUNTIF($I$5:$I536,$I536))</f>
        <v>103</v>
      </c>
      <c r="N536">
        <f t="shared" si="47"/>
        <v>0</v>
      </c>
      <c r="O536" t="s">
        <v>22</v>
      </c>
      <c r="P536" t="s">
        <v>266</v>
      </c>
      <c r="Q536">
        <v>101</v>
      </c>
      <c r="R536" s="25">
        <v>368</v>
      </c>
      <c r="S536" s="25">
        <v>100</v>
      </c>
      <c r="T536" s="24">
        <f t="shared" si="48"/>
        <v>3.68</v>
      </c>
      <c r="U536" s="25"/>
    </row>
    <row r="537" spans="1:21" ht="16" x14ac:dyDescent="0.15">
      <c r="A537" s="2">
        <v>381</v>
      </c>
      <c r="B537" s="8" t="s">
        <v>763</v>
      </c>
      <c r="C537" s="28" t="s">
        <v>272</v>
      </c>
      <c r="D537" s="8" t="s">
        <v>12</v>
      </c>
      <c r="E537" s="2" t="s">
        <v>265</v>
      </c>
      <c r="F537" s="9" t="str">
        <f t="shared" si="45"/>
        <v>RAW-DRY-102</v>
      </c>
      <c r="G537" s="2" t="s">
        <v>15</v>
      </c>
      <c r="H537" t="str">
        <f>IFERROR(VLOOKUP($D537,القوائم!$A$2:$B$4,2,0),"")</f>
        <v>RAW</v>
      </c>
      <c r="I537" t="str">
        <f t="shared" si="46"/>
        <v>DRY</v>
      </c>
      <c r="J537">
        <f>IF($H537="","",IF($N537=0,$Q537,SUMPRODUCT(($O$157:$O$590=$H537)*($P$157:$P$590=$I537)*$Q$157:$Q$590)+COUNTIFS($H$157:$H537,$H537,$I$157:$I537,$I537,$N$157:$N537,1)))</f>
        <v>102</v>
      </c>
      <c r="M537">
        <f>IF($I537="","",COUNTIF($I$5:$I537,$I537))</f>
        <v>104</v>
      </c>
      <c r="N537">
        <f t="shared" si="47"/>
        <v>0</v>
      </c>
      <c r="O537" t="s">
        <v>22</v>
      </c>
      <c r="P537" t="s">
        <v>266</v>
      </c>
      <c r="Q537">
        <v>102</v>
      </c>
      <c r="R537" s="25">
        <v>368</v>
      </c>
      <c r="S537" s="25">
        <v>100</v>
      </c>
      <c r="T537" s="24">
        <f t="shared" si="48"/>
        <v>3.68</v>
      </c>
      <c r="U537" s="25"/>
    </row>
    <row r="538" spans="1:21" ht="16" x14ac:dyDescent="0.15">
      <c r="A538" s="2">
        <v>382</v>
      </c>
      <c r="B538" s="8" t="s">
        <v>764</v>
      </c>
      <c r="C538" s="28" t="s">
        <v>765</v>
      </c>
      <c r="D538" s="8" t="s">
        <v>12</v>
      </c>
      <c r="E538" s="2" t="s">
        <v>218</v>
      </c>
      <c r="F538" s="9" t="str">
        <f t="shared" si="45"/>
        <v>RAW-FRZ-009</v>
      </c>
      <c r="G538" s="2" t="s">
        <v>15</v>
      </c>
      <c r="H538" t="str">
        <f>IFERROR(VLOOKUP($D538,القوائم!$A$2:$B$4,2,0),"")</f>
        <v>RAW</v>
      </c>
      <c r="I538" t="str">
        <f t="shared" si="46"/>
        <v>FRZ</v>
      </c>
      <c r="J538">
        <f>IF($H538="","",IF($N538=0,$Q538,SUMPRODUCT(($O$157:$O$590=$H538)*($P$157:$P$590=$I538)*$Q$157:$Q$590)+COUNTIFS($H$157:$H538,$H538,$I$157:$I538,$I538,$N$157:$N538,1)))</f>
        <v>9</v>
      </c>
      <c r="M538">
        <f>IF($I538="","",COUNTIF($I$5:$I538,$I538))</f>
        <v>10</v>
      </c>
      <c r="N538">
        <f t="shared" si="47"/>
        <v>0</v>
      </c>
      <c r="O538" t="s">
        <v>22</v>
      </c>
      <c r="P538" t="s">
        <v>219</v>
      </c>
      <c r="Q538">
        <v>9</v>
      </c>
      <c r="R538" s="25">
        <v>250</v>
      </c>
      <c r="S538" s="25">
        <v>100</v>
      </c>
      <c r="T538" s="24">
        <f t="shared" si="48"/>
        <v>2.5</v>
      </c>
      <c r="U538" s="25"/>
    </row>
    <row r="539" spans="1:21" ht="16" x14ac:dyDescent="0.15">
      <c r="A539" s="2">
        <v>383</v>
      </c>
      <c r="B539" s="8" t="s">
        <v>766</v>
      </c>
      <c r="C539" s="28" t="s">
        <v>765</v>
      </c>
      <c r="D539" s="8" t="s">
        <v>12</v>
      </c>
      <c r="E539" s="2" t="s">
        <v>218</v>
      </c>
      <c r="F539" s="9" t="str">
        <f t="shared" si="45"/>
        <v>RAW-FRZ-010</v>
      </c>
      <c r="G539" s="2" t="s">
        <v>15</v>
      </c>
      <c r="H539" t="str">
        <f>IFERROR(VLOOKUP($D539,القوائم!$A$2:$B$4,2,0),"")</f>
        <v>RAW</v>
      </c>
      <c r="I539" t="str">
        <f t="shared" si="46"/>
        <v>FRZ</v>
      </c>
      <c r="J539">
        <f>IF($H539="","",IF($N539=0,$Q539,SUMPRODUCT(($O$157:$O$590=$H539)*($P$157:$P$590=$I539)*$Q$157:$Q$590)+COUNTIFS($H$157:$H539,$H539,$I$157:$I539,$I539,$N$157:$N539,1)))</f>
        <v>10</v>
      </c>
      <c r="M539">
        <f>IF($I539="","",COUNTIF($I$5:$I539,$I539))</f>
        <v>11</v>
      </c>
      <c r="N539">
        <f t="shared" si="47"/>
        <v>0</v>
      </c>
      <c r="O539" t="s">
        <v>22</v>
      </c>
      <c r="P539" t="s">
        <v>219</v>
      </c>
      <c r="Q539">
        <v>10</v>
      </c>
      <c r="R539" s="25">
        <v>250</v>
      </c>
      <c r="S539" s="25">
        <v>100</v>
      </c>
      <c r="T539" s="24">
        <f t="shared" si="48"/>
        <v>2.5</v>
      </c>
      <c r="U539" s="25"/>
    </row>
    <row r="540" spans="1:21" ht="16" x14ac:dyDescent="0.15">
      <c r="A540" s="2">
        <v>384</v>
      </c>
      <c r="B540" s="8" t="s">
        <v>767</v>
      </c>
      <c r="C540" s="28" t="s">
        <v>768</v>
      </c>
      <c r="D540" s="8" t="s">
        <v>12</v>
      </c>
      <c r="E540" s="2" t="s">
        <v>218</v>
      </c>
      <c r="F540" s="9" t="str">
        <f t="shared" si="45"/>
        <v>RAW-FRZ-011</v>
      </c>
      <c r="G540" s="2" t="s">
        <v>15</v>
      </c>
      <c r="H540" t="str">
        <f>IFERROR(VLOOKUP($D540,القوائم!$A$2:$B$4,2,0),"")</f>
        <v>RAW</v>
      </c>
      <c r="I540" t="str">
        <f t="shared" si="46"/>
        <v>FRZ</v>
      </c>
      <c r="J540">
        <f>IF($H540="","",IF($N540=0,$Q540,SUMPRODUCT(($O$157:$O$590=$H540)*($P$157:$P$590=$I540)*$Q$157:$Q$590)+COUNTIFS($H$157:$H540,$H540,$I$157:$I540,$I540,$N$157:$N540,1)))</f>
        <v>11</v>
      </c>
      <c r="M540">
        <f>IF($I540="","",COUNTIF($I$5:$I540,$I540))</f>
        <v>12</v>
      </c>
      <c r="N540">
        <f t="shared" si="47"/>
        <v>0</v>
      </c>
      <c r="O540" t="s">
        <v>22</v>
      </c>
      <c r="P540" t="s">
        <v>219</v>
      </c>
      <c r="Q540">
        <v>11</v>
      </c>
      <c r="R540" s="25">
        <v>350</v>
      </c>
      <c r="S540" s="25">
        <v>100</v>
      </c>
      <c r="T540" s="24">
        <f t="shared" si="48"/>
        <v>3.5</v>
      </c>
      <c r="U540" s="25"/>
    </row>
    <row r="541" spans="1:21" ht="16" x14ac:dyDescent="0.15">
      <c r="A541" s="2">
        <v>385</v>
      </c>
      <c r="B541" s="8" t="s">
        <v>769</v>
      </c>
      <c r="C541" s="28" t="s">
        <v>770</v>
      </c>
      <c r="D541" s="8" t="s">
        <v>12</v>
      </c>
      <c r="E541" s="2" t="s">
        <v>218</v>
      </c>
      <c r="F541" s="9" t="str">
        <f t="shared" ref="F541:F590" si="49">IF($H541="","",$H541&amp;"-"&amp;$I541&amp;"-"&amp;TEXT($J541,"000"))</f>
        <v>RAW-FRZ-012</v>
      </c>
      <c r="G541" s="2" t="s">
        <v>15</v>
      </c>
      <c r="H541" t="str">
        <f>IFERROR(VLOOKUP($D541,القوائم!$A$2:$B$4,2,0),"")</f>
        <v>RAW</v>
      </c>
      <c r="I541" t="str">
        <f t="shared" ref="I541:I590" si="50">IF($H541="FIN","RTS",IF(ISNUMBER(SEARCH("مجمد",$E541)),"FRZ",IF(ISNUMBER(SEARCH("مبرد",$E541)),"CHL",IF(ISNUMBER(SEARCH("جاف",$E541)),"DRY",IF(ISNUMBER(SEARCH("استهلاك",$E541)),"CNS",IF(ISNUMBER(SEARCH("بيع",$E541)),"RTS",""))))))</f>
        <v>FRZ</v>
      </c>
      <c r="J541">
        <f>IF($H541="","",IF($N541=0,$Q541,SUMPRODUCT(($O$157:$O$590=$H541)*($P$157:$P$590=$I541)*$Q$157:$Q$590)+COUNTIFS($H$157:$H541,$H541,$I$157:$I541,$I541,$N$157:$N541,1)))</f>
        <v>12</v>
      </c>
      <c r="M541">
        <f>IF($I541="","",COUNTIF($I$5:$I541,$I541))</f>
        <v>13</v>
      </c>
      <c r="N541">
        <f t="shared" ref="N541:N590" si="51">IF($H541="","",IF(OR($H541&lt;&gt;$O541,$I541&lt;&gt;$P541),1,0))</f>
        <v>0</v>
      </c>
      <c r="O541" t="s">
        <v>22</v>
      </c>
      <c r="P541" t="s">
        <v>219</v>
      </c>
      <c r="Q541">
        <v>12</v>
      </c>
      <c r="R541" s="25">
        <v>290</v>
      </c>
      <c r="S541" s="25">
        <v>100</v>
      </c>
      <c r="T541" s="24">
        <f t="shared" ref="T541:T590" si="52">IF(OR($R541="",$S541="",$S541=0),"",ROUND($R541/$S541,2))</f>
        <v>2.9</v>
      </c>
      <c r="U541" s="25"/>
    </row>
    <row r="542" spans="1:21" ht="16" x14ac:dyDescent="0.15">
      <c r="A542" s="2">
        <v>386</v>
      </c>
      <c r="B542" s="8" t="s">
        <v>771</v>
      </c>
      <c r="C542" s="28" t="s">
        <v>772</v>
      </c>
      <c r="D542" s="8" t="s">
        <v>12</v>
      </c>
      <c r="E542" s="2" t="s">
        <v>218</v>
      </c>
      <c r="F542" s="9" t="str">
        <f t="shared" si="49"/>
        <v>RAW-FRZ-013</v>
      </c>
      <c r="G542" s="2" t="s">
        <v>15</v>
      </c>
      <c r="H542" t="str">
        <f>IFERROR(VLOOKUP($D542,القوائم!$A$2:$B$4,2,0),"")</f>
        <v>RAW</v>
      </c>
      <c r="I542" t="str">
        <f t="shared" si="50"/>
        <v>FRZ</v>
      </c>
      <c r="J542">
        <f>IF($H542="","",IF($N542=0,$Q542,SUMPRODUCT(($O$157:$O$590=$H542)*($P$157:$P$590=$I542)*$Q$157:$Q$590)+COUNTIFS($H$157:$H542,$H542,$I$157:$I542,$I542,$N$157:$N542,1)))</f>
        <v>13</v>
      </c>
      <c r="M542">
        <f>IF($I542="","",COUNTIF($I$5:$I542,$I542))</f>
        <v>14</v>
      </c>
      <c r="N542">
        <f t="shared" si="51"/>
        <v>0</v>
      </c>
      <c r="O542" t="s">
        <v>22</v>
      </c>
      <c r="P542" t="s">
        <v>219</v>
      </c>
      <c r="Q542">
        <v>13</v>
      </c>
      <c r="R542" s="25">
        <v>250</v>
      </c>
      <c r="S542" s="25">
        <v>100</v>
      </c>
      <c r="T542" s="24">
        <f t="shared" si="52"/>
        <v>2.5</v>
      </c>
      <c r="U542" s="25"/>
    </row>
    <row r="543" spans="1:21" ht="16" x14ac:dyDescent="0.15">
      <c r="A543" s="2">
        <v>387</v>
      </c>
      <c r="B543" s="8" t="s">
        <v>773</v>
      </c>
      <c r="C543" s="28" t="s">
        <v>774</v>
      </c>
      <c r="D543" s="8" t="s">
        <v>136</v>
      </c>
      <c r="E543" s="2" t="s">
        <v>218</v>
      </c>
      <c r="F543" s="9" t="str">
        <f t="shared" si="49"/>
        <v>TRN-FRZ-002</v>
      </c>
      <c r="G543" s="2" t="s">
        <v>15</v>
      </c>
      <c r="H543" t="str">
        <f>IFERROR(VLOOKUP($D543,القوائم!$A$2:$B$4,2,0),"")</f>
        <v>TRN</v>
      </c>
      <c r="I543" t="str">
        <f t="shared" si="50"/>
        <v>FRZ</v>
      </c>
      <c r="J543">
        <f>IF($H543="","",IF($N543=0,$Q543,SUMPRODUCT(($O$157:$O$590=$H543)*($P$157:$P$590=$I543)*$Q$157:$Q$590)+COUNTIFS($H$157:$H543,$H543,$I$157:$I543,$I543,$N$157:$N543,1)))</f>
        <v>2</v>
      </c>
      <c r="M543">
        <f>IF($I543="","",COUNTIF($I$5:$I543,$I543))</f>
        <v>15</v>
      </c>
      <c r="N543">
        <f t="shared" si="51"/>
        <v>0</v>
      </c>
      <c r="O543" t="s">
        <v>138</v>
      </c>
      <c r="P543" t="s">
        <v>219</v>
      </c>
      <c r="Q543">
        <v>2</v>
      </c>
      <c r="R543" s="25">
        <v>250</v>
      </c>
      <c r="S543" s="25">
        <v>100</v>
      </c>
      <c r="T543" s="24">
        <f t="shared" si="52"/>
        <v>2.5</v>
      </c>
      <c r="U543" s="25"/>
    </row>
    <row r="544" spans="1:21" ht="16" x14ac:dyDescent="0.15">
      <c r="A544" s="2">
        <v>388</v>
      </c>
      <c r="B544" s="8" t="s">
        <v>775</v>
      </c>
      <c r="C544" s="28" t="s">
        <v>776</v>
      </c>
      <c r="D544" s="8" t="s">
        <v>12</v>
      </c>
      <c r="E544" s="2" t="s">
        <v>218</v>
      </c>
      <c r="F544" s="9" t="str">
        <f t="shared" si="49"/>
        <v>RAW-FRZ-014</v>
      </c>
      <c r="G544" s="2" t="s">
        <v>15</v>
      </c>
      <c r="H544" t="str">
        <f>IFERROR(VLOOKUP($D544,القوائم!$A$2:$B$4,2,0),"")</f>
        <v>RAW</v>
      </c>
      <c r="I544" t="str">
        <f t="shared" si="50"/>
        <v>FRZ</v>
      </c>
      <c r="J544">
        <f>IF($H544="","",IF($N544=0,$Q544,SUMPRODUCT(($O$157:$O$590=$H544)*($P$157:$P$590=$I544)*$Q$157:$Q$590)+COUNTIFS($H$157:$H544,$H544,$I$157:$I544,$I544,$N$157:$N544,1)))</f>
        <v>14</v>
      </c>
      <c r="M544">
        <f>IF($I544="","",COUNTIF($I$5:$I544,$I544))</f>
        <v>16</v>
      </c>
      <c r="N544">
        <f t="shared" si="51"/>
        <v>0</v>
      </c>
      <c r="O544" t="s">
        <v>22</v>
      </c>
      <c r="P544" t="s">
        <v>219</v>
      </c>
      <c r="Q544">
        <v>14</v>
      </c>
      <c r="R544" s="25">
        <v>250</v>
      </c>
      <c r="S544" s="25">
        <v>100</v>
      </c>
      <c r="T544" s="24">
        <f t="shared" si="52"/>
        <v>2.5</v>
      </c>
      <c r="U544" s="25"/>
    </row>
    <row r="545" spans="1:21" ht="16" x14ac:dyDescent="0.15">
      <c r="A545" s="2">
        <v>389</v>
      </c>
      <c r="B545" s="8" t="s">
        <v>777</v>
      </c>
      <c r="C545" s="28" t="s">
        <v>506</v>
      </c>
      <c r="D545" s="8" t="s">
        <v>12</v>
      </c>
      <c r="E545" s="2" t="s">
        <v>265</v>
      </c>
      <c r="F545" s="9" t="str">
        <f t="shared" si="49"/>
        <v>RAW-DRY-103</v>
      </c>
      <c r="G545" s="2" t="s">
        <v>15</v>
      </c>
      <c r="H545" t="str">
        <f>IFERROR(VLOOKUP($D545,القوائم!$A$2:$B$4,2,0),"")</f>
        <v>RAW</v>
      </c>
      <c r="I545" t="str">
        <f t="shared" si="50"/>
        <v>DRY</v>
      </c>
      <c r="J545">
        <f>IF($H545="","",IF($N545=0,$Q545,SUMPRODUCT(($O$157:$O$590=$H545)*($P$157:$P$590=$I545)*$Q$157:$Q$590)+COUNTIFS($H$157:$H545,$H545,$I$157:$I545,$I545,$N$157:$N545,1)))</f>
        <v>103</v>
      </c>
      <c r="M545">
        <f>IF($I545="","",COUNTIF($I$5:$I545,$I545))</f>
        <v>105</v>
      </c>
      <c r="N545">
        <f t="shared" si="51"/>
        <v>0</v>
      </c>
      <c r="O545" t="s">
        <v>22</v>
      </c>
      <c r="P545" t="s">
        <v>266</v>
      </c>
      <c r="Q545">
        <v>103</v>
      </c>
      <c r="R545" s="25">
        <v>300</v>
      </c>
      <c r="S545" s="25">
        <v>100</v>
      </c>
      <c r="T545" s="24">
        <f t="shared" si="52"/>
        <v>3</v>
      </c>
      <c r="U545" s="25"/>
    </row>
    <row r="546" spans="1:21" ht="16" x14ac:dyDescent="0.15">
      <c r="A546" s="2">
        <v>390</v>
      </c>
      <c r="B546" s="8" t="s">
        <v>778</v>
      </c>
      <c r="C546" s="28" t="s">
        <v>779</v>
      </c>
      <c r="D546" s="8" t="s">
        <v>12</v>
      </c>
      <c r="E546" s="2" t="s">
        <v>137</v>
      </c>
      <c r="F546" s="9" t="str">
        <f t="shared" si="49"/>
        <v>RAW-CHL-051</v>
      </c>
      <c r="G546" s="2" t="s">
        <v>15</v>
      </c>
      <c r="H546" t="str">
        <f>IFERROR(VLOOKUP($D546,القوائم!$A$2:$B$4,2,0),"")</f>
        <v>RAW</v>
      </c>
      <c r="I546" t="str">
        <f t="shared" si="50"/>
        <v>CHL</v>
      </c>
      <c r="J546">
        <f>IF($H546="","",IF($N546=0,$Q546,SUMPRODUCT(($O$157:$O$590=$H546)*($P$157:$P$590=$I546)*$Q$157:$Q$590)+COUNTIFS($H$157:$H546,$H546,$I$157:$I546,$I546,$N$157:$N546,1)))</f>
        <v>51</v>
      </c>
      <c r="M546">
        <f>IF($I546="","",COUNTIF($I$5:$I546,$I546))</f>
        <v>98</v>
      </c>
      <c r="N546">
        <f t="shared" si="51"/>
        <v>0</v>
      </c>
      <c r="O546" t="s">
        <v>22</v>
      </c>
      <c r="P546" t="s">
        <v>139</v>
      </c>
      <c r="Q546">
        <v>51</v>
      </c>
      <c r="R546" s="25">
        <v>29</v>
      </c>
      <c r="S546" s="25">
        <v>100</v>
      </c>
      <c r="T546" s="24">
        <f t="shared" si="52"/>
        <v>0.28999999999999998</v>
      </c>
      <c r="U546" s="25"/>
    </row>
    <row r="547" spans="1:21" ht="16" x14ac:dyDescent="0.15">
      <c r="A547" s="2">
        <v>391</v>
      </c>
      <c r="B547" s="8" t="s">
        <v>780</v>
      </c>
      <c r="C547" s="28" t="s">
        <v>779</v>
      </c>
      <c r="D547" s="8" t="s">
        <v>12</v>
      </c>
      <c r="E547" s="2" t="s">
        <v>137</v>
      </c>
      <c r="F547" s="9" t="str">
        <f t="shared" si="49"/>
        <v>RAW-CHL-052</v>
      </c>
      <c r="G547" s="2" t="s">
        <v>15</v>
      </c>
      <c r="H547" t="str">
        <f>IFERROR(VLOOKUP($D547,القوائم!$A$2:$B$4,2,0),"")</f>
        <v>RAW</v>
      </c>
      <c r="I547" t="str">
        <f t="shared" si="50"/>
        <v>CHL</v>
      </c>
      <c r="J547">
        <f>IF($H547="","",IF($N547=0,$Q547,SUMPRODUCT(($O$157:$O$590=$H547)*($P$157:$P$590=$I547)*$Q$157:$Q$590)+COUNTIFS($H$157:$H547,$H547,$I$157:$I547,$I547,$N$157:$N547,1)))</f>
        <v>52</v>
      </c>
      <c r="M547">
        <f>IF($I547="","",COUNTIF($I$5:$I547,$I547))</f>
        <v>99</v>
      </c>
      <c r="N547">
        <f t="shared" si="51"/>
        <v>0</v>
      </c>
      <c r="O547" t="s">
        <v>22</v>
      </c>
      <c r="P547" t="s">
        <v>139</v>
      </c>
      <c r="Q547">
        <v>52</v>
      </c>
      <c r="R547" s="25">
        <v>29</v>
      </c>
      <c r="S547" s="25">
        <v>100</v>
      </c>
      <c r="T547" s="24">
        <f t="shared" si="52"/>
        <v>0.28999999999999998</v>
      </c>
      <c r="U547" s="25"/>
    </row>
    <row r="548" spans="1:21" ht="17" x14ac:dyDescent="0.15">
      <c r="A548" s="2">
        <v>392</v>
      </c>
      <c r="B548" s="8" t="s">
        <v>781</v>
      </c>
      <c r="C548" s="28" t="s">
        <v>782</v>
      </c>
      <c r="D548" s="8" t="s">
        <v>12</v>
      </c>
      <c r="E548" s="2" t="s">
        <v>14</v>
      </c>
      <c r="F548" s="9" t="str">
        <f t="shared" si="49"/>
        <v>RAW-CNS-066</v>
      </c>
      <c r="G548" s="2" t="s">
        <v>13</v>
      </c>
      <c r="H548" t="str">
        <f>IFERROR(VLOOKUP($D548,القوائم!$A$2:$B$4,2,0),"")</f>
        <v>RAW</v>
      </c>
      <c r="I548" t="str">
        <f t="shared" si="50"/>
        <v>CNS</v>
      </c>
      <c r="J548">
        <f>IF($H548="","",IF($N548=0,$Q548,SUMPRODUCT(($O$157:$O$590=$H548)*($P$157:$P$590=$I548)*$Q$157:$Q$590)+COUNTIFS($H$157:$H548,$H548,$I$157:$I548,$I548,$N$157:$N548,1)))</f>
        <v>66</v>
      </c>
      <c r="M548">
        <f>IF($I548="","",COUNTIF($I$5:$I548,$I548))</f>
        <v>67</v>
      </c>
      <c r="N548">
        <f t="shared" si="51"/>
        <v>0</v>
      </c>
      <c r="O548" t="s">
        <v>22</v>
      </c>
      <c r="P548" t="s">
        <v>23</v>
      </c>
      <c r="Q548">
        <v>66</v>
      </c>
      <c r="R548" s="25"/>
      <c r="S548" s="25"/>
      <c r="T548" s="24" t="str">
        <f t="shared" si="52"/>
        <v/>
      </c>
      <c r="U548" s="25"/>
    </row>
    <row r="549" spans="1:21" ht="16" x14ac:dyDescent="0.15">
      <c r="A549" s="2">
        <v>393</v>
      </c>
      <c r="B549" s="8" t="s">
        <v>783</v>
      </c>
      <c r="C549" s="28" t="s">
        <v>784</v>
      </c>
      <c r="D549" s="8" t="s">
        <v>16</v>
      </c>
      <c r="E549" s="2" t="s">
        <v>26</v>
      </c>
      <c r="F549" s="9" t="str">
        <f t="shared" si="49"/>
        <v>FIN-RTS-108</v>
      </c>
      <c r="G549" s="2" t="s">
        <v>13</v>
      </c>
      <c r="H549" t="str">
        <f>IFERROR(VLOOKUP($D549,القوائم!$A$2:$B$4,2,0),"")</f>
        <v>FIN</v>
      </c>
      <c r="I549" t="str">
        <f t="shared" si="50"/>
        <v>RTS</v>
      </c>
      <c r="J549">
        <f>IF($H549="","",IF($N549=0,$Q549,SUMPRODUCT(($O$157:$O$590=$H549)*($P$157:$P$590=$I549)*$Q$157:$Q$590)+COUNTIFS($H$157:$H549,$H549,$I$157:$I549,$I549,$N$157:$N549,1)))</f>
        <v>108</v>
      </c>
      <c r="M549">
        <f>IF($I549="","",COUNTIF($I$5:$I549,$I549))</f>
        <v>108</v>
      </c>
      <c r="N549">
        <f t="shared" si="51"/>
        <v>0</v>
      </c>
      <c r="O549" t="s">
        <v>27</v>
      </c>
      <c r="P549" t="s">
        <v>28</v>
      </c>
      <c r="Q549">
        <v>108</v>
      </c>
      <c r="R549" s="25">
        <v>0</v>
      </c>
      <c r="S549" s="25">
        <v>100</v>
      </c>
      <c r="T549" s="24">
        <f t="shared" si="52"/>
        <v>0</v>
      </c>
      <c r="U549" s="25"/>
    </row>
    <row r="550" spans="1:21" ht="17" x14ac:dyDescent="0.15">
      <c r="A550" s="2">
        <v>394</v>
      </c>
      <c r="B550" s="8" t="s">
        <v>785</v>
      </c>
      <c r="C550" s="28" t="s">
        <v>786</v>
      </c>
      <c r="D550" s="8" t="s">
        <v>12</v>
      </c>
      <c r="E550" s="2" t="s">
        <v>14</v>
      </c>
      <c r="F550" s="9" t="str">
        <f t="shared" si="49"/>
        <v>RAW-CNS-067</v>
      </c>
      <c r="G550" s="2" t="s">
        <v>13</v>
      </c>
      <c r="H550" t="str">
        <f>IFERROR(VLOOKUP($D550,القوائم!$A$2:$B$4,2,0),"")</f>
        <v>RAW</v>
      </c>
      <c r="I550" t="str">
        <f t="shared" si="50"/>
        <v>CNS</v>
      </c>
      <c r="J550">
        <f>IF($H550="","",IF($N550=0,$Q550,SUMPRODUCT(($O$157:$O$590=$H550)*($P$157:$P$590=$I550)*$Q$157:$Q$590)+COUNTIFS($H$157:$H550,$H550,$I$157:$I550,$I550,$N$157:$N550,1)))</f>
        <v>67</v>
      </c>
      <c r="M550">
        <f>IF($I550="","",COUNTIF($I$5:$I550,$I550))</f>
        <v>68</v>
      </c>
      <c r="N550">
        <f t="shared" si="51"/>
        <v>0</v>
      </c>
      <c r="O550" t="s">
        <v>22</v>
      </c>
      <c r="P550" t="s">
        <v>23</v>
      </c>
      <c r="Q550">
        <v>67</v>
      </c>
      <c r="R550" s="25"/>
      <c r="S550" s="25"/>
      <c r="T550" s="24" t="str">
        <f t="shared" si="52"/>
        <v/>
      </c>
      <c r="U550" s="25"/>
    </row>
    <row r="551" spans="1:21" ht="16" x14ac:dyDescent="0.15">
      <c r="A551" s="2">
        <v>395</v>
      </c>
      <c r="B551" s="8" t="s">
        <v>787</v>
      </c>
      <c r="C551" s="28" t="s">
        <v>788</v>
      </c>
      <c r="D551" s="8" t="s">
        <v>12</v>
      </c>
      <c r="E551" s="2" t="s">
        <v>137</v>
      </c>
      <c r="F551" s="9" t="str">
        <f t="shared" si="49"/>
        <v>RAW-CHL-053</v>
      </c>
      <c r="G551" s="2" t="s">
        <v>15</v>
      </c>
      <c r="H551" t="str">
        <f>IFERROR(VLOOKUP($D551,القوائم!$A$2:$B$4,2,0),"")</f>
        <v>RAW</v>
      </c>
      <c r="I551" t="str">
        <f t="shared" si="50"/>
        <v>CHL</v>
      </c>
      <c r="J551">
        <f>IF($H551="","",IF($N551=0,$Q551,SUMPRODUCT(($O$157:$O$590=$H551)*($P$157:$P$590=$I551)*$Q$157:$Q$590)+COUNTIFS($H$157:$H551,$H551,$I$157:$I551,$I551,$N$157:$N551,1)))</f>
        <v>53</v>
      </c>
      <c r="M551">
        <f>IF($I551="","",COUNTIF($I$5:$I551,$I551))</f>
        <v>100</v>
      </c>
      <c r="N551">
        <f t="shared" si="51"/>
        <v>0</v>
      </c>
      <c r="O551" t="s">
        <v>22</v>
      </c>
      <c r="P551" t="s">
        <v>139</v>
      </c>
      <c r="Q551">
        <v>53</v>
      </c>
      <c r="R551" s="25">
        <v>30</v>
      </c>
      <c r="S551" s="25">
        <v>100</v>
      </c>
      <c r="T551" s="24">
        <f t="shared" si="52"/>
        <v>0.3</v>
      </c>
      <c r="U551" s="25"/>
    </row>
    <row r="552" spans="1:21" ht="16" x14ac:dyDescent="0.15">
      <c r="A552" s="2">
        <v>396</v>
      </c>
      <c r="B552" s="8" t="s">
        <v>789</v>
      </c>
      <c r="C552" s="28" t="s">
        <v>790</v>
      </c>
      <c r="D552" s="8" t="s">
        <v>12</v>
      </c>
      <c r="E552" s="2" t="s">
        <v>265</v>
      </c>
      <c r="F552" s="9" t="str">
        <f t="shared" si="49"/>
        <v>RAW-DRY-104</v>
      </c>
      <c r="G552" s="2" t="s">
        <v>15</v>
      </c>
      <c r="H552" t="str">
        <f>IFERROR(VLOOKUP($D552,القوائم!$A$2:$B$4,2,0),"")</f>
        <v>RAW</v>
      </c>
      <c r="I552" t="str">
        <f t="shared" si="50"/>
        <v>DRY</v>
      </c>
      <c r="J552">
        <f>IF($H552="","",IF($N552=0,$Q552,SUMPRODUCT(($O$157:$O$590=$H552)*($P$157:$P$590=$I552)*$Q$157:$Q$590)+COUNTIFS($H$157:$H552,$H552,$I$157:$I552,$I552,$N$157:$N552,1)))</f>
        <v>104</v>
      </c>
      <c r="M552">
        <f>IF($I552="","",COUNTIF($I$5:$I552,$I552))</f>
        <v>106</v>
      </c>
      <c r="N552">
        <f t="shared" si="51"/>
        <v>0</v>
      </c>
      <c r="O552" t="s">
        <v>22</v>
      </c>
      <c r="P552" t="s">
        <v>266</v>
      </c>
      <c r="Q552">
        <v>104</v>
      </c>
      <c r="R552" s="25">
        <v>680</v>
      </c>
      <c r="S552" s="25">
        <v>100</v>
      </c>
      <c r="T552" s="24">
        <f t="shared" si="52"/>
        <v>6.8</v>
      </c>
      <c r="U552" s="25"/>
    </row>
    <row r="553" spans="1:21" ht="16" x14ac:dyDescent="0.15">
      <c r="A553" s="2">
        <v>397</v>
      </c>
      <c r="B553" s="8" t="s">
        <v>791</v>
      </c>
      <c r="C553" s="28" t="s">
        <v>792</v>
      </c>
      <c r="D553" s="8" t="s">
        <v>12</v>
      </c>
      <c r="E553" s="2" t="s">
        <v>218</v>
      </c>
      <c r="F553" s="9" t="str">
        <f t="shared" si="49"/>
        <v>RAW-FRZ-015</v>
      </c>
      <c r="G553" s="2" t="s">
        <v>15</v>
      </c>
      <c r="H553" t="str">
        <f>IFERROR(VLOOKUP($D553,القوائم!$A$2:$B$4,2,0),"")</f>
        <v>RAW</v>
      </c>
      <c r="I553" t="str">
        <f t="shared" si="50"/>
        <v>FRZ</v>
      </c>
      <c r="J553">
        <f>IF($H553="","",IF($N553=0,$Q553,SUMPRODUCT(($O$157:$O$590=$H553)*($P$157:$P$590=$I553)*$Q$157:$Q$590)+COUNTIFS($H$157:$H553,$H553,$I$157:$I553,$I553,$N$157:$N553,1)))</f>
        <v>15</v>
      </c>
      <c r="M553">
        <f>IF($I553="","",COUNTIF($I$5:$I553,$I553))</f>
        <v>17</v>
      </c>
      <c r="N553">
        <f t="shared" si="51"/>
        <v>0</v>
      </c>
      <c r="O553" t="s">
        <v>22</v>
      </c>
      <c r="P553" t="s">
        <v>219</v>
      </c>
      <c r="Q553">
        <v>15</v>
      </c>
      <c r="R553" s="25">
        <v>86</v>
      </c>
      <c r="S553" s="25">
        <v>100</v>
      </c>
      <c r="T553" s="24">
        <f t="shared" si="52"/>
        <v>0.86</v>
      </c>
      <c r="U553" s="25"/>
    </row>
    <row r="554" spans="1:21" ht="16" x14ac:dyDescent="0.15">
      <c r="A554" s="2">
        <v>398</v>
      </c>
      <c r="B554" s="8" t="s">
        <v>793</v>
      </c>
      <c r="C554" s="28" t="s">
        <v>794</v>
      </c>
      <c r="D554" s="8" t="s">
        <v>12</v>
      </c>
      <c r="E554" s="2" t="s">
        <v>265</v>
      </c>
      <c r="F554" s="9" t="str">
        <f t="shared" si="49"/>
        <v>RAW-DRY-105</v>
      </c>
      <c r="G554" s="2" t="s">
        <v>15</v>
      </c>
      <c r="H554" t="str">
        <f>IFERROR(VLOOKUP($D554,القوائم!$A$2:$B$4,2,0),"")</f>
        <v>RAW</v>
      </c>
      <c r="I554" t="str">
        <f t="shared" si="50"/>
        <v>DRY</v>
      </c>
      <c r="J554">
        <f>IF($H554="","",IF($N554=0,$Q554,SUMPRODUCT(($O$157:$O$590=$H554)*($P$157:$P$590=$I554)*$Q$157:$Q$590)+COUNTIFS($H$157:$H554,$H554,$I$157:$I554,$I554,$N$157:$N554,1)))</f>
        <v>105</v>
      </c>
      <c r="M554">
        <f>IF($I554="","",COUNTIF($I$5:$I554,$I554))</f>
        <v>107</v>
      </c>
      <c r="N554">
        <f t="shared" si="51"/>
        <v>0</v>
      </c>
      <c r="O554" t="s">
        <v>22</v>
      </c>
      <c r="P554" t="s">
        <v>266</v>
      </c>
      <c r="Q554">
        <v>105</v>
      </c>
      <c r="R554" s="25">
        <v>200</v>
      </c>
      <c r="S554" s="25">
        <v>100</v>
      </c>
      <c r="T554" s="24">
        <f t="shared" si="52"/>
        <v>2</v>
      </c>
      <c r="U554" s="25"/>
    </row>
    <row r="555" spans="1:21" ht="17" x14ac:dyDescent="0.15">
      <c r="A555" s="2">
        <v>399</v>
      </c>
      <c r="B555" s="8" t="s">
        <v>795</v>
      </c>
      <c r="C555" s="28" t="s">
        <v>796</v>
      </c>
      <c r="D555" s="8" t="s">
        <v>12</v>
      </c>
      <c r="E555" s="2" t="s">
        <v>14</v>
      </c>
      <c r="F555" s="9" t="str">
        <f t="shared" si="49"/>
        <v>RAW-CNS-068</v>
      </c>
      <c r="G555" s="2" t="s">
        <v>13</v>
      </c>
      <c r="H555" t="str">
        <f>IFERROR(VLOOKUP($D555,القوائم!$A$2:$B$4,2,0),"")</f>
        <v>RAW</v>
      </c>
      <c r="I555" t="str">
        <f t="shared" si="50"/>
        <v>CNS</v>
      </c>
      <c r="J555">
        <f>IF($H555="","",IF($N555=0,$Q555,SUMPRODUCT(($O$157:$O$590=$H555)*($P$157:$P$590=$I555)*$Q$157:$Q$590)+COUNTIFS($H$157:$H555,$H555,$I$157:$I555,$I555,$N$157:$N555,1)))</f>
        <v>68</v>
      </c>
      <c r="M555">
        <f>IF($I555="","",COUNTIF($I$5:$I555,$I555))</f>
        <v>69</v>
      </c>
      <c r="N555">
        <f t="shared" si="51"/>
        <v>0</v>
      </c>
      <c r="O555" t="s">
        <v>22</v>
      </c>
      <c r="P555" t="s">
        <v>23</v>
      </c>
      <c r="Q555">
        <v>68</v>
      </c>
      <c r="R555" s="25"/>
      <c r="S555" s="25"/>
      <c r="T555" s="24" t="str">
        <f t="shared" si="52"/>
        <v/>
      </c>
      <c r="U555" s="25"/>
    </row>
    <row r="556" spans="1:21" ht="17" x14ac:dyDescent="0.15">
      <c r="A556" s="2">
        <v>400</v>
      </c>
      <c r="B556" s="8" t="s">
        <v>797</v>
      </c>
      <c r="C556" s="28" t="s">
        <v>798</v>
      </c>
      <c r="D556" s="8" t="s">
        <v>12</v>
      </c>
      <c r="E556" s="2" t="s">
        <v>14</v>
      </c>
      <c r="F556" s="9" t="str">
        <f t="shared" si="49"/>
        <v>RAW-CNS-069</v>
      </c>
      <c r="G556" s="2" t="s">
        <v>13</v>
      </c>
      <c r="H556" t="str">
        <f>IFERROR(VLOOKUP($D556,القوائم!$A$2:$B$4,2,0),"")</f>
        <v>RAW</v>
      </c>
      <c r="I556" t="str">
        <f t="shared" si="50"/>
        <v>CNS</v>
      </c>
      <c r="J556">
        <f>IF($H556="","",IF($N556=0,$Q556,SUMPRODUCT(($O$157:$O$590=$H556)*($P$157:$P$590=$I556)*$Q$157:$Q$590)+COUNTIFS($H$157:$H556,$H556,$I$157:$I556,$I556,$N$157:$N556,1)))</f>
        <v>69</v>
      </c>
      <c r="M556">
        <f>IF($I556="","",COUNTIF($I$5:$I556,$I556))</f>
        <v>70</v>
      </c>
      <c r="N556">
        <f t="shared" si="51"/>
        <v>0</v>
      </c>
      <c r="O556" t="s">
        <v>22</v>
      </c>
      <c r="P556" t="s">
        <v>23</v>
      </c>
      <c r="Q556">
        <v>69</v>
      </c>
      <c r="R556" s="25"/>
      <c r="S556" s="25"/>
      <c r="T556" s="24" t="str">
        <f t="shared" si="52"/>
        <v/>
      </c>
      <c r="U556" s="25"/>
    </row>
    <row r="557" spans="1:21" ht="16" x14ac:dyDescent="0.15">
      <c r="A557" s="2">
        <v>401</v>
      </c>
      <c r="B557" s="8" t="s">
        <v>799</v>
      </c>
      <c r="C557" s="28" t="s">
        <v>800</v>
      </c>
      <c r="D557" s="8" t="s">
        <v>12</v>
      </c>
      <c r="E557" s="2" t="s">
        <v>265</v>
      </c>
      <c r="F557" s="9" t="str">
        <f t="shared" si="49"/>
        <v>RAW-DRY-106</v>
      </c>
      <c r="G557" s="2" t="s">
        <v>15</v>
      </c>
      <c r="H557" t="str">
        <f>IFERROR(VLOOKUP($D557,القوائم!$A$2:$B$4,2,0),"")</f>
        <v>RAW</v>
      </c>
      <c r="I557" t="str">
        <f t="shared" si="50"/>
        <v>DRY</v>
      </c>
      <c r="J557">
        <f>IF($H557="","",IF($N557=0,$Q557,SUMPRODUCT(($O$157:$O$590=$H557)*($P$157:$P$590=$I557)*$Q$157:$Q$590)+COUNTIFS($H$157:$H557,$H557,$I$157:$I557,$I557,$N$157:$N557,1)))</f>
        <v>106</v>
      </c>
      <c r="M557">
        <f>IF($I557="","",COUNTIF($I$5:$I557,$I557))</f>
        <v>108</v>
      </c>
      <c r="N557">
        <f t="shared" si="51"/>
        <v>0</v>
      </c>
      <c r="O557" t="s">
        <v>22</v>
      </c>
      <c r="P557" t="s">
        <v>266</v>
      </c>
      <c r="Q557">
        <v>106</v>
      </c>
      <c r="R557" s="25">
        <v>200</v>
      </c>
      <c r="S557" s="25">
        <v>100</v>
      </c>
      <c r="T557" s="24">
        <f t="shared" si="52"/>
        <v>2</v>
      </c>
      <c r="U557" s="25"/>
    </row>
    <row r="558" spans="1:21" ht="16" x14ac:dyDescent="0.15">
      <c r="A558" s="2">
        <v>402</v>
      </c>
      <c r="B558" s="8" t="s">
        <v>801</v>
      </c>
      <c r="C558" s="28" t="s">
        <v>802</v>
      </c>
      <c r="D558" s="8" t="s">
        <v>12</v>
      </c>
      <c r="E558" s="2" t="s">
        <v>265</v>
      </c>
      <c r="F558" s="9" t="str">
        <f t="shared" si="49"/>
        <v>RAW-DRY-107</v>
      </c>
      <c r="G558" s="2" t="s">
        <v>15</v>
      </c>
      <c r="H558" t="str">
        <f>IFERROR(VLOOKUP($D558,القوائم!$A$2:$B$4,2,0),"")</f>
        <v>RAW</v>
      </c>
      <c r="I558" t="str">
        <f t="shared" si="50"/>
        <v>DRY</v>
      </c>
      <c r="J558">
        <f>IF($H558="","",IF($N558=0,$Q558,SUMPRODUCT(($O$157:$O$590=$H558)*($P$157:$P$590=$I558)*$Q$157:$Q$590)+COUNTIFS($H$157:$H558,$H558,$I$157:$I558,$I558,$N$157:$N558,1)))</f>
        <v>107</v>
      </c>
      <c r="M558">
        <f>IF($I558="","",COUNTIF($I$5:$I558,$I558))</f>
        <v>109</v>
      </c>
      <c r="N558">
        <f t="shared" si="51"/>
        <v>0</v>
      </c>
      <c r="O558" t="s">
        <v>22</v>
      </c>
      <c r="P558" t="s">
        <v>266</v>
      </c>
      <c r="Q558">
        <v>107</v>
      </c>
      <c r="R558" s="25">
        <v>150</v>
      </c>
      <c r="S558" s="25">
        <v>100</v>
      </c>
      <c r="T558" s="24">
        <f t="shared" si="52"/>
        <v>1.5</v>
      </c>
      <c r="U558" s="25"/>
    </row>
    <row r="559" spans="1:21" ht="16" x14ac:dyDescent="0.15">
      <c r="A559" s="2">
        <v>403</v>
      </c>
      <c r="B559" s="8" t="s">
        <v>803</v>
      </c>
      <c r="C559" s="28" t="s">
        <v>804</v>
      </c>
      <c r="D559" s="8" t="s">
        <v>12</v>
      </c>
      <c r="E559" s="2" t="s">
        <v>265</v>
      </c>
      <c r="F559" s="9" t="str">
        <f t="shared" si="49"/>
        <v>RAW-DRY-108</v>
      </c>
      <c r="G559" s="2" t="s">
        <v>15</v>
      </c>
      <c r="H559" t="str">
        <f>IFERROR(VLOOKUP($D559,القوائم!$A$2:$B$4,2,0),"")</f>
        <v>RAW</v>
      </c>
      <c r="I559" t="str">
        <f t="shared" si="50"/>
        <v>DRY</v>
      </c>
      <c r="J559">
        <f>IF($H559="","",IF($N559=0,$Q559,SUMPRODUCT(($O$157:$O$590=$H559)*($P$157:$P$590=$I559)*$Q$157:$Q$590)+COUNTIFS($H$157:$H559,$H559,$I$157:$I559,$I559,$N$157:$N559,1)))</f>
        <v>108</v>
      </c>
      <c r="M559">
        <f>IF($I559="","",COUNTIF($I$5:$I559,$I559))</f>
        <v>110</v>
      </c>
      <c r="N559">
        <f t="shared" si="51"/>
        <v>0</v>
      </c>
      <c r="O559" t="s">
        <v>22</v>
      </c>
      <c r="P559" t="s">
        <v>266</v>
      </c>
      <c r="Q559">
        <v>108</v>
      </c>
      <c r="R559" s="25">
        <v>90</v>
      </c>
      <c r="S559" s="25">
        <v>100</v>
      </c>
      <c r="T559" s="24">
        <f t="shared" si="52"/>
        <v>0.9</v>
      </c>
      <c r="U559" s="25"/>
    </row>
    <row r="560" spans="1:21" ht="16" x14ac:dyDescent="0.15">
      <c r="A560" s="2">
        <v>404</v>
      </c>
      <c r="B560" s="8" t="s">
        <v>805</v>
      </c>
      <c r="C560" s="28" t="s">
        <v>806</v>
      </c>
      <c r="D560" s="8" t="s">
        <v>12</v>
      </c>
      <c r="E560" s="2" t="s">
        <v>265</v>
      </c>
      <c r="F560" s="9" t="str">
        <f t="shared" si="49"/>
        <v>RAW-DRY-109</v>
      </c>
      <c r="G560" s="2" t="s">
        <v>15</v>
      </c>
      <c r="H560" t="str">
        <f>IFERROR(VLOOKUP($D560,القوائم!$A$2:$B$4,2,0),"")</f>
        <v>RAW</v>
      </c>
      <c r="I560" t="str">
        <f t="shared" si="50"/>
        <v>DRY</v>
      </c>
      <c r="J560">
        <f>IF($H560="","",IF($N560=0,$Q560,SUMPRODUCT(($O$157:$O$590=$H560)*($P$157:$P$590=$I560)*$Q$157:$Q$590)+COUNTIFS($H$157:$H560,$H560,$I$157:$I560,$I560,$N$157:$N560,1)))</f>
        <v>109</v>
      </c>
      <c r="M560">
        <f>IF($I560="","",COUNTIF($I$5:$I560,$I560))</f>
        <v>111</v>
      </c>
      <c r="N560">
        <f t="shared" si="51"/>
        <v>0</v>
      </c>
      <c r="O560" t="s">
        <v>22</v>
      </c>
      <c r="P560" t="s">
        <v>266</v>
      </c>
      <c r="Q560">
        <v>109</v>
      </c>
      <c r="R560" s="25">
        <v>82</v>
      </c>
      <c r="S560" s="25">
        <v>100</v>
      </c>
      <c r="T560" s="24">
        <f t="shared" si="52"/>
        <v>0.82</v>
      </c>
      <c r="U560" s="25"/>
    </row>
    <row r="561" spans="1:21" ht="16" x14ac:dyDescent="0.15">
      <c r="A561" s="2">
        <v>405</v>
      </c>
      <c r="B561" s="8" t="s">
        <v>807</v>
      </c>
      <c r="C561" s="28" t="s">
        <v>808</v>
      </c>
      <c r="D561" s="8" t="s">
        <v>12</v>
      </c>
      <c r="E561" s="2" t="s">
        <v>265</v>
      </c>
      <c r="F561" s="9" t="str">
        <f t="shared" si="49"/>
        <v>RAW-DRY-110</v>
      </c>
      <c r="G561" s="2" t="s">
        <v>15</v>
      </c>
      <c r="H561" t="str">
        <f>IFERROR(VLOOKUP($D561,القوائم!$A$2:$B$4,2,0),"")</f>
        <v>RAW</v>
      </c>
      <c r="I561" t="str">
        <f t="shared" si="50"/>
        <v>DRY</v>
      </c>
      <c r="J561">
        <f>IF($H561="","",IF($N561=0,$Q561,SUMPRODUCT(($O$157:$O$590=$H561)*($P$157:$P$590=$I561)*$Q$157:$Q$590)+COUNTIFS($H$157:$H561,$H561,$I$157:$I561,$I561,$N$157:$N561,1)))</f>
        <v>110</v>
      </c>
      <c r="M561">
        <f>IF($I561="","",COUNTIF($I$5:$I561,$I561))</f>
        <v>112</v>
      </c>
      <c r="N561">
        <f t="shared" si="51"/>
        <v>0</v>
      </c>
      <c r="O561" t="s">
        <v>22</v>
      </c>
      <c r="P561" t="s">
        <v>266</v>
      </c>
      <c r="Q561">
        <v>110</v>
      </c>
      <c r="R561" s="25">
        <v>358</v>
      </c>
      <c r="S561" s="25">
        <v>100</v>
      </c>
      <c r="T561" s="24">
        <f t="shared" si="52"/>
        <v>3.58</v>
      </c>
      <c r="U561" s="25"/>
    </row>
    <row r="562" spans="1:21" ht="16" x14ac:dyDescent="0.15">
      <c r="A562" s="2">
        <v>406</v>
      </c>
      <c r="B562" s="8" t="s">
        <v>809</v>
      </c>
      <c r="C562" s="28" t="s">
        <v>810</v>
      </c>
      <c r="D562" s="8" t="s">
        <v>12</v>
      </c>
      <c r="E562" s="2" t="s">
        <v>265</v>
      </c>
      <c r="F562" s="9" t="str">
        <f t="shared" si="49"/>
        <v>RAW-DRY-111</v>
      </c>
      <c r="G562" s="2" t="s">
        <v>15</v>
      </c>
      <c r="H562" t="str">
        <f>IFERROR(VLOOKUP($D562,القوائم!$A$2:$B$4,2,0),"")</f>
        <v>RAW</v>
      </c>
      <c r="I562" t="str">
        <f t="shared" si="50"/>
        <v>DRY</v>
      </c>
      <c r="J562">
        <f>IF($H562="","",IF($N562=0,$Q562,SUMPRODUCT(($O$157:$O$590=$H562)*($P$157:$P$590=$I562)*$Q$157:$Q$590)+COUNTIFS($H$157:$H562,$H562,$I$157:$I562,$I562,$N$157:$N562,1)))</f>
        <v>111</v>
      </c>
      <c r="M562">
        <f>IF($I562="","",COUNTIF($I$5:$I562,$I562))</f>
        <v>113</v>
      </c>
      <c r="N562">
        <f t="shared" si="51"/>
        <v>0</v>
      </c>
      <c r="O562" t="s">
        <v>22</v>
      </c>
      <c r="P562" t="s">
        <v>266</v>
      </c>
      <c r="Q562">
        <v>111</v>
      </c>
      <c r="R562" s="25">
        <v>358</v>
      </c>
      <c r="S562" s="25">
        <v>100</v>
      </c>
      <c r="T562" s="24">
        <f t="shared" si="52"/>
        <v>3.58</v>
      </c>
      <c r="U562" s="25"/>
    </row>
    <row r="563" spans="1:21" ht="16" x14ac:dyDescent="0.15">
      <c r="A563" s="2">
        <v>407</v>
      </c>
      <c r="B563" s="8" t="s">
        <v>811</v>
      </c>
      <c r="C563" s="28" t="s">
        <v>812</v>
      </c>
      <c r="D563" s="8" t="s">
        <v>12</v>
      </c>
      <c r="E563" s="2" t="s">
        <v>265</v>
      </c>
      <c r="F563" s="9" t="str">
        <f t="shared" si="49"/>
        <v>RAW-DRY-112</v>
      </c>
      <c r="G563" s="2" t="s">
        <v>15</v>
      </c>
      <c r="H563" t="str">
        <f>IFERROR(VLOOKUP($D563,القوائم!$A$2:$B$4,2,0),"")</f>
        <v>RAW</v>
      </c>
      <c r="I563" t="str">
        <f t="shared" si="50"/>
        <v>DRY</v>
      </c>
      <c r="J563">
        <f>IF($H563="","",IF($N563=0,$Q563,SUMPRODUCT(($O$157:$O$590=$H563)*($P$157:$P$590=$I563)*$Q$157:$Q$590)+COUNTIFS($H$157:$H563,$H563,$I$157:$I563,$I563,$N$157:$N563,1)))</f>
        <v>112</v>
      </c>
      <c r="M563">
        <f>IF($I563="","",COUNTIF($I$5:$I563,$I563))</f>
        <v>114</v>
      </c>
      <c r="N563">
        <f t="shared" si="51"/>
        <v>0</v>
      </c>
      <c r="O563" t="s">
        <v>22</v>
      </c>
      <c r="P563" t="s">
        <v>266</v>
      </c>
      <c r="Q563">
        <v>112</v>
      </c>
      <c r="R563" s="25">
        <v>358</v>
      </c>
      <c r="S563" s="25">
        <v>100</v>
      </c>
      <c r="T563" s="24">
        <f t="shared" si="52"/>
        <v>3.58</v>
      </c>
      <c r="U563" s="25"/>
    </row>
    <row r="564" spans="1:21" ht="16" x14ac:dyDescent="0.15">
      <c r="A564" s="2">
        <v>408</v>
      </c>
      <c r="B564" s="8" t="s">
        <v>813</v>
      </c>
      <c r="C564" s="28" t="s">
        <v>814</v>
      </c>
      <c r="D564" s="8" t="s">
        <v>12</v>
      </c>
      <c r="E564" s="2" t="s">
        <v>265</v>
      </c>
      <c r="F564" s="9" t="str">
        <f t="shared" si="49"/>
        <v>RAW-DRY-113</v>
      </c>
      <c r="G564" s="2" t="s">
        <v>15</v>
      </c>
      <c r="H564" t="str">
        <f>IFERROR(VLOOKUP($D564,القوائم!$A$2:$B$4,2,0),"")</f>
        <v>RAW</v>
      </c>
      <c r="I564" t="str">
        <f t="shared" si="50"/>
        <v>DRY</v>
      </c>
      <c r="J564">
        <f>IF($H564="","",IF($N564=0,$Q564,SUMPRODUCT(($O$157:$O$590=$H564)*($P$157:$P$590=$I564)*$Q$157:$Q$590)+COUNTIFS($H$157:$H564,$H564,$I$157:$I564,$I564,$N$157:$N564,1)))</f>
        <v>113</v>
      </c>
      <c r="M564">
        <f>IF($I564="","",COUNTIF($I$5:$I564,$I564))</f>
        <v>115</v>
      </c>
      <c r="N564">
        <f t="shared" si="51"/>
        <v>0</v>
      </c>
      <c r="O564" t="s">
        <v>22</v>
      </c>
      <c r="P564" t="s">
        <v>266</v>
      </c>
      <c r="Q564">
        <v>113</v>
      </c>
      <c r="R564" s="25">
        <v>360</v>
      </c>
      <c r="S564" s="25">
        <v>100</v>
      </c>
      <c r="T564" s="24">
        <f t="shared" si="52"/>
        <v>3.6</v>
      </c>
      <c r="U564" s="25"/>
    </row>
    <row r="565" spans="1:21" ht="16" x14ac:dyDescent="0.15">
      <c r="A565" s="2">
        <v>409</v>
      </c>
      <c r="B565" s="8" t="s">
        <v>815</v>
      </c>
      <c r="C565" s="28" t="s">
        <v>816</v>
      </c>
      <c r="D565" s="8" t="s">
        <v>12</v>
      </c>
      <c r="E565" s="2" t="s">
        <v>137</v>
      </c>
      <c r="F565" s="9" t="str">
        <f t="shared" si="49"/>
        <v>RAW-CHL-054</v>
      </c>
      <c r="G565" s="2" t="s">
        <v>15</v>
      </c>
      <c r="H565" t="str">
        <f>IFERROR(VLOOKUP($D565,القوائم!$A$2:$B$4,2,0),"")</f>
        <v>RAW</v>
      </c>
      <c r="I565" t="str">
        <f t="shared" si="50"/>
        <v>CHL</v>
      </c>
      <c r="J565">
        <f>IF($H565="","",IF($N565=0,$Q565,SUMPRODUCT(($O$157:$O$590=$H565)*($P$157:$P$590=$I565)*$Q$157:$Q$590)+COUNTIFS($H$157:$H565,$H565,$I$157:$I565,$I565,$N$157:$N565,1)))</f>
        <v>54</v>
      </c>
      <c r="M565">
        <f>IF($I565="","",COUNTIF($I$5:$I565,$I565))</f>
        <v>101</v>
      </c>
      <c r="N565">
        <f t="shared" si="51"/>
        <v>0</v>
      </c>
      <c r="O565" t="s">
        <v>22</v>
      </c>
      <c r="P565" t="s">
        <v>139</v>
      </c>
      <c r="Q565">
        <v>54</v>
      </c>
      <c r="R565" s="25">
        <v>25</v>
      </c>
      <c r="S565" s="25">
        <v>100</v>
      </c>
      <c r="T565" s="24">
        <f t="shared" si="52"/>
        <v>0.25</v>
      </c>
      <c r="U565" s="25"/>
    </row>
    <row r="566" spans="1:21" ht="17" x14ac:dyDescent="0.15">
      <c r="A566" s="2">
        <v>410</v>
      </c>
      <c r="B566" s="8" t="s">
        <v>817</v>
      </c>
      <c r="C566" s="28" t="s">
        <v>818</v>
      </c>
      <c r="D566" s="8" t="s">
        <v>12</v>
      </c>
      <c r="E566" s="2" t="s">
        <v>14</v>
      </c>
      <c r="F566" s="9" t="str">
        <f t="shared" si="49"/>
        <v>RAW-CNS-070</v>
      </c>
      <c r="G566" s="2" t="s">
        <v>13</v>
      </c>
      <c r="H566" t="str">
        <f>IFERROR(VLOOKUP($D566,القوائم!$A$2:$B$4,2,0),"")</f>
        <v>RAW</v>
      </c>
      <c r="I566" t="str">
        <f t="shared" si="50"/>
        <v>CNS</v>
      </c>
      <c r="J566">
        <f>IF($H566="","",IF($N566=0,$Q566,SUMPRODUCT(($O$157:$O$590=$H566)*($P$157:$P$590=$I566)*$Q$157:$Q$590)+COUNTIFS($H$157:$H566,$H566,$I$157:$I566,$I566,$N$157:$N566,1)))</f>
        <v>70</v>
      </c>
      <c r="M566">
        <f>IF($I566="","",COUNTIF($I$5:$I566,$I566))</f>
        <v>71</v>
      </c>
      <c r="N566">
        <f t="shared" si="51"/>
        <v>0</v>
      </c>
      <c r="O566" t="s">
        <v>22</v>
      </c>
      <c r="P566" t="s">
        <v>23</v>
      </c>
      <c r="Q566">
        <v>70</v>
      </c>
      <c r="R566" s="25"/>
      <c r="S566" s="25"/>
      <c r="T566" s="24" t="str">
        <f t="shared" si="52"/>
        <v/>
      </c>
      <c r="U566" s="25"/>
    </row>
    <row r="567" spans="1:21" ht="16" x14ac:dyDescent="0.15">
      <c r="A567" s="2">
        <v>411</v>
      </c>
      <c r="B567" s="8" t="s">
        <v>819</v>
      </c>
      <c r="C567" s="28" t="s">
        <v>820</v>
      </c>
      <c r="D567" s="8" t="s">
        <v>12</v>
      </c>
      <c r="E567" s="2" t="s">
        <v>265</v>
      </c>
      <c r="F567" s="9" t="str">
        <f t="shared" si="49"/>
        <v>RAW-DRY-114</v>
      </c>
      <c r="G567" s="2" t="s">
        <v>15</v>
      </c>
      <c r="H567" t="str">
        <f>IFERROR(VLOOKUP($D567,القوائم!$A$2:$B$4,2,0),"")</f>
        <v>RAW</v>
      </c>
      <c r="I567" t="str">
        <f t="shared" si="50"/>
        <v>DRY</v>
      </c>
      <c r="J567">
        <f>IF($H567="","",IF($N567=0,$Q567,SUMPRODUCT(($O$157:$O$590=$H567)*($P$157:$P$590=$I567)*$Q$157:$Q$590)+COUNTIFS($H$157:$H567,$H567,$I$157:$I567,$I567,$N$157:$N567,1)))</f>
        <v>114</v>
      </c>
      <c r="M567">
        <f>IF($I567="","",COUNTIF($I$5:$I567,$I567))</f>
        <v>116</v>
      </c>
      <c r="N567">
        <f t="shared" si="51"/>
        <v>0</v>
      </c>
      <c r="O567" t="s">
        <v>22</v>
      </c>
      <c r="P567" t="s">
        <v>266</v>
      </c>
      <c r="Q567">
        <v>114</v>
      </c>
      <c r="R567" s="25">
        <v>0</v>
      </c>
      <c r="S567" s="25">
        <v>100</v>
      </c>
      <c r="T567" s="24">
        <f t="shared" si="52"/>
        <v>0</v>
      </c>
      <c r="U567" s="25"/>
    </row>
    <row r="568" spans="1:21" ht="16" x14ac:dyDescent="0.15">
      <c r="A568" s="2">
        <v>412</v>
      </c>
      <c r="B568" s="8" t="s">
        <v>821</v>
      </c>
      <c r="C568" s="28" t="s">
        <v>822</v>
      </c>
      <c r="D568" s="8" t="s">
        <v>12</v>
      </c>
      <c r="E568" s="2" t="s">
        <v>265</v>
      </c>
      <c r="F568" s="9" t="str">
        <f t="shared" si="49"/>
        <v>RAW-DRY-115</v>
      </c>
      <c r="G568" s="2" t="s">
        <v>15</v>
      </c>
      <c r="H568" t="str">
        <f>IFERROR(VLOOKUP($D568,القوائم!$A$2:$B$4,2,0),"")</f>
        <v>RAW</v>
      </c>
      <c r="I568" t="str">
        <f t="shared" si="50"/>
        <v>DRY</v>
      </c>
      <c r="J568">
        <f>IF($H568="","",IF($N568=0,$Q568,SUMPRODUCT(($O$157:$O$590=$H568)*($P$157:$P$590=$I568)*$Q$157:$Q$590)+COUNTIFS($H$157:$H568,$H568,$I$157:$I568,$I568,$N$157:$N568,1)))</f>
        <v>115</v>
      </c>
      <c r="M568">
        <f>IF($I568="","",COUNTIF($I$5:$I568,$I568))</f>
        <v>117</v>
      </c>
      <c r="N568">
        <f t="shared" si="51"/>
        <v>0</v>
      </c>
      <c r="O568" t="s">
        <v>22</v>
      </c>
      <c r="P568" t="s">
        <v>266</v>
      </c>
      <c r="Q568">
        <v>115</v>
      </c>
      <c r="R568" s="25">
        <v>0</v>
      </c>
      <c r="S568" s="25">
        <v>100</v>
      </c>
      <c r="T568" s="24">
        <f t="shared" si="52"/>
        <v>0</v>
      </c>
      <c r="U568" s="25"/>
    </row>
    <row r="569" spans="1:21" ht="16" x14ac:dyDescent="0.15">
      <c r="A569" s="2">
        <v>413</v>
      </c>
      <c r="B569" s="8" t="s">
        <v>823</v>
      </c>
      <c r="C569" s="28" t="s">
        <v>280</v>
      </c>
      <c r="D569" s="8" t="s">
        <v>12</v>
      </c>
      <c r="E569" s="2" t="s">
        <v>137</v>
      </c>
      <c r="F569" s="9" t="str">
        <f t="shared" si="49"/>
        <v>RAW-CHL-055</v>
      </c>
      <c r="G569" s="2" t="s">
        <v>15</v>
      </c>
      <c r="H569" t="str">
        <f>IFERROR(VLOOKUP($D569,القوائم!$A$2:$B$4,2,0),"")</f>
        <v>RAW</v>
      </c>
      <c r="I569" t="str">
        <f t="shared" si="50"/>
        <v>CHL</v>
      </c>
      <c r="J569">
        <f>IF($H569="","",IF($N569=0,$Q569,SUMPRODUCT(($O$157:$O$590=$H569)*($P$157:$P$590=$I569)*$Q$157:$Q$590)+COUNTIFS($H$157:$H569,$H569,$I$157:$I569,$I569,$N$157:$N569,1)))</f>
        <v>55</v>
      </c>
      <c r="M569">
        <f>IF($I569="","",COUNTIF($I$5:$I569,$I569))</f>
        <v>102</v>
      </c>
      <c r="N569">
        <f t="shared" si="51"/>
        <v>0</v>
      </c>
      <c r="O569" t="s">
        <v>22</v>
      </c>
      <c r="P569" t="s">
        <v>139</v>
      </c>
      <c r="Q569">
        <v>55</v>
      </c>
      <c r="R569" s="25">
        <v>31</v>
      </c>
      <c r="S569" s="25">
        <v>100</v>
      </c>
      <c r="T569" s="24">
        <f t="shared" si="52"/>
        <v>0.31</v>
      </c>
      <c r="U569" s="25"/>
    </row>
    <row r="570" spans="1:21" ht="17" x14ac:dyDescent="0.15">
      <c r="A570" s="2">
        <v>414</v>
      </c>
      <c r="B570" s="8" t="s">
        <v>824</v>
      </c>
      <c r="C570" s="28" t="s">
        <v>825</v>
      </c>
      <c r="D570" s="8" t="s">
        <v>12</v>
      </c>
      <c r="E570" s="2" t="s">
        <v>14</v>
      </c>
      <c r="F570" s="9" t="str">
        <f t="shared" si="49"/>
        <v>RAW-CNS-071</v>
      </c>
      <c r="G570" s="2" t="s">
        <v>13</v>
      </c>
      <c r="H570" t="str">
        <f>IFERROR(VLOOKUP($D570,القوائم!$A$2:$B$4,2,0),"")</f>
        <v>RAW</v>
      </c>
      <c r="I570" t="str">
        <f t="shared" si="50"/>
        <v>CNS</v>
      </c>
      <c r="J570">
        <f>IF($H570="","",IF($N570=0,$Q570,SUMPRODUCT(($O$157:$O$590=$H570)*($P$157:$P$590=$I570)*$Q$157:$Q$590)+COUNTIFS($H$157:$H570,$H570,$I$157:$I570,$I570,$N$157:$N570,1)))</f>
        <v>71</v>
      </c>
      <c r="M570">
        <f>IF($I570="","",COUNTIF($I$5:$I570,$I570))</f>
        <v>72</v>
      </c>
      <c r="N570">
        <f t="shared" si="51"/>
        <v>0</v>
      </c>
      <c r="O570" t="s">
        <v>22</v>
      </c>
      <c r="P570" t="s">
        <v>23</v>
      </c>
      <c r="Q570">
        <v>71</v>
      </c>
      <c r="R570" s="25"/>
      <c r="S570" s="25"/>
      <c r="T570" s="24" t="str">
        <f t="shared" si="52"/>
        <v/>
      </c>
      <c r="U570" s="25"/>
    </row>
    <row r="571" spans="1:21" ht="17" x14ac:dyDescent="0.15">
      <c r="A571" s="2">
        <v>415</v>
      </c>
      <c r="B571" s="8" t="s">
        <v>826</v>
      </c>
      <c r="C571" s="28" t="s">
        <v>825</v>
      </c>
      <c r="D571" s="8" t="s">
        <v>12</v>
      </c>
      <c r="E571" s="2" t="s">
        <v>14</v>
      </c>
      <c r="F571" s="9" t="str">
        <f t="shared" si="49"/>
        <v>RAW-CNS-072</v>
      </c>
      <c r="G571" s="2" t="s">
        <v>13</v>
      </c>
      <c r="H571" t="str">
        <f>IFERROR(VLOOKUP($D571,القوائم!$A$2:$B$4,2,0),"")</f>
        <v>RAW</v>
      </c>
      <c r="I571" t="str">
        <f t="shared" si="50"/>
        <v>CNS</v>
      </c>
      <c r="J571">
        <f>IF($H571="","",IF($N571=0,$Q571,SUMPRODUCT(($O$157:$O$590=$H571)*($P$157:$P$590=$I571)*$Q$157:$Q$590)+COUNTIFS($H$157:$H571,$H571,$I$157:$I571,$I571,$N$157:$N571,1)))</f>
        <v>72</v>
      </c>
      <c r="M571">
        <f>IF($I571="","",COUNTIF($I$5:$I571,$I571))</f>
        <v>73</v>
      </c>
      <c r="N571">
        <f t="shared" si="51"/>
        <v>0</v>
      </c>
      <c r="O571" t="s">
        <v>22</v>
      </c>
      <c r="P571" t="s">
        <v>23</v>
      </c>
      <c r="Q571">
        <v>72</v>
      </c>
      <c r="R571" s="25"/>
      <c r="S571" s="25"/>
      <c r="T571" s="24" t="str">
        <f t="shared" si="52"/>
        <v/>
      </c>
      <c r="U571" s="25"/>
    </row>
    <row r="572" spans="1:21" ht="17" x14ac:dyDescent="0.15">
      <c r="A572" s="2">
        <v>416</v>
      </c>
      <c r="B572" s="8" t="s">
        <v>827</v>
      </c>
      <c r="C572" s="28" t="s">
        <v>825</v>
      </c>
      <c r="D572" s="8" t="s">
        <v>12</v>
      </c>
      <c r="E572" s="2" t="s">
        <v>14</v>
      </c>
      <c r="F572" s="9" t="str">
        <f t="shared" si="49"/>
        <v>RAW-CNS-073</v>
      </c>
      <c r="G572" s="2" t="s">
        <v>13</v>
      </c>
      <c r="H572" t="str">
        <f>IFERROR(VLOOKUP($D572,القوائم!$A$2:$B$4,2,0),"")</f>
        <v>RAW</v>
      </c>
      <c r="I572" t="str">
        <f t="shared" si="50"/>
        <v>CNS</v>
      </c>
      <c r="J572">
        <f>IF($H572="","",IF($N572=0,$Q572,SUMPRODUCT(($O$157:$O$590=$H572)*($P$157:$P$590=$I572)*$Q$157:$Q$590)+COUNTIFS($H$157:$H572,$H572,$I$157:$I572,$I572,$N$157:$N572,1)))</f>
        <v>73</v>
      </c>
      <c r="M572">
        <f>IF($I572="","",COUNTIF($I$5:$I572,$I572))</f>
        <v>74</v>
      </c>
      <c r="N572">
        <f t="shared" si="51"/>
        <v>0</v>
      </c>
      <c r="O572" t="s">
        <v>22</v>
      </c>
      <c r="P572" t="s">
        <v>23</v>
      </c>
      <c r="Q572">
        <v>73</v>
      </c>
      <c r="R572" s="25"/>
      <c r="S572" s="25"/>
      <c r="T572" s="24" t="str">
        <f t="shared" si="52"/>
        <v/>
      </c>
      <c r="U572" s="25"/>
    </row>
    <row r="573" spans="1:21" ht="17" x14ac:dyDescent="0.15">
      <c r="A573" s="2">
        <v>417</v>
      </c>
      <c r="B573" s="8" t="s">
        <v>828</v>
      </c>
      <c r="C573" s="28" t="s">
        <v>829</v>
      </c>
      <c r="D573" s="8" t="s">
        <v>12</v>
      </c>
      <c r="E573" s="2" t="s">
        <v>14</v>
      </c>
      <c r="F573" s="9" t="str">
        <f t="shared" si="49"/>
        <v>RAW-CNS-074</v>
      </c>
      <c r="G573" s="2" t="s">
        <v>13</v>
      </c>
      <c r="H573" t="str">
        <f>IFERROR(VLOOKUP($D573,القوائم!$A$2:$B$4,2,0),"")</f>
        <v>RAW</v>
      </c>
      <c r="I573" t="str">
        <f t="shared" si="50"/>
        <v>CNS</v>
      </c>
      <c r="J573">
        <f>IF($H573="","",IF($N573=0,$Q573,SUMPRODUCT(($O$157:$O$590=$H573)*($P$157:$P$590=$I573)*$Q$157:$Q$590)+COUNTIFS($H$157:$H573,$H573,$I$157:$I573,$I573,$N$157:$N573,1)))</f>
        <v>74</v>
      </c>
      <c r="M573">
        <f>IF($I573="","",COUNTIF($I$5:$I573,$I573))</f>
        <v>75</v>
      </c>
      <c r="N573">
        <f t="shared" si="51"/>
        <v>0</v>
      </c>
      <c r="O573" t="s">
        <v>22</v>
      </c>
      <c r="P573" t="s">
        <v>23</v>
      </c>
      <c r="Q573">
        <v>74</v>
      </c>
      <c r="R573" s="25"/>
      <c r="S573" s="25"/>
      <c r="T573" s="24" t="str">
        <f t="shared" si="52"/>
        <v/>
      </c>
      <c r="U573" s="25"/>
    </row>
    <row r="574" spans="1:21" ht="17" x14ac:dyDescent="0.15">
      <c r="A574" s="2">
        <v>418</v>
      </c>
      <c r="B574" s="8" t="s">
        <v>830</v>
      </c>
      <c r="C574" s="28" t="s">
        <v>831</v>
      </c>
      <c r="D574" s="8" t="s">
        <v>12</v>
      </c>
      <c r="E574" s="2" t="s">
        <v>14</v>
      </c>
      <c r="F574" s="9" t="str">
        <f t="shared" si="49"/>
        <v>RAW-CNS-075</v>
      </c>
      <c r="G574" s="2" t="s">
        <v>13</v>
      </c>
      <c r="H574" t="str">
        <f>IFERROR(VLOOKUP($D574,القوائم!$A$2:$B$4,2,0),"")</f>
        <v>RAW</v>
      </c>
      <c r="I574" t="str">
        <f t="shared" si="50"/>
        <v>CNS</v>
      </c>
      <c r="J574">
        <f>IF($H574="","",IF($N574=0,$Q574,SUMPRODUCT(($O$157:$O$590=$H574)*($P$157:$P$590=$I574)*$Q$157:$Q$590)+COUNTIFS($H$157:$H574,$H574,$I$157:$I574,$I574,$N$157:$N574,1)))</f>
        <v>75</v>
      </c>
      <c r="M574">
        <f>IF($I574="","",COUNTIF($I$5:$I574,$I574))</f>
        <v>76</v>
      </c>
      <c r="N574">
        <f t="shared" si="51"/>
        <v>0</v>
      </c>
      <c r="O574" t="s">
        <v>22</v>
      </c>
      <c r="P574" t="s">
        <v>23</v>
      </c>
      <c r="Q574">
        <v>75</v>
      </c>
      <c r="R574" s="25"/>
      <c r="S574" s="25"/>
      <c r="T574" s="24" t="str">
        <f t="shared" si="52"/>
        <v/>
      </c>
      <c r="U574" s="25"/>
    </row>
    <row r="575" spans="1:21" ht="17" x14ac:dyDescent="0.15">
      <c r="A575" s="2">
        <v>419</v>
      </c>
      <c r="B575" s="8" t="s">
        <v>832</v>
      </c>
      <c r="C575" s="28" t="s">
        <v>833</v>
      </c>
      <c r="D575" s="8" t="s">
        <v>12</v>
      </c>
      <c r="E575" s="2" t="s">
        <v>14</v>
      </c>
      <c r="F575" s="9" t="str">
        <f t="shared" si="49"/>
        <v>RAW-CNS-076</v>
      </c>
      <c r="G575" s="2" t="s">
        <v>13</v>
      </c>
      <c r="H575" t="str">
        <f>IFERROR(VLOOKUP($D575,القوائم!$A$2:$B$4,2,0),"")</f>
        <v>RAW</v>
      </c>
      <c r="I575" t="str">
        <f t="shared" si="50"/>
        <v>CNS</v>
      </c>
      <c r="J575">
        <f>IF($H575="","",IF($N575=0,$Q575,SUMPRODUCT(($O$157:$O$590=$H575)*($P$157:$P$590=$I575)*$Q$157:$Q$590)+COUNTIFS($H$157:$H575,$H575,$I$157:$I575,$I575,$N$157:$N575,1)))</f>
        <v>76</v>
      </c>
      <c r="M575">
        <f>IF($I575="","",COUNTIF($I$5:$I575,$I575))</f>
        <v>77</v>
      </c>
      <c r="N575">
        <f t="shared" si="51"/>
        <v>0</v>
      </c>
      <c r="O575" t="s">
        <v>22</v>
      </c>
      <c r="P575" t="s">
        <v>23</v>
      </c>
      <c r="Q575">
        <v>76</v>
      </c>
      <c r="R575" s="25"/>
      <c r="S575" s="25"/>
      <c r="T575" s="24" t="str">
        <f t="shared" si="52"/>
        <v/>
      </c>
      <c r="U575" s="25"/>
    </row>
    <row r="576" spans="1:21" ht="17" x14ac:dyDescent="0.15">
      <c r="A576" s="2">
        <v>420</v>
      </c>
      <c r="B576" s="8" t="s">
        <v>834</v>
      </c>
      <c r="C576" s="28" t="s">
        <v>833</v>
      </c>
      <c r="D576" s="8" t="s">
        <v>12</v>
      </c>
      <c r="E576" s="2" t="s">
        <v>14</v>
      </c>
      <c r="F576" s="9" t="str">
        <f t="shared" si="49"/>
        <v>RAW-CNS-077</v>
      </c>
      <c r="G576" s="2" t="s">
        <v>13</v>
      </c>
      <c r="H576" t="str">
        <f>IFERROR(VLOOKUP($D576,القوائم!$A$2:$B$4,2,0),"")</f>
        <v>RAW</v>
      </c>
      <c r="I576" t="str">
        <f t="shared" si="50"/>
        <v>CNS</v>
      </c>
      <c r="J576">
        <f>IF($H576="","",IF($N576=0,$Q576,SUMPRODUCT(($O$157:$O$590=$H576)*($P$157:$P$590=$I576)*$Q$157:$Q$590)+COUNTIFS($H$157:$H576,$H576,$I$157:$I576,$I576,$N$157:$N576,1)))</f>
        <v>77</v>
      </c>
      <c r="M576">
        <f>IF($I576="","",COUNTIF($I$5:$I576,$I576))</f>
        <v>78</v>
      </c>
      <c r="N576">
        <f t="shared" si="51"/>
        <v>0</v>
      </c>
      <c r="O576" t="s">
        <v>22</v>
      </c>
      <c r="P576" t="s">
        <v>23</v>
      </c>
      <c r="Q576">
        <v>77</v>
      </c>
      <c r="R576" s="25"/>
      <c r="S576" s="25"/>
      <c r="T576" s="24" t="str">
        <f t="shared" si="52"/>
        <v/>
      </c>
      <c r="U576" s="25"/>
    </row>
    <row r="577" spans="1:21" ht="17" x14ac:dyDescent="0.15">
      <c r="A577" s="2">
        <v>421</v>
      </c>
      <c r="B577" s="8" t="s">
        <v>835</v>
      </c>
      <c r="C577" s="28" t="s">
        <v>836</v>
      </c>
      <c r="D577" s="8" t="s">
        <v>12</v>
      </c>
      <c r="E577" s="2" t="s">
        <v>14</v>
      </c>
      <c r="F577" s="9" t="str">
        <f t="shared" si="49"/>
        <v>RAW-CNS-078</v>
      </c>
      <c r="G577" s="2" t="s">
        <v>13</v>
      </c>
      <c r="H577" t="str">
        <f>IFERROR(VLOOKUP($D577,القوائم!$A$2:$B$4,2,0),"")</f>
        <v>RAW</v>
      </c>
      <c r="I577" t="str">
        <f t="shared" si="50"/>
        <v>CNS</v>
      </c>
      <c r="J577">
        <f>IF($H577="","",IF($N577=0,$Q577,SUMPRODUCT(($O$157:$O$590=$H577)*($P$157:$P$590=$I577)*$Q$157:$Q$590)+COUNTIFS($H$157:$H577,$H577,$I$157:$I577,$I577,$N$157:$N577,1)))</f>
        <v>78</v>
      </c>
      <c r="M577">
        <f>IF($I577="","",COUNTIF($I$5:$I577,$I577))</f>
        <v>79</v>
      </c>
      <c r="N577">
        <f t="shared" si="51"/>
        <v>0</v>
      </c>
      <c r="O577" t="s">
        <v>22</v>
      </c>
      <c r="P577" t="s">
        <v>23</v>
      </c>
      <c r="Q577">
        <v>78</v>
      </c>
      <c r="R577" s="25"/>
      <c r="S577" s="25"/>
      <c r="T577" s="24" t="str">
        <f t="shared" si="52"/>
        <v/>
      </c>
      <c r="U577" s="25"/>
    </row>
    <row r="578" spans="1:21" ht="17" x14ac:dyDescent="0.15">
      <c r="A578" s="2">
        <v>422</v>
      </c>
      <c r="B578" s="8" t="s">
        <v>837</v>
      </c>
      <c r="C578" s="28" t="s">
        <v>838</v>
      </c>
      <c r="D578" s="8" t="s">
        <v>12</v>
      </c>
      <c r="E578" s="2" t="s">
        <v>14</v>
      </c>
      <c r="F578" s="9" t="str">
        <f t="shared" si="49"/>
        <v>RAW-CNS-079</v>
      </c>
      <c r="G578" s="2" t="s">
        <v>13</v>
      </c>
      <c r="H578" t="str">
        <f>IFERROR(VLOOKUP($D578,القوائم!$A$2:$B$4,2,0),"")</f>
        <v>RAW</v>
      </c>
      <c r="I578" t="str">
        <f t="shared" si="50"/>
        <v>CNS</v>
      </c>
      <c r="J578">
        <f>IF($H578="","",IF($N578=0,$Q578,SUMPRODUCT(($O$157:$O$590=$H578)*($P$157:$P$590=$I578)*$Q$157:$Q$590)+COUNTIFS($H$157:$H578,$H578,$I$157:$I578,$I578,$N$157:$N578,1)))</f>
        <v>79</v>
      </c>
      <c r="M578">
        <f>IF($I578="","",COUNTIF($I$5:$I578,$I578))</f>
        <v>80</v>
      </c>
      <c r="N578">
        <f t="shared" si="51"/>
        <v>0</v>
      </c>
      <c r="O578" t="s">
        <v>22</v>
      </c>
      <c r="P578" t="s">
        <v>23</v>
      </c>
      <c r="Q578">
        <v>79</v>
      </c>
      <c r="R578" s="25"/>
      <c r="S578" s="25"/>
      <c r="T578" s="24" t="str">
        <f t="shared" si="52"/>
        <v/>
      </c>
      <c r="U578" s="25"/>
    </row>
    <row r="579" spans="1:21" ht="17" x14ac:dyDescent="0.15">
      <c r="A579" s="2">
        <v>423</v>
      </c>
      <c r="B579" s="8" t="s">
        <v>839</v>
      </c>
      <c r="C579" s="28" t="s">
        <v>840</v>
      </c>
      <c r="D579" s="8" t="s">
        <v>12</v>
      </c>
      <c r="E579" s="2" t="s">
        <v>14</v>
      </c>
      <c r="F579" s="9" t="str">
        <f t="shared" si="49"/>
        <v>RAW-CNS-080</v>
      </c>
      <c r="G579" s="2" t="s">
        <v>13</v>
      </c>
      <c r="H579" t="str">
        <f>IFERROR(VLOOKUP($D579,القوائم!$A$2:$B$4,2,0),"")</f>
        <v>RAW</v>
      </c>
      <c r="I579" t="str">
        <f t="shared" si="50"/>
        <v>CNS</v>
      </c>
      <c r="J579">
        <f>IF($H579="","",IF($N579=0,$Q579,SUMPRODUCT(($O$157:$O$590=$H579)*($P$157:$P$590=$I579)*$Q$157:$Q$590)+COUNTIFS($H$157:$H579,$H579,$I$157:$I579,$I579,$N$157:$N579,1)))</f>
        <v>80</v>
      </c>
      <c r="M579">
        <f>IF($I579="","",COUNTIF($I$5:$I579,$I579))</f>
        <v>81</v>
      </c>
      <c r="N579">
        <f t="shared" si="51"/>
        <v>0</v>
      </c>
      <c r="O579" t="s">
        <v>22</v>
      </c>
      <c r="P579" t="s">
        <v>23</v>
      </c>
      <c r="Q579">
        <v>80</v>
      </c>
      <c r="R579" s="25"/>
      <c r="S579" s="25"/>
      <c r="T579" s="24" t="str">
        <f t="shared" si="52"/>
        <v/>
      </c>
      <c r="U579" s="25"/>
    </row>
    <row r="580" spans="1:21" ht="17" x14ac:dyDescent="0.15">
      <c r="A580" s="2">
        <v>424</v>
      </c>
      <c r="B580" s="8" t="s">
        <v>841</v>
      </c>
      <c r="C580" s="28" t="s">
        <v>842</v>
      </c>
      <c r="D580" s="8" t="s">
        <v>12</v>
      </c>
      <c r="E580" s="2" t="s">
        <v>14</v>
      </c>
      <c r="F580" s="9" t="str">
        <f t="shared" si="49"/>
        <v>RAW-CNS-081</v>
      </c>
      <c r="G580" s="2" t="s">
        <v>13</v>
      </c>
      <c r="H580" t="str">
        <f>IFERROR(VLOOKUP($D580,القوائم!$A$2:$B$4,2,0),"")</f>
        <v>RAW</v>
      </c>
      <c r="I580" t="str">
        <f t="shared" si="50"/>
        <v>CNS</v>
      </c>
      <c r="J580">
        <f>IF($H580="","",IF($N580=0,$Q580,SUMPRODUCT(($O$157:$O$590=$H580)*($P$157:$P$590=$I580)*$Q$157:$Q$590)+COUNTIFS($H$157:$H580,$H580,$I$157:$I580,$I580,$N$157:$N580,1)))</f>
        <v>81</v>
      </c>
      <c r="M580">
        <f>IF($I580="","",COUNTIF($I$5:$I580,$I580))</f>
        <v>82</v>
      </c>
      <c r="N580">
        <f t="shared" si="51"/>
        <v>0</v>
      </c>
      <c r="O580" t="s">
        <v>22</v>
      </c>
      <c r="P580" t="s">
        <v>23</v>
      </c>
      <c r="Q580">
        <v>81</v>
      </c>
      <c r="R580" s="25"/>
      <c r="S580" s="25"/>
      <c r="T580" s="24" t="str">
        <f t="shared" si="52"/>
        <v/>
      </c>
      <c r="U580" s="25"/>
    </row>
    <row r="581" spans="1:21" ht="16" x14ac:dyDescent="0.15">
      <c r="A581" s="2">
        <v>425</v>
      </c>
      <c r="B581" s="8" t="s">
        <v>843</v>
      </c>
      <c r="C581" s="28" t="s">
        <v>844</v>
      </c>
      <c r="D581" s="8" t="s">
        <v>12</v>
      </c>
      <c r="E581" s="2" t="s">
        <v>137</v>
      </c>
      <c r="F581" s="9" t="str">
        <f t="shared" si="49"/>
        <v>RAW-CHL-056</v>
      </c>
      <c r="G581" s="2" t="s">
        <v>15</v>
      </c>
      <c r="H581" t="str">
        <f>IFERROR(VLOOKUP($D581,القوائم!$A$2:$B$4,2,0),"")</f>
        <v>RAW</v>
      </c>
      <c r="I581" t="str">
        <f t="shared" si="50"/>
        <v>CHL</v>
      </c>
      <c r="J581">
        <f>IF($H581="","",IF($N581=0,$Q581,SUMPRODUCT(($O$157:$O$590=$H581)*($P$157:$P$590=$I581)*$Q$157:$Q$590)+COUNTIFS($H$157:$H581,$H581,$I$157:$I581,$I581,$N$157:$N581,1)))</f>
        <v>56</v>
      </c>
      <c r="M581">
        <f>IF($I581="","",COUNTIF($I$5:$I581,$I581))</f>
        <v>103</v>
      </c>
      <c r="N581">
        <f t="shared" si="51"/>
        <v>0</v>
      </c>
      <c r="O581" t="s">
        <v>22</v>
      </c>
      <c r="P581" t="s">
        <v>139</v>
      </c>
      <c r="Q581">
        <v>56</v>
      </c>
      <c r="R581" s="25">
        <v>280</v>
      </c>
      <c r="S581" s="25">
        <v>100</v>
      </c>
      <c r="T581" s="24">
        <f t="shared" si="52"/>
        <v>2.8</v>
      </c>
      <c r="U581" s="25"/>
    </row>
    <row r="582" spans="1:21" ht="16" x14ac:dyDescent="0.15">
      <c r="A582" s="2">
        <v>426</v>
      </c>
      <c r="B582" s="8" t="s">
        <v>845</v>
      </c>
      <c r="C582" s="28" t="s">
        <v>784</v>
      </c>
      <c r="D582" s="8" t="s">
        <v>16</v>
      </c>
      <c r="E582" s="2" t="s">
        <v>26</v>
      </c>
      <c r="F582" s="9" t="str">
        <f t="shared" si="49"/>
        <v>FIN-RTS-109</v>
      </c>
      <c r="G582" s="2" t="s">
        <v>13</v>
      </c>
      <c r="H582" t="str">
        <f>IFERROR(VLOOKUP($D582,القوائم!$A$2:$B$4,2,0),"")</f>
        <v>FIN</v>
      </c>
      <c r="I582" t="str">
        <f t="shared" si="50"/>
        <v>RTS</v>
      </c>
      <c r="J582">
        <f>IF($H582="","",IF($N582=0,$Q582,SUMPRODUCT(($O$157:$O$590=$H582)*($P$157:$P$590=$I582)*$Q$157:$Q$590)+COUNTIFS($H$157:$H582,$H582,$I$157:$I582,$I582,$N$157:$N582,1)))</f>
        <v>109</v>
      </c>
      <c r="M582">
        <f>IF($I582="","",COUNTIF($I$5:$I582,$I582))</f>
        <v>109</v>
      </c>
      <c r="N582">
        <f t="shared" si="51"/>
        <v>0</v>
      </c>
      <c r="O582" t="s">
        <v>27</v>
      </c>
      <c r="P582" t="s">
        <v>28</v>
      </c>
      <c r="Q582">
        <v>109</v>
      </c>
      <c r="R582" s="25">
        <v>0</v>
      </c>
      <c r="S582" s="25">
        <v>100</v>
      </c>
      <c r="T582" s="24">
        <f t="shared" si="52"/>
        <v>0</v>
      </c>
      <c r="U582" s="25"/>
    </row>
    <row r="583" spans="1:21" ht="16" x14ac:dyDescent="0.15">
      <c r="A583" s="2">
        <v>427</v>
      </c>
      <c r="B583" s="8" t="s">
        <v>846</v>
      </c>
      <c r="C583" s="28" t="s">
        <v>847</v>
      </c>
      <c r="D583" s="8" t="s">
        <v>12</v>
      </c>
      <c r="E583" s="2" t="s">
        <v>137</v>
      </c>
      <c r="F583" s="9" t="str">
        <f t="shared" si="49"/>
        <v>RAW-CHL-057</v>
      </c>
      <c r="G583" s="2" t="s">
        <v>15</v>
      </c>
      <c r="H583" t="str">
        <f>IFERROR(VLOOKUP($D583,القوائم!$A$2:$B$4,2,0),"")</f>
        <v>RAW</v>
      </c>
      <c r="I583" t="str">
        <f t="shared" si="50"/>
        <v>CHL</v>
      </c>
      <c r="J583">
        <f>IF($H583="","",IF($N583=0,$Q583,SUMPRODUCT(($O$157:$O$590=$H583)*($P$157:$P$590=$I583)*$Q$157:$Q$590)+COUNTIFS($H$157:$H583,$H583,$I$157:$I583,$I583,$N$157:$N583,1)))</f>
        <v>57</v>
      </c>
      <c r="M583">
        <f>IF($I583="","",COUNTIF($I$5:$I583,$I583))</f>
        <v>104</v>
      </c>
      <c r="N583">
        <f t="shared" si="51"/>
        <v>0</v>
      </c>
      <c r="O583" t="s">
        <v>22</v>
      </c>
      <c r="P583" t="s">
        <v>139</v>
      </c>
      <c r="Q583">
        <v>57</v>
      </c>
      <c r="R583" s="25">
        <v>44</v>
      </c>
      <c r="S583" s="25">
        <v>100</v>
      </c>
      <c r="T583" s="24">
        <f t="shared" si="52"/>
        <v>0.44</v>
      </c>
      <c r="U583" s="25"/>
    </row>
    <row r="584" spans="1:21" ht="16" x14ac:dyDescent="0.15">
      <c r="A584" s="2">
        <v>428</v>
      </c>
      <c r="B584" s="8" t="s">
        <v>848</v>
      </c>
      <c r="C584" s="28" t="s">
        <v>849</v>
      </c>
      <c r="D584" s="8" t="s">
        <v>12</v>
      </c>
      <c r="E584" s="2" t="s">
        <v>265</v>
      </c>
      <c r="F584" s="9" t="str">
        <f t="shared" si="49"/>
        <v>RAW-DRY-116</v>
      </c>
      <c r="G584" s="2" t="s">
        <v>15</v>
      </c>
      <c r="H584" t="str">
        <f>IFERROR(VLOOKUP($D584,القوائم!$A$2:$B$4,2,0),"")</f>
        <v>RAW</v>
      </c>
      <c r="I584" t="str">
        <f t="shared" si="50"/>
        <v>DRY</v>
      </c>
      <c r="J584">
        <f>IF($H584="","",IF($N584=0,$Q584,SUMPRODUCT(($O$157:$O$590=$H584)*($P$157:$P$590=$I584)*$Q$157:$Q$590)+COUNTIFS($H$157:$H584,$H584,$I$157:$I584,$I584,$N$157:$N584,1)))</f>
        <v>116</v>
      </c>
      <c r="M584">
        <f>IF($I584="","",COUNTIF($I$5:$I584,$I584))</f>
        <v>118</v>
      </c>
      <c r="N584">
        <f t="shared" si="51"/>
        <v>0</v>
      </c>
      <c r="O584" t="s">
        <v>22</v>
      </c>
      <c r="P584" t="s">
        <v>266</v>
      </c>
      <c r="Q584">
        <v>116</v>
      </c>
      <c r="R584" s="25">
        <v>233</v>
      </c>
      <c r="S584" s="25">
        <v>100</v>
      </c>
      <c r="T584" s="24">
        <f t="shared" si="52"/>
        <v>2.33</v>
      </c>
      <c r="U584" s="25"/>
    </row>
    <row r="585" spans="1:21" ht="17" x14ac:dyDescent="0.15">
      <c r="A585" s="2">
        <v>429</v>
      </c>
      <c r="B585" s="8" t="s">
        <v>850</v>
      </c>
      <c r="C585" s="28" t="s">
        <v>851</v>
      </c>
      <c r="D585" s="8" t="s">
        <v>12</v>
      </c>
      <c r="E585" s="2" t="s">
        <v>14</v>
      </c>
      <c r="F585" s="9" t="str">
        <f t="shared" si="49"/>
        <v>RAW-CNS-082</v>
      </c>
      <c r="G585" s="2" t="s">
        <v>13</v>
      </c>
      <c r="H585" t="str">
        <f>IFERROR(VLOOKUP($D585,القوائم!$A$2:$B$4,2,0),"")</f>
        <v>RAW</v>
      </c>
      <c r="I585" t="str">
        <f t="shared" si="50"/>
        <v>CNS</v>
      </c>
      <c r="J585">
        <f>IF($H585="","",IF($N585=0,$Q585,SUMPRODUCT(($O$157:$O$590=$H585)*($P$157:$P$590=$I585)*$Q$157:$Q$590)+COUNTIFS($H$157:$H585,$H585,$I$157:$I585,$I585,$N$157:$N585,1)))</f>
        <v>82</v>
      </c>
      <c r="M585">
        <f>IF($I585="","",COUNTIF($I$5:$I585,$I585))</f>
        <v>83</v>
      </c>
      <c r="N585">
        <f t="shared" si="51"/>
        <v>0</v>
      </c>
      <c r="O585" t="s">
        <v>22</v>
      </c>
      <c r="P585" t="s">
        <v>23</v>
      </c>
      <c r="Q585">
        <v>82</v>
      </c>
      <c r="R585" s="25"/>
      <c r="S585" s="25"/>
      <c r="T585" s="24" t="str">
        <f t="shared" si="52"/>
        <v/>
      </c>
      <c r="U585" s="25"/>
    </row>
    <row r="586" spans="1:21" ht="17" x14ac:dyDescent="0.15">
      <c r="A586" s="2">
        <v>430</v>
      </c>
      <c r="B586" s="8" t="s">
        <v>852</v>
      </c>
      <c r="C586" s="28" t="s">
        <v>851</v>
      </c>
      <c r="D586" s="8" t="s">
        <v>12</v>
      </c>
      <c r="E586" s="2" t="s">
        <v>14</v>
      </c>
      <c r="F586" s="9" t="str">
        <f t="shared" si="49"/>
        <v>RAW-CNS-083</v>
      </c>
      <c r="G586" s="2" t="s">
        <v>13</v>
      </c>
      <c r="H586" t="str">
        <f>IFERROR(VLOOKUP($D586,القوائم!$A$2:$B$4,2,0),"")</f>
        <v>RAW</v>
      </c>
      <c r="I586" t="str">
        <f t="shared" si="50"/>
        <v>CNS</v>
      </c>
      <c r="J586">
        <f>IF($H586="","",IF($N586=0,$Q586,SUMPRODUCT(($O$157:$O$590=$H586)*($P$157:$P$590=$I586)*$Q$157:$Q$590)+COUNTIFS($H$157:$H586,$H586,$I$157:$I586,$I586,$N$157:$N586,1)))</f>
        <v>83</v>
      </c>
      <c r="M586">
        <f>IF($I586="","",COUNTIF($I$5:$I586,$I586))</f>
        <v>84</v>
      </c>
      <c r="N586">
        <f t="shared" si="51"/>
        <v>0</v>
      </c>
      <c r="O586" t="s">
        <v>22</v>
      </c>
      <c r="P586" t="s">
        <v>23</v>
      </c>
      <c r="Q586">
        <v>83</v>
      </c>
      <c r="R586" s="25"/>
      <c r="S586" s="25"/>
      <c r="T586" s="24" t="str">
        <f t="shared" si="52"/>
        <v/>
      </c>
      <c r="U586" s="25"/>
    </row>
    <row r="587" spans="1:21" ht="17" x14ac:dyDescent="0.15">
      <c r="A587" s="2">
        <v>431</v>
      </c>
      <c r="B587" s="8" t="s">
        <v>853</v>
      </c>
      <c r="C587" s="28" t="s">
        <v>854</v>
      </c>
      <c r="D587" s="8" t="s">
        <v>12</v>
      </c>
      <c r="E587" s="2" t="s">
        <v>14</v>
      </c>
      <c r="F587" s="9" t="str">
        <f t="shared" si="49"/>
        <v>RAW-CNS-084</v>
      </c>
      <c r="G587" s="2" t="s">
        <v>13</v>
      </c>
      <c r="H587" t="str">
        <f>IFERROR(VLOOKUP($D587,القوائم!$A$2:$B$4,2,0),"")</f>
        <v>RAW</v>
      </c>
      <c r="I587" t="str">
        <f t="shared" si="50"/>
        <v>CNS</v>
      </c>
      <c r="J587">
        <f>IF($H587="","",IF($N587=0,$Q587,SUMPRODUCT(($O$157:$O$590=$H587)*($P$157:$P$590=$I587)*$Q$157:$Q$590)+COUNTIFS($H$157:$H587,$H587,$I$157:$I587,$I587,$N$157:$N587,1)))</f>
        <v>84</v>
      </c>
      <c r="M587">
        <f>IF($I587="","",COUNTIF($I$5:$I587,$I587))</f>
        <v>85</v>
      </c>
      <c r="N587">
        <f t="shared" si="51"/>
        <v>0</v>
      </c>
      <c r="O587" t="s">
        <v>22</v>
      </c>
      <c r="P587" t="s">
        <v>23</v>
      </c>
      <c r="Q587">
        <v>84</v>
      </c>
      <c r="R587" s="25"/>
      <c r="S587" s="25"/>
      <c r="T587" s="24" t="str">
        <f t="shared" si="52"/>
        <v/>
      </c>
      <c r="U587" s="25"/>
    </row>
    <row r="588" spans="1:21" ht="17" x14ac:dyDescent="0.15">
      <c r="A588" s="2">
        <v>432</v>
      </c>
      <c r="B588" s="8" t="s">
        <v>855</v>
      </c>
      <c r="C588" s="28" t="s">
        <v>854</v>
      </c>
      <c r="D588" s="8" t="s">
        <v>12</v>
      </c>
      <c r="E588" s="2" t="s">
        <v>14</v>
      </c>
      <c r="F588" s="9" t="str">
        <f t="shared" si="49"/>
        <v>RAW-CNS-085</v>
      </c>
      <c r="G588" s="2" t="s">
        <v>13</v>
      </c>
      <c r="H588" t="str">
        <f>IFERROR(VLOOKUP($D588,القوائم!$A$2:$B$4,2,0),"")</f>
        <v>RAW</v>
      </c>
      <c r="I588" t="str">
        <f t="shared" si="50"/>
        <v>CNS</v>
      </c>
      <c r="J588">
        <f>IF($H588="","",IF($N588=0,$Q588,SUMPRODUCT(($O$157:$O$590=$H588)*($P$157:$P$590=$I588)*$Q$157:$Q$590)+COUNTIFS($H$157:$H588,$H588,$I$157:$I588,$I588,$N$157:$N588,1)))</f>
        <v>85</v>
      </c>
      <c r="M588">
        <f>IF($I588="","",COUNTIF($I$5:$I588,$I588))</f>
        <v>86</v>
      </c>
      <c r="N588">
        <f t="shared" si="51"/>
        <v>0</v>
      </c>
      <c r="O588" t="s">
        <v>22</v>
      </c>
      <c r="P588" t="s">
        <v>23</v>
      </c>
      <c r="Q588">
        <v>85</v>
      </c>
      <c r="R588" s="25"/>
      <c r="S588" s="25"/>
      <c r="T588" s="24" t="str">
        <f t="shared" si="52"/>
        <v/>
      </c>
      <c r="U588" s="25"/>
    </row>
    <row r="589" spans="1:21" ht="17" x14ac:dyDescent="0.15">
      <c r="A589" s="2">
        <v>433</v>
      </c>
      <c r="B589" s="8" t="s">
        <v>856</v>
      </c>
      <c r="C589" s="28" t="s">
        <v>857</v>
      </c>
      <c r="D589" s="8" t="s">
        <v>12</v>
      </c>
      <c r="E589" s="2" t="s">
        <v>14</v>
      </c>
      <c r="F589" s="9" t="str">
        <f t="shared" si="49"/>
        <v>RAW-CNS-086</v>
      </c>
      <c r="G589" s="2" t="s">
        <v>13</v>
      </c>
      <c r="H589" t="str">
        <f>IFERROR(VLOOKUP($D589,القوائم!$A$2:$B$4,2,0),"")</f>
        <v>RAW</v>
      </c>
      <c r="I589" t="str">
        <f t="shared" si="50"/>
        <v>CNS</v>
      </c>
      <c r="J589">
        <f>IF($H589="","",IF($N589=0,$Q589,SUMPRODUCT(($O$157:$O$590=$H589)*($P$157:$P$590=$I589)*$Q$157:$Q$590)+COUNTIFS($H$157:$H589,$H589,$I$157:$I589,$I589,$N$157:$N589,1)))</f>
        <v>86</v>
      </c>
      <c r="M589">
        <f>IF($I589="","",COUNTIF($I$5:$I589,$I589))</f>
        <v>87</v>
      </c>
      <c r="N589">
        <f t="shared" si="51"/>
        <v>0</v>
      </c>
      <c r="O589" t="s">
        <v>22</v>
      </c>
      <c r="P589" t="s">
        <v>23</v>
      </c>
      <c r="Q589">
        <v>86</v>
      </c>
      <c r="R589" s="25"/>
      <c r="S589" s="25"/>
      <c r="T589" s="24" t="str">
        <f t="shared" si="52"/>
        <v/>
      </c>
      <c r="U589" s="25"/>
    </row>
    <row r="590" spans="1:21" ht="16" x14ac:dyDescent="0.15">
      <c r="A590" s="2">
        <v>434</v>
      </c>
      <c r="B590" s="8" t="s">
        <v>858</v>
      </c>
      <c r="C590" s="28" t="s">
        <v>859</v>
      </c>
      <c r="D590" s="8" t="s">
        <v>12</v>
      </c>
      <c r="E590" s="2" t="s">
        <v>265</v>
      </c>
      <c r="F590" s="9" t="str">
        <f t="shared" si="49"/>
        <v>RAW-DRY-117</v>
      </c>
      <c r="G590" s="2" t="s">
        <v>15</v>
      </c>
      <c r="H590" t="str">
        <f>IFERROR(VLOOKUP($D590,القوائم!$A$2:$B$4,2,0),"")</f>
        <v>RAW</v>
      </c>
      <c r="I590" t="str">
        <f t="shared" si="50"/>
        <v>DRY</v>
      </c>
      <c r="J590">
        <f>IF($H590="","",IF($N590=0,$Q590,SUMPRODUCT(($O$157:$O$590=$H590)*($P$157:$P$590=$I590)*$Q$157:$Q$590)+COUNTIFS($H$157:$H590,$H590,$I$157:$I590,$I590,$N$157:$N590,1)))</f>
        <v>117</v>
      </c>
      <c r="M590">
        <f>IF($I590="","",COUNTIF($I$5:$I590,$I590))</f>
        <v>119</v>
      </c>
      <c r="N590">
        <f t="shared" si="51"/>
        <v>0</v>
      </c>
      <c r="O590" t="s">
        <v>22</v>
      </c>
      <c r="P590" t="s">
        <v>266</v>
      </c>
      <c r="Q590">
        <v>117</v>
      </c>
      <c r="R590" s="25">
        <v>26</v>
      </c>
      <c r="S590" s="25">
        <v>100</v>
      </c>
      <c r="T590" s="24">
        <f t="shared" si="52"/>
        <v>0.26</v>
      </c>
      <c r="U590" s="25"/>
    </row>
  </sheetData>
  <autoFilter ref="A156:T590" xr:uid="{00000000-0009-0000-0000-000000000000}"/>
  <mergeCells count="7">
    <mergeCell ref="F2:G2"/>
    <mergeCell ref="A1:G1"/>
    <mergeCell ref="D2:E2"/>
    <mergeCell ref="A155:F155"/>
    <mergeCell ref="A3:D3"/>
    <mergeCell ref="E3:G3"/>
    <mergeCell ref="A2:C2"/>
  </mergeCells>
  <conditionalFormatting sqref="B5:B154">
    <cfRule type="expression" dxfId="2" priority="2">
      <formula>AND($B5&lt;&gt;"",COUNTIF($B$5:$B$590,$B5)&gt;1)</formula>
    </cfRule>
  </conditionalFormatting>
  <conditionalFormatting sqref="E157:E590">
    <cfRule type="expression" dxfId="1" priority="3">
      <formula>AND($D157="منتج نهائي",$E157&lt;&gt;"جاهز للبيع")</formula>
    </cfRule>
  </conditionalFormatting>
  <conditionalFormatting sqref="F5:F154">
    <cfRule type="expression" dxfId="0" priority="1">
      <formula>ISNUMBER(SEARCH("اختر",$F5))</formula>
    </cfRule>
  </conditionalFormatting>
  <dataValidations count="1">
    <dataValidation type="list" allowBlank="1" prompt="اختر حالة المنتج" sqref="E5:E154 E157:E590" xr:uid="{00000000-0002-0000-0000-000001000000}">
      <formula1>INDIRECT($H5)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prompt="اختر نوع المنتج" xr:uid="{00000000-0002-0000-0000-000000000000}">
          <x14:formula1>
            <xm:f>القوائم!$A$2:$A$4</xm:f>
          </x14:formula1>
          <xm:sqref>D5:D154 D157:D590</xm:sqref>
        </x14:dataValidation>
        <x14:dataValidation type="list" allowBlank="1" prompt="اختر وحدة القياس" xr:uid="{00000000-0002-0000-0000-000003000000}">
          <x14:formula1>
            <xm:f>القوائم!$L$2:$L$6</xm:f>
          </x14:formula1>
          <xm:sqref>G5:G154 G157:G590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03"/>
  <sheetViews>
    <sheetView rightToLeft="1" workbookViewId="0">
      <pane ySplit="3" topLeftCell="A4" activePane="bottomLeft" state="frozen"/>
      <selection pane="bottomLeft" activeCell="E17" sqref="E17"/>
    </sheetView>
  </sheetViews>
  <sheetFormatPr baseColWidth="10" defaultColWidth="8.83203125" defaultRowHeight="14" x14ac:dyDescent="0.15"/>
  <cols>
    <col min="1" max="1" width="5" customWidth="1"/>
    <col min="2" max="2" width="19.5" customWidth="1"/>
    <col min="3" max="3" width="34" customWidth="1"/>
    <col min="4" max="4" width="28" customWidth="1"/>
    <col min="5" max="5" width="13" customWidth="1"/>
    <col min="6" max="6" width="11" customWidth="1"/>
    <col min="7" max="7" width="13" customWidth="1"/>
    <col min="8" max="8" width="20" customWidth="1"/>
    <col min="9" max="9" width="13" hidden="1" customWidth="1"/>
    <col min="10" max="10" width="15" customWidth="1"/>
  </cols>
  <sheetData>
    <row r="1" spans="1:10" ht="28" customHeight="1" x14ac:dyDescent="0.15">
      <c r="A1" s="32" t="s">
        <v>860</v>
      </c>
      <c r="B1" s="33"/>
      <c r="C1" s="33"/>
      <c r="D1" s="33"/>
      <c r="E1" s="33"/>
      <c r="F1" s="33"/>
      <c r="G1" s="33"/>
      <c r="H1" s="33"/>
    </row>
    <row r="2" spans="1:10" x14ac:dyDescent="0.15">
      <c r="A2" s="40" t="s">
        <v>861</v>
      </c>
      <c r="B2" s="33"/>
      <c r="C2" s="33"/>
      <c r="D2" s="33"/>
      <c r="E2" s="33"/>
      <c r="F2" s="41" t="str">
        <f>"عدد الأصناف: "&amp;COUNTIF('إدخال وسجل المنتجات'!$I$5:$I$590,"FRZ")</f>
        <v>عدد الأصناف: 17</v>
      </c>
      <c r="G2" s="33"/>
      <c r="H2" s="33"/>
    </row>
    <row r="3" spans="1:10" ht="15" x14ac:dyDescent="0.15">
      <c r="A3" s="1" t="s">
        <v>2</v>
      </c>
      <c r="B3" s="1" t="s">
        <v>19</v>
      </c>
      <c r="C3" s="1" t="s">
        <v>862</v>
      </c>
      <c r="D3" s="1" t="s">
        <v>863</v>
      </c>
      <c r="E3" s="1" t="s">
        <v>864</v>
      </c>
      <c r="F3" s="1" t="s">
        <v>865</v>
      </c>
      <c r="G3" s="1" t="s">
        <v>866</v>
      </c>
      <c r="H3" s="1" t="s">
        <v>867</v>
      </c>
      <c r="J3" s="1" t="s">
        <v>882</v>
      </c>
    </row>
    <row r="4" spans="1:10" ht="16" x14ac:dyDescent="0.15">
      <c r="A4" s="2">
        <f>IF($I4=0,"",1)</f>
        <v>1</v>
      </c>
      <c r="B4" s="9" t="str">
        <f>IF($I4=0,"",INDEX('إدخال وسجل المنتجات'!$F$5:$F$590,$I4))</f>
        <v>RAW-FRZ-001</v>
      </c>
      <c r="C4" s="8" t="str">
        <f>IF($I4=0,"",INDEX('إدخال وسجل المنتجات'!$B$5:$B$590,$I4))</f>
        <v>كاس ثلج</v>
      </c>
      <c r="D4" s="10" t="str">
        <f>IF($I4=0,"",INDEX('إدخال وسجل المنتجات'!$C$5:$C$590,$I4))</f>
        <v>Cup Of Ice</v>
      </c>
      <c r="E4" s="11" t="str">
        <f>IF($I4=0,"",INDEX('إدخال وسجل المنتجات'!$D$5:$D$590,$I4))</f>
        <v>مواد خام</v>
      </c>
      <c r="F4" s="2" t="str">
        <f>IF($I4=0,"",INDEX('إدخال وسجل المنتجات'!$G$5:$G$590,$I4))</f>
        <v>وحدة</v>
      </c>
      <c r="G4" s="12"/>
      <c r="H4" s="13"/>
      <c r="I4">
        <f>SUMPRODUCT(('إدخال وسجل المنتجات'!$I$5:$I$590="FRZ")*('إدخال وسجل المنتجات'!$M$5:$M$590=1)*(ROW('إدخال وسجل المنتجات'!$I$5:$I$590)-4))</f>
        <v>249</v>
      </c>
      <c r="J4" s="2" t="str">
        <f>IF($I4=0,"",IF($G4="","",$G4*IF(INDEX('إدخال وسجل المنتجات'!$U$5:$U$590,$I4)=0,1,INDEX('إدخال وسجل المنتجات'!$U$5:$U$590,$I4))))</f>
        <v/>
      </c>
    </row>
    <row r="5" spans="1:10" ht="16" x14ac:dyDescent="0.15">
      <c r="A5" s="2">
        <f>IF($I5=0,"",2)</f>
        <v>2</v>
      </c>
      <c r="B5" s="9" t="str">
        <f>IF($I5=0,"",INDEX('إدخال وسجل المنتجات'!$F$5:$F$590,$I5))</f>
        <v>RAW-FRZ-002</v>
      </c>
      <c r="C5" s="8" t="str">
        <f>IF($I5=0,"",INDEX('إدخال وسجل المنتجات'!$B$5:$B$590,$I5))</f>
        <v>ببروني</v>
      </c>
      <c r="D5" s="10" t="str">
        <f>IF($I5=0,"",INDEX('إدخال وسجل المنتجات'!$C$5:$C$590,$I5))</f>
        <v>Pepperoni</v>
      </c>
      <c r="E5" s="11" t="str">
        <f>IF($I5=0,"",INDEX('إدخال وسجل المنتجات'!$D$5:$D$590,$I5))</f>
        <v>مواد خام</v>
      </c>
      <c r="F5" s="2" t="str">
        <f>IF($I5=0,"",INDEX('إدخال وسجل المنتجات'!$G$5:$G$590,$I5))</f>
        <v>كيلو</v>
      </c>
      <c r="G5" s="12"/>
      <c r="H5" s="13"/>
      <c r="I5">
        <f>SUMPRODUCT(('إدخال وسجل المنتجات'!$I$5:$I$590="FRZ")*('إدخال وسجل المنتجات'!$M$5:$M$590=2)*(ROW('إدخال وسجل المنتجات'!$I$5:$I$590)-4))</f>
        <v>284</v>
      </c>
      <c r="J5" s="2" t="str">
        <f>IF($I5=0,"",IF($G5="","",$G5*IF(INDEX('إدخال وسجل المنتجات'!$U$5:$U$590,$I5)=0,1,INDEX('إدخال وسجل المنتجات'!$U$5:$U$590,$I5))))</f>
        <v/>
      </c>
    </row>
    <row r="6" spans="1:10" ht="16" x14ac:dyDescent="0.15">
      <c r="A6" s="2">
        <f>IF($I6=0,"",3)</f>
        <v>3</v>
      </c>
      <c r="B6" s="9" t="str">
        <f>IF($I6=0,"",INDEX('إدخال وسجل المنتجات'!$F$5:$F$590,$I6))</f>
        <v>RAW-FRZ-003</v>
      </c>
      <c r="C6" s="8" t="str">
        <f>IF($I6=0,"",INDEX('إدخال وسجل المنتجات'!$B$5:$B$590,$I6))</f>
        <v>ثلج</v>
      </c>
      <c r="D6" s="10" t="str">
        <f>IF($I6=0,"",INDEX('إدخال وسجل المنتجات'!$C$5:$C$590,$I6))</f>
        <v>Ice</v>
      </c>
      <c r="E6" s="11" t="str">
        <f>IF($I6=0,"",INDEX('إدخال وسجل المنتجات'!$D$5:$D$590,$I6))</f>
        <v>مواد خام</v>
      </c>
      <c r="F6" s="2" t="str">
        <f>IF($I6=0,"",INDEX('إدخال وسجل المنتجات'!$G$5:$G$590,$I6))</f>
        <v>كيلو</v>
      </c>
      <c r="G6" s="12"/>
      <c r="H6" s="13"/>
      <c r="I6">
        <f>SUMPRODUCT(('إدخال وسجل المنتجات'!$I$5:$I$590="FRZ")*('إدخال وسجل المنتجات'!$M$5:$M$590=3)*(ROW('إدخال وسجل المنتجات'!$I$5:$I$590)-4))</f>
        <v>323</v>
      </c>
      <c r="J6" s="2" t="str">
        <f>IF($I6=0,"",IF($G6="","",$G6*IF(INDEX('إدخال وسجل المنتجات'!$U$5:$U$590,$I6)=0,1,INDEX('إدخال وسجل المنتجات'!$U$5:$U$590,$I6))))</f>
        <v/>
      </c>
    </row>
    <row r="7" spans="1:10" ht="16" x14ac:dyDescent="0.15">
      <c r="A7" s="2">
        <f>IF($I7=0,"",4)</f>
        <v>4</v>
      </c>
      <c r="B7" s="9" t="str">
        <f>IF($I7=0,"",INDEX('إدخال وسجل المنتجات'!$F$5:$F$590,$I7))</f>
        <v>RAW-FRZ-004</v>
      </c>
      <c r="C7" s="8" t="str">
        <f>IF($I7=0,"",INDEX('إدخال وسجل المنتجات'!$B$5:$B$590,$I7))</f>
        <v>جمبري</v>
      </c>
      <c r="D7" s="10" t="str">
        <f>IF($I7=0,"",INDEX('إدخال وسجل المنتجات'!$C$5:$C$590,$I7))</f>
        <v>Shrimp</v>
      </c>
      <c r="E7" s="11" t="str">
        <f>IF($I7=0,"",INDEX('إدخال وسجل المنتجات'!$D$5:$D$590,$I7))</f>
        <v>مواد خام</v>
      </c>
      <c r="F7" s="2" t="str">
        <f>IF($I7=0,"",INDEX('إدخال وسجل المنتجات'!$G$5:$G$590,$I7))</f>
        <v>كيلو</v>
      </c>
      <c r="G7" s="12"/>
      <c r="H7" s="13"/>
      <c r="I7">
        <f>SUMPRODUCT(('إدخال وسجل المنتجات'!$I$5:$I$590="FRZ")*('إدخال وسجل المنتجات'!$M$5:$M$590=4)*(ROW('إدخال وسجل المنتجات'!$I$5:$I$590)-4))</f>
        <v>338</v>
      </c>
      <c r="J7" s="2" t="str">
        <f>IF($I7=0,"",IF($G7="","",$G7*IF(INDEX('إدخال وسجل المنتجات'!$U$5:$U$590,$I7)=0,1,INDEX('إدخال وسجل المنتجات'!$U$5:$U$590,$I7))))</f>
        <v/>
      </c>
    </row>
    <row r="8" spans="1:10" ht="16" x14ac:dyDescent="0.15">
      <c r="A8" s="2">
        <f>IF($I8=0,"",5)</f>
        <v>5</v>
      </c>
      <c r="B8" s="9" t="str">
        <f>IF($I8=0,"",INDEX('إدخال وسجل المنتجات'!$F$5:$F$590,$I8))</f>
        <v>RAW-FRZ-005</v>
      </c>
      <c r="C8" s="8" t="str">
        <f>IF($I8=0,"",INDEX('إدخال وسجل المنتجات'!$B$5:$B$590,$I8))</f>
        <v>سلامي</v>
      </c>
      <c r="D8" s="10" t="str">
        <f>IF($I8=0,"",INDEX('إدخال وسجل المنتجات'!$C$5:$C$590,$I8))</f>
        <v>Salami</v>
      </c>
      <c r="E8" s="11" t="str">
        <f>IF($I8=0,"",INDEX('إدخال وسجل المنتجات'!$D$5:$D$590,$I8))</f>
        <v>مواد خام</v>
      </c>
      <c r="F8" s="2" t="str">
        <f>IF($I8=0,"",INDEX('إدخال وسجل المنتجات'!$G$5:$G$590,$I8))</f>
        <v>كيلو</v>
      </c>
      <c r="G8" s="12"/>
      <c r="H8" s="13"/>
      <c r="I8">
        <f>SUMPRODUCT(('إدخال وسجل المنتجات'!$I$5:$I$590="FRZ")*('إدخال وسجل المنتجات'!$M$5:$M$590=5)*(ROW('إدخال وسجل المنتجات'!$I$5:$I$590)-4))</f>
        <v>407</v>
      </c>
      <c r="J8" s="2" t="str">
        <f>IF($I8=0,"",IF($G8="","",$G8*IF(INDEX('إدخال وسجل المنتجات'!$U$5:$U$590,$I8)=0,1,INDEX('إدخال وسجل المنتجات'!$U$5:$U$590,$I8))))</f>
        <v/>
      </c>
    </row>
    <row r="9" spans="1:10" ht="16" x14ac:dyDescent="0.15">
      <c r="A9" s="2">
        <f>IF($I9=0,"",6)</f>
        <v>6</v>
      </c>
      <c r="B9" s="9" t="str">
        <f>IF($I9=0,"",INDEX('إدخال وسجل المنتجات'!$F$5:$F$590,$I9))</f>
        <v>RAW-FRZ-006</v>
      </c>
      <c r="C9" s="8" t="str">
        <f>IF($I9=0,"",INDEX('إدخال وسجل المنتجات'!$B$5:$B$590,$I9))</f>
        <v>شرائح لحم امريكي</v>
      </c>
      <c r="D9" s="10" t="str">
        <f>IF($I9=0,"",INDEX('إدخال وسجل المنتجات'!$C$5:$C$590,$I9))</f>
        <v>Sliced Meat</v>
      </c>
      <c r="E9" s="11" t="str">
        <f>IF($I9=0,"",INDEX('إدخال وسجل المنتجات'!$D$5:$D$590,$I9))</f>
        <v>مواد خام</v>
      </c>
      <c r="F9" s="2" t="str">
        <f>IF($I9=0,"",INDEX('إدخال وسجل المنتجات'!$G$5:$G$590,$I9))</f>
        <v>كيلو</v>
      </c>
      <c r="G9" s="12"/>
      <c r="H9" s="13"/>
      <c r="I9">
        <f>SUMPRODUCT(('إدخال وسجل المنتجات'!$I$5:$I$590="FRZ")*('إدخال وسجل المنتجات'!$M$5:$M$590=6)*(ROW('إدخال وسجل المنتجات'!$I$5:$I$590)-4))</f>
        <v>421</v>
      </c>
      <c r="J9" s="2" t="str">
        <f>IF($I9=0,"",IF($G9="","",$G9*IF(INDEX('إدخال وسجل المنتجات'!$U$5:$U$590,$I9)=0,1,INDEX('إدخال وسجل المنتجات'!$U$5:$U$590,$I9))))</f>
        <v/>
      </c>
    </row>
    <row r="10" spans="1:10" ht="16" x14ac:dyDescent="0.15">
      <c r="A10" s="2">
        <f>IF($I10=0,"",7)</f>
        <v>7</v>
      </c>
      <c r="B10" s="9" t="str">
        <f>IF($I10=0,"",INDEX('إدخال وسجل المنتجات'!$F$5:$F$590,$I10))</f>
        <v>RAW-FRZ-007</v>
      </c>
      <c r="C10" s="8" t="str">
        <f>IF($I10=0,"",INDEX('إدخال وسجل المنتجات'!$B$5:$B$590,$I10))</f>
        <v>شرائح لحم بقري</v>
      </c>
      <c r="D10" s="10" t="str">
        <f>IF($I10=0,"",INDEX('إدخال وسجل المنتجات'!$C$5:$C$590,$I10))</f>
        <v>Sliced Meat</v>
      </c>
      <c r="E10" s="11" t="str">
        <f>IF($I10=0,"",INDEX('إدخال وسجل المنتجات'!$D$5:$D$590,$I10))</f>
        <v>مواد خام</v>
      </c>
      <c r="F10" s="2" t="str">
        <f>IF($I10=0,"",INDEX('إدخال وسجل المنتجات'!$G$5:$G$590,$I10))</f>
        <v>كيلو</v>
      </c>
      <c r="G10" s="12"/>
      <c r="H10" s="13"/>
      <c r="I10">
        <f>SUMPRODUCT(('إدخال وسجل المنتجات'!$I$5:$I$590="FRZ")*('إدخال وسجل المنتجات'!$M$5:$M$590=7)*(ROW('إدخال وسجل المنتجات'!$I$5:$I$590)-4))</f>
        <v>422</v>
      </c>
      <c r="J10" s="2" t="str">
        <f>IF($I10=0,"",IF($G10="","",$G10*IF(INDEX('إدخال وسجل المنتجات'!$U$5:$U$590,$I10)=0,1,INDEX('إدخال وسجل المنتجات'!$U$5:$U$590,$I10))))</f>
        <v/>
      </c>
    </row>
    <row r="11" spans="1:10" ht="16" x14ac:dyDescent="0.15">
      <c r="A11" s="2">
        <f>IF($I11=0,"",8)</f>
        <v>8</v>
      </c>
      <c r="B11" s="9" t="str">
        <f>IF($I11=0,"",INDEX('إدخال وسجل المنتجات'!$F$5:$F$590,$I11))</f>
        <v>TRN-FRZ-001</v>
      </c>
      <c r="C11" s="8" t="str">
        <f>IF($I11=0,"",INDEX('إدخال وسجل المنتجات'!$B$5:$B$590,$I11))</f>
        <v>صدور الدجاج المتبلة</v>
      </c>
      <c r="D11" s="10" t="str">
        <f>IF($I11=0,"",INDEX('إدخال وسجل المنتجات'!$C$5:$C$590,$I11))</f>
        <v>Marinated Chicken Breast</v>
      </c>
      <c r="E11" s="11" t="str">
        <f>IF($I11=0,"",INDEX('إدخال وسجل المنتجات'!$D$5:$D$590,$I11))</f>
        <v>مواد تحويلية</v>
      </c>
      <c r="F11" s="2" t="str">
        <f>IF($I11=0,"",INDEX('إدخال وسجل المنتجات'!$G$5:$G$590,$I11))</f>
        <v>كيلو</v>
      </c>
      <c r="G11" s="12"/>
      <c r="H11" s="13"/>
      <c r="I11">
        <f>SUMPRODUCT(('إدخال وسجل المنتجات'!$I$5:$I$590="FRZ")*('إدخال وسجل المنتجات'!$M$5:$M$590=8)*(ROW('إدخال وسجل المنتجات'!$I$5:$I$590)-4))</f>
        <v>436</v>
      </c>
      <c r="J11" s="2" t="str">
        <f>IF($I11=0,"",IF($G11="","",$G11*IF(INDEX('إدخال وسجل المنتجات'!$U$5:$U$590,$I11)=0,1,INDEX('إدخال وسجل المنتجات'!$U$5:$U$590,$I11))))</f>
        <v/>
      </c>
    </row>
    <row r="12" spans="1:10" ht="16" x14ac:dyDescent="0.15">
      <c r="A12" s="2">
        <f>IF($I12=0,"",9)</f>
        <v>9</v>
      </c>
      <c r="B12" s="9" t="str">
        <f>IF($I12=0,"",INDEX('إدخال وسجل المنتجات'!$F$5:$F$590,$I12))</f>
        <v>RAW-FRZ-008</v>
      </c>
      <c r="C12" s="8" t="str">
        <f>IF($I12=0,"",INDEX('إدخال وسجل المنتجات'!$B$5:$B$590,$I12))</f>
        <v>صدور دجاج</v>
      </c>
      <c r="D12" s="10" t="str">
        <f>IF($I12=0,"",INDEX('إدخال وسجل المنتجات'!$C$5:$C$590,$I12))</f>
        <v>Chicken Breast</v>
      </c>
      <c r="E12" s="11" t="str">
        <f>IF($I12=0,"",INDEX('إدخال وسجل المنتجات'!$D$5:$D$590,$I12))</f>
        <v>مواد خام</v>
      </c>
      <c r="F12" s="2" t="str">
        <f>IF($I12=0,"",INDEX('إدخال وسجل المنتجات'!$G$5:$G$590,$I12))</f>
        <v>كيلو</v>
      </c>
      <c r="G12" s="12"/>
      <c r="H12" s="13"/>
      <c r="I12">
        <f>SUMPRODUCT(('إدخال وسجل المنتجات'!$I$5:$I$590="FRZ")*('إدخال وسجل المنتجات'!$M$5:$M$590=9)*(ROW('إدخال وسجل المنتجات'!$I$5:$I$590)-4))</f>
        <v>437</v>
      </c>
      <c r="J12" s="2" t="str">
        <f>IF($I12=0,"",IF($G12="","",$G12*IF(INDEX('إدخال وسجل المنتجات'!$U$5:$U$590,$I12)=0,1,INDEX('إدخال وسجل المنتجات'!$U$5:$U$590,$I12))))</f>
        <v/>
      </c>
    </row>
    <row r="13" spans="1:10" ht="16" x14ac:dyDescent="0.15">
      <c r="A13" s="2">
        <f>IF($I13=0,"",10)</f>
        <v>10</v>
      </c>
      <c r="B13" s="9" t="str">
        <f>IF($I13=0,"",INDEX('إدخال وسجل المنتجات'!$F$5:$F$590,$I13))</f>
        <v>RAW-FRZ-009</v>
      </c>
      <c r="C13" s="8" t="str">
        <f>IF($I13=0,"",INDEX('إدخال وسجل المنتجات'!$B$5:$B$590,$I13))</f>
        <v>لحم البريسكت</v>
      </c>
      <c r="D13" s="10" t="str">
        <f>IF($I13=0,"",INDEX('إدخال وسجل المنتجات'!$C$5:$C$590,$I13))</f>
        <v>Meat Brisket</v>
      </c>
      <c r="E13" s="11" t="str">
        <f>IF($I13=0,"",INDEX('إدخال وسجل المنتجات'!$D$5:$D$590,$I13))</f>
        <v>مواد خام</v>
      </c>
      <c r="F13" s="2" t="str">
        <f>IF($I13=0,"",INDEX('إدخال وسجل المنتجات'!$G$5:$G$590,$I13))</f>
        <v>كيلو</v>
      </c>
      <c r="G13" s="12"/>
      <c r="H13" s="13"/>
      <c r="I13">
        <f>SUMPRODUCT(('إدخال وسجل المنتجات'!$I$5:$I$590="FRZ")*('إدخال وسجل المنتجات'!$M$5:$M$590=10)*(ROW('إدخال وسجل المنتجات'!$I$5:$I$590)-4))</f>
        <v>534</v>
      </c>
      <c r="J13" s="2" t="str">
        <f>IF($I13=0,"",IF($G13="","",$G13*IF(INDEX('إدخال وسجل المنتجات'!$U$5:$U$590,$I13)=0,1,INDEX('إدخال وسجل المنتجات'!$U$5:$U$590,$I13))))</f>
        <v/>
      </c>
    </row>
    <row r="14" spans="1:10" ht="16" x14ac:dyDescent="0.15">
      <c r="A14" s="2">
        <f>IF($I14=0,"",11)</f>
        <v>11</v>
      </c>
      <c r="B14" s="9" t="str">
        <f>IF($I14=0,"",INDEX('إدخال وسجل المنتجات'!$F$5:$F$590,$I14))</f>
        <v>RAW-FRZ-010</v>
      </c>
      <c r="C14" s="8" t="str">
        <f>IF($I14=0,"",INDEX('إدخال وسجل المنتجات'!$B$5:$B$590,$I14))</f>
        <v>لحم بريسكت</v>
      </c>
      <c r="D14" s="10" t="str">
        <f>IF($I14=0,"",INDEX('إدخال وسجل المنتجات'!$C$5:$C$590,$I14))</f>
        <v>Meat Brisket</v>
      </c>
      <c r="E14" s="11" t="str">
        <f>IF($I14=0,"",INDEX('إدخال وسجل المنتجات'!$D$5:$D$590,$I14))</f>
        <v>مواد خام</v>
      </c>
      <c r="F14" s="2" t="str">
        <f>IF($I14=0,"",INDEX('إدخال وسجل المنتجات'!$G$5:$G$590,$I14))</f>
        <v>كيلو</v>
      </c>
      <c r="G14" s="12"/>
      <c r="H14" s="13"/>
      <c r="I14">
        <f>SUMPRODUCT(('إدخال وسجل المنتجات'!$I$5:$I$590="FRZ")*('إدخال وسجل المنتجات'!$M$5:$M$590=11)*(ROW('إدخال وسجل المنتجات'!$I$5:$I$590)-4))</f>
        <v>535</v>
      </c>
      <c r="J14" s="2" t="str">
        <f>IF($I14=0,"",IF($G14="","",$G14*IF(INDEX('إدخال وسجل المنتجات'!$U$5:$U$590,$I14)=0,1,INDEX('إدخال وسجل المنتجات'!$U$5:$U$590,$I14))))</f>
        <v/>
      </c>
    </row>
    <row r="15" spans="1:10" ht="28.5" customHeight="1" x14ac:dyDescent="0.15">
      <c r="A15" s="2">
        <f>IF($I15=0,"",12)</f>
        <v>12</v>
      </c>
      <c r="B15" s="9" t="str">
        <f>IF($I15=0,"",INDEX('إدخال وسجل المنتجات'!$F$5:$F$590,$I15))</f>
        <v>RAW-FRZ-011</v>
      </c>
      <c r="C15" s="8" t="str">
        <f>IF($I15=0,"",INDEX('إدخال وسجل المنتجات'!$B$5:$B$590,$I15))</f>
        <v>لحم بيبروني بلاك انجوس</v>
      </c>
      <c r="D15" s="10" t="str">
        <f>IF($I15=0,"",INDEX('إدخال وسجل المنتجات'!$C$5:$C$590,$I15))</f>
        <v>Meat Pepperoni Black Angus</v>
      </c>
      <c r="E15" s="11" t="str">
        <f>IF($I15=0,"",INDEX('إدخال وسجل المنتجات'!$D$5:$D$590,$I15))</f>
        <v>مواد خام</v>
      </c>
      <c r="F15" s="2" t="str">
        <f>IF($I15=0,"",INDEX('إدخال وسجل المنتجات'!$G$5:$G$590,$I15))</f>
        <v>كيلو</v>
      </c>
      <c r="G15" s="12"/>
      <c r="H15" s="13"/>
      <c r="I15">
        <f>SUMPRODUCT(('إدخال وسجل المنتجات'!$I$5:$I$590="FRZ")*('إدخال وسجل المنتجات'!$M$5:$M$590=12)*(ROW('إدخال وسجل المنتجات'!$I$5:$I$590)-4))</f>
        <v>536</v>
      </c>
      <c r="J15" s="2" t="str">
        <f>IF($I15=0,"",IF($G15="","",$G15*IF(INDEX('إدخال وسجل المنتجات'!$U$5:$U$590,$I15)=0,1,INDEX('إدخال وسجل المنتجات'!$U$5:$U$590,$I15))))</f>
        <v/>
      </c>
    </row>
    <row r="16" spans="1:10" ht="16" x14ac:dyDescent="0.15">
      <c r="A16" s="2">
        <f>IF($I16=0,"",13)</f>
        <v>13</v>
      </c>
      <c r="B16" s="9" t="str">
        <f>IF($I16=0,"",INDEX('إدخال وسجل المنتجات'!$F$5:$F$590,$I16))</f>
        <v>RAW-FRZ-012</v>
      </c>
      <c r="C16" s="8" t="str">
        <f>IF($I16=0,"",INDEX('إدخال وسجل المنتجات'!$B$5:$B$590,$I16))</f>
        <v>لحم غنم</v>
      </c>
      <c r="D16" s="10" t="str">
        <f>IF($I16=0,"",INDEX('إدخال وسجل المنتجات'!$C$5:$C$590,$I16))</f>
        <v>Meat Lamb</v>
      </c>
      <c r="E16" s="11" t="str">
        <f>IF($I16=0,"",INDEX('إدخال وسجل المنتجات'!$D$5:$D$590,$I16))</f>
        <v>مواد خام</v>
      </c>
      <c r="F16" s="2" t="str">
        <f>IF($I16=0,"",INDEX('إدخال وسجل المنتجات'!$G$5:$G$590,$I16))</f>
        <v>كيلو</v>
      </c>
      <c r="G16" s="12"/>
      <c r="H16" s="13"/>
      <c r="I16">
        <f>SUMPRODUCT(('إدخال وسجل المنتجات'!$I$5:$I$590="FRZ")*('إدخال وسجل المنتجات'!$M$5:$M$590=13)*(ROW('إدخال وسجل المنتجات'!$I$5:$I$590)-4))</f>
        <v>537</v>
      </c>
      <c r="J16" s="2" t="str">
        <f>IF($I16=0,"",IF($G16="","",$G16*IF(INDEX('إدخال وسجل المنتجات'!$U$5:$U$590,$I16)=0,1,INDEX('إدخال وسجل المنتجات'!$U$5:$U$590,$I16))))</f>
        <v/>
      </c>
    </row>
    <row r="17" spans="1:10" ht="16" x14ac:dyDescent="0.15">
      <c r="A17" s="2">
        <f>IF($I17=0,"",14)</f>
        <v>14</v>
      </c>
      <c r="B17" s="9" t="str">
        <f>IF($I17=0,"",INDEX('إدخال وسجل المنتجات'!$F$5:$F$590,$I17))</f>
        <v>RAW-FRZ-013</v>
      </c>
      <c r="C17" s="8" t="str">
        <f>IF($I17=0,"",INDEX('إدخال وسجل المنتجات'!$B$5:$B$590,$I17))</f>
        <v>لحم لازانيا مفروم</v>
      </c>
      <c r="D17" s="10" t="str">
        <f>IF($I17=0,"",INDEX('إدخال وسجل المنتجات'!$C$5:$C$590,$I17))</f>
        <v>Lasagna Ground Meat</v>
      </c>
      <c r="E17" s="11" t="str">
        <f>IF($I17=0,"",INDEX('إدخال وسجل المنتجات'!$D$5:$D$590,$I17))</f>
        <v>مواد خام</v>
      </c>
      <c r="F17" s="2" t="str">
        <f>IF($I17=0,"",INDEX('إدخال وسجل المنتجات'!$G$5:$G$590,$I17))</f>
        <v>كيلو</v>
      </c>
      <c r="G17" s="12"/>
      <c r="H17" s="13"/>
      <c r="I17">
        <f>SUMPRODUCT(('إدخال وسجل المنتجات'!$I$5:$I$590="FRZ")*('إدخال وسجل المنتجات'!$M$5:$M$590=14)*(ROW('إدخال وسجل المنتجات'!$I$5:$I$590)-4))</f>
        <v>538</v>
      </c>
      <c r="J17" s="2" t="str">
        <f>IF($I17=0,"",IF($G17="","",$G17*IF(INDEX('إدخال وسجل المنتجات'!$U$5:$U$590,$I17)=0,1,INDEX('إدخال وسجل المنتجات'!$U$5:$U$590,$I17))))</f>
        <v/>
      </c>
    </row>
    <row r="18" spans="1:10" ht="16" x14ac:dyDescent="0.15">
      <c r="A18" s="2">
        <f>IF($I18=0,"",15)</f>
        <v>15</v>
      </c>
      <c r="B18" s="9" t="str">
        <f>IF($I18=0,"",INDEX('إدخال وسجل المنتجات'!$F$5:$F$590,$I18))</f>
        <v>TRN-FRZ-002</v>
      </c>
      <c r="C18" s="8" t="str">
        <f>IF($I18=0,"",INDEX('إدخال وسجل المنتجات'!$B$5:$B$590,$I18))</f>
        <v>لحم متبل</v>
      </c>
      <c r="D18" s="10" t="str">
        <f>IF($I18=0,"",INDEX('إدخال وسجل المنتجات'!$C$5:$C$590,$I18))</f>
        <v>Marinated Meat</v>
      </c>
      <c r="E18" s="11" t="str">
        <f>IF($I18=0,"",INDEX('إدخال وسجل المنتجات'!$D$5:$D$590,$I18))</f>
        <v>مواد تحويلية</v>
      </c>
      <c r="F18" s="2" t="str">
        <f>IF($I18=0,"",INDEX('إدخال وسجل المنتجات'!$G$5:$G$590,$I18))</f>
        <v>كيلو</v>
      </c>
      <c r="G18" s="12"/>
      <c r="H18" s="13"/>
      <c r="I18">
        <f>SUMPRODUCT(('إدخال وسجل المنتجات'!$I$5:$I$590="FRZ")*('إدخال وسجل المنتجات'!$M$5:$M$590=15)*(ROW('إدخال وسجل المنتجات'!$I$5:$I$590)-4))</f>
        <v>539</v>
      </c>
      <c r="J18" s="2" t="str">
        <f>IF($I18=0,"",IF($G18="","",$G18*IF(INDEX('إدخال وسجل المنتجات'!$U$5:$U$590,$I18)=0,1,INDEX('إدخال وسجل المنتجات'!$U$5:$U$590,$I18))))</f>
        <v/>
      </c>
    </row>
    <row r="19" spans="1:10" ht="16" x14ac:dyDescent="0.15">
      <c r="A19" s="2">
        <f>IF($I19=0,"",16)</f>
        <v>16</v>
      </c>
      <c r="B19" s="9" t="str">
        <f>IF($I19=0,"",INDEX('إدخال وسجل المنتجات'!$F$5:$F$590,$I19))</f>
        <v>RAW-FRZ-014</v>
      </c>
      <c r="C19" s="8" t="str">
        <f>IF($I19=0,"",INDEX('إدخال وسجل المنتجات'!$B$5:$B$590,$I19))</f>
        <v>لحم مفروم</v>
      </c>
      <c r="D19" s="10" t="str">
        <f>IF($I19=0,"",INDEX('إدخال وسجل المنتجات'!$C$5:$C$590,$I19))</f>
        <v>Ground Meat</v>
      </c>
      <c r="E19" s="11" t="str">
        <f>IF($I19=0,"",INDEX('إدخال وسجل المنتجات'!$D$5:$D$590,$I19))</f>
        <v>مواد خام</v>
      </c>
      <c r="F19" s="2" t="str">
        <f>IF($I19=0,"",INDEX('إدخال وسجل المنتجات'!$G$5:$G$590,$I19))</f>
        <v>كيلو</v>
      </c>
      <c r="G19" s="12"/>
      <c r="H19" s="13"/>
      <c r="I19">
        <f>SUMPRODUCT(('إدخال وسجل المنتجات'!$I$5:$I$590="FRZ")*('إدخال وسجل المنتجات'!$M$5:$M$590=16)*(ROW('إدخال وسجل المنتجات'!$I$5:$I$590)-4))</f>
        <v>540</v>
      </c>
      <c r="J19" s="2" t="str">
        <f>IF($I19=0,"",IF($G19="","",$G19*IF(INDEX('إدخال وسجل المنتجات'!$U$5:$U$590,$I19)=0,1,INDEX('إدخال وسجل المنتجات'!$U$5:$U$590,$I19))))</f>
        <v/>
      </c>
    </row>
    <row r="20" spans="1:10" ht="16" x14ac:dyDescent="0.15">
      <c r="A20" s="2">
        <f>IF($I20=0,"",17)</f>
        <v>17</v>
      </c>
      <c r="B20" s="9" t="str">
        <f>IF($I20=0,"",INDEX('إدخال وسجل المنتجات'!$F$5:$F$590,$I20))</f>
        <v>RAW-FRZ-015</v>
      </c>
      <c r="C20" s="8" t="str">
        <f>IF($I20=0,"",INDEX('إدخال وسجل المنتجات'!$B$5:$B$590,$I20))</f>
        <v>محار</v>
      </c>
      <c r="D20" s="10" t="str">
        <f>IF($I20=0,"",INDEX('إدخال وسجل المنتجات'!$C$5:$C$590,$I20))</f>
        <v>Clams</v>
      </c>
      <c r="E20" s="11" t="str">
        <f>IF($I20=0,"",INDEX('إدخال وسجل المنتجات'!$D$5:$D$590,$I20))</f>
        <v>مواد خام</v>
      </c>
      <c r="F20" s="2" t="str">
        <f>IF($I20=0,"",INDEX('إدخال وسجل المنتجات'!$G$5:$G$590,$I20))</f>
        <v>كيلو</v>
      </c>
      <c r="G20" s="12"/>
      <c r="H20" s="13"/>
      <c r="I20">
        <f>SUMPRODUCT(('إدخال وسجل المنتجات'!$I$5:$I$590="FRZ")*('إدخال وسجل المنتجات'!$M$5:$M$590=17)*(ROW('إدخال وسجل المنتجات'!$I$5:$I$590)-4))</f>
        <v>549</v>
      </c>
      <c r="J20" s="2" t="str">
        <f>IF($I20=0,"",IF($G20="","",$G20*IF(INDEX('إدخال وسجل المنتجات'!$U$5:$U$590,$I20)=0,1,INDEX('إدخال وسجل المنتجات'!$U$5:$U$590,$I20))))</f>
        <v/>
      </c>
    </row>
    <row r="21" spans="1:10" ht="16" x14ac:dyDescent="0.15">
      <c r="A21" s="2" t="str">
        <f>IF($I21=0,"",18)</f>
        <v/>
      </c>
      <c r="B21" s="9" t="str">
        <f>IF($I21=0,"",INDEX('إدخال وسجل المنتجات'!$F$5:$F$590,$I21))</f>
        <v/>
      </c>
      <c r="C21" s="8" t="str">
        <f>IF($I21=0,"",INDEX('إدخال وسجل المنتجات'!$B$5:$B$590,$I21))</f>
        <v/>
      </c>
      <c r="D21" s="10" t="str">
        <f>IF($I21=0,"",INDEX('إدخال وسجل المنتجات'!$C$5:$C$590,$I21))</f>
        <v/>
      </c>
      <c r="E21" s="11" t="str">
        <f>IF($I21=0,"",INDEX('إدخال وسجل المنتجات'!$D$5:$D$590,$I21))</f>
        <v/>
      </c>
      <c r="F21" s="2" t="str">
        <f>IF($I21=0,"",INDEX('إدخال وسجل المنتجات'!$G$5:$G$590,$I21))</f>
        <v/>
      </c>
      <c r="G21" s="12"/>
      <c r="H21" s="13"/>
      <c r="I21">
        <f>SUMPRODUCT(('إدخال وسجل المنتجات'!$I$5:$I$590="FRZ")*('إدخال وسجل المنتجات'!$M$5:$M$590=18)*(ROW('إدخال وسجل المنتجات'!$I$5:$I$590)-4))</f>
        <v>0</v>
      </c>
      <c r="J21" s="2" t="str">
        <f>IF($I21=0,"",IF($G21="","",$G21*IF(INDEX('إدخال وسجل المنتجات'!$U$5:$U$590,$I21)=0,1,INDEX('إدخال وسجل المنتجات'!$U$5:$U$590,$I21))))</f>
        <v/>
      </c>
    </row>
    <row r="22" spans="1:10" ht="16" x14ac:dyDescent="0.15">
      <c r="A22" s="2" t="str">
        <f>IF($I22=0,"",19)</f>
        <v/>
      </c>
      <c r="B22" s="9" t="str">
        <f>IF($I22=0,"",INDEX('إدخال وسجل المنتجات'!$F$5:$F$590,$I22))</f>
        <v/>
      </c>
      <c r="C22" s="8" t="str">
        <f>IF($I22=0,"",INDEX('إدخال وسجل المنتجات'!$B$5:$B$590,$I22))</f>
        <v/>
      </c>
      <c r="D22" s="10" t="str">
        <f>IF($I22=0,"",INDEX('إدخال وسجل المنتجات'!$C$5:$C$590,$I22))</f>
        <v/>
      </c>
      <c r="E22" s="11" t="str">
        <f>IF($I22=0,"",INDEX('إدخال وسجل المنتجات'!$D$5:$D$590,$I22))</f>
        <v/>
      </c>
      <c r="F22" s="2" t="str">
        <f>IF($I22=0,"",INDEX('إدخال وسجل المنتجات'!$G$5:$G$590,$I22))</f>
        <v/>
      </c>
      <c r="G22" s="12"/>
      <c r="H22" s="13"/>
      <c r="I22">
        <f>SUMPRODUCT(('إدخال وسجل المنتجات'!$I$5:$I$590="FRZ")*('إدخال وسجل المنتجات'!$M$5:$M$590=19)*(ROW('إدخال وسجل المنتجات'!$I$5:$I$590)-4))</f>
        <v>0</v>
      </c>
      <c r="J22" s="2" t="str">
        <f>IF($I22=0,"",IF($G22="","",$G22*IF(INDEX('إدخال وسجل المنتجات'!$U$5:$U$590,$I22)=0,1,INDEX('إدخال وسجل المنتجات'!$U$5:$U$590,$I22))))</f>
        <v/>
      </c>
    </row>
    <row r="23" spans="1:10" ht="16" x14ac:dyDescent="0.15">
      <c r="A23" s="2" t="str">
        <f>IF($I23=0,"",20)</f>
        <v/>
      </c>
      <c r="B23" s="9" t="str">
        <f>IF($I23=0,"",INDEX('إدخال وسجل المنتجات'!$F$5:$F$590,$I23))</f>
        <v/>
      </c>
      <c r="C23" s="8" t="str">
        <f>IF($I23=0,"",INDEX('إدخال وسجل المنتجات'!$B$5:$B$590,$I23))</f>
        <v/>
      </c>
      <c r="D23" s="10" t="str">
        <f>IF($I23=0,"",INDEX('إدخال وسجل المنتجات'!$C$5:$C$590,$I23))</f>
        <v/>
      </c>
      <c r="E23" s="11" t="str">
        <f>IF($I23=0,"",INDEX('إدخال وسجل المنتجات'!$D$5:$D$590,$I23))</f>
        <v/>
      </c>
      <c r="F23" s="2" t="str">
        <f>IF($I23=0,"",INDEX('إدخال وسجل المنتجات'!$G$5:$G$590,$I23))</f>
        <v/>
      </c>
      <c r="G23" s="12"/>
      <c r="H23" s="13"/>
      <c r="I23">
        <f>SUMPRODUCT(('إدخال وسجل المنتجات'!$I$5:$I$590="FRZ")*('إدخال وسجل المنتجات'!$M$5:$M$590=20)*(ROW('إدخال وسجل المنتجات'!$I$5:$I$590)-4))</f>
        <v>0</v>
      </c>
      <c r="J23" s="2" t="str">
        <f>IF($I23=0,"",IF($G23="","",$G23*IF(INDEX('إدخال وسجل المنتجات'!$U$5:$U$590,$I23)=0,1,INDEX('إدخال وسجل المنتجات'!$U$5:$U$590,$I23))))</f>
        <v/>
      </c>
    </row>
    <row r="24" spans="1:10" ht="16" x14ac:dyDescent="0.15">
      <c r="A24" s="2" t="str">
        <f>IF($I24=0,"",21)</f>
        <v/>
      </c>
      <c r="B24" s="9" t="str">
        <f>IF($I24=0,"",INDEX('إدخال وسجل المنتجات'!$F$5:$F$590,$I24))</f>
        <v/>
      </c>
      <c r="C24" s="8" t="str">
        <f>IF($I24=0,"",INDEX('إدخال وسجل المنتجات'!$B$5:$B$590,$I24))</f>
        <v/>
      </c>
      <c r="D24" s="10" t="str">
        <f>IF($I24=0,"",INDEX('إدخال وسجل المنتجات'!$C$5:$C$590,$I24))</f>
        <v/>
      </c>
      <c r="E24" s="11" t="str">
        <f>IF($I24=0,"",INDEX('إدخال وسجل المنتجات'!$D$5:$D$590,$I24))</f>
        <v/>
      </c>
      <c r="F24" s="2" t="str">
        <f>IF($I24=0,"",INDEX('إدخال وسجل المنتجات'!$G$5:$G$590,$I24))</f>
        <v/>
      </c>
      <c r="G24" s="12"/>
      <c r="H24" s="13"/>
      <c r="I24">
        <f>SUMPRODUCT(('إدخال وسجل المنتجات'!$I$5:$I$590="FRZ")*('إدخال وسجل المنتجات'!$M$5:$M$590=21)*(ROW('إدخال وسجل المنتجات'!$I$5:$I$590)-4))</f>
        <v>0</v>
      </c>
      <c r="J24" s="2" t="str">
        <f>IF($I24=0,"",IF($G24="","",$G24*IF(INDEX('إدخال وسجل المنتجات'!$U$5:$U$590,$I24)=0,1,INDEX('إدخال وسجل المنتجات'!$U$5:$U$590,$I24))))</f>
        <v/>
      </c>
    </row>
    <row r="25" spans="1:10" ht="16" x14ac:dyDescent="0.15">
      <c r="A25" s="2" t="str">
        <f>IF($I25=0,"",22)</f>
        <v/>
      </c>
      <c r="B25" s="9" t="str">
        <f>IF($I25=0,"",INDEX('إدخال وسجل المنتجات'!$F$5:$F$590,$I25))</f>
        <v/>
      </c>
      <c r="C25" s="8" t="str">
        <f>IF($I25=0,"",INDEX('إدخال وسجل المنتجات'!$B$5:$B$590,$I25))</f>
        <v/>
      </c>
      <c r="D25" s="10" t="str">
        <f>IF($I25=0,"",INDEX('إدخال وسجل المنتجات'!$C$5:$C$590,$I25))</f>
        <v/>
      </c>
      <c r="E25" s="11" t="str">
        <f>IF($I25=0,"",INDEX('إدخال وسجل المنتجات'!$D$5:$D$590,$I25))</f>
        <v/>
      </c>
      <c r="F25" s="2" t="str">
        <f>IF($I25=0,"",INDEX('إدخال وسجل المنتجات'!$G$5:$G$590,$I25))</f>
        <v/>
      </c>
      <c r="G25" s="12"/>
      <c r="H25" s="13"/>
      <c r="I25">
        <f>SUMPRODUCT(('إدخال وسجل المنتجات'!$I$5:$I$590="FRZ")*('إدخال وسجل المنتجات'!$M$5:$M$590=22)*(ROW('إدخال وسجل المنتجات'!$I$5:$I$590)-4))</f>
        <v>0</v>
      </c>
      <c r="J25" s="2" t="str">
        <f>IF($I25=0,"",IF($G25="","",$G25*IF(INDEX('إدخال وسجل المنتجات'!$U$5:$U$590,$I25)=0,1,INDEX('إدخال وسجل المنتجات'!$U$5:$U$590,$I25))))</f>
        <v/>
      </c>
    </row>
    <row r="26" spans="1:10" ht="16" x14ac:dyDescent="0.15">
      <c r="A26" s="2" t="str">
        <f>IF($I26=0,"",23)</f>
        <v/>
      </c>
      <c r="B26" s="9" t="str">
        <f>IF($I26=0,"",INDEX('إدخال وسجل المنتجات'!$F$5:$F$590,$I26))</f>
        <v/>
      </c>
      <c r="C26" s="8" t="str">
        <f>IF($I26=0,"",INDEX('إدخال وسجل المنتجات'!$B$5:$B$590,$I26))</f>
        <v/>
      </c>
      <c r="D26" s="10" t="str">
        <f>IF($I26=0,"",INDEX('إدخال وسجل المنتجات'!$C$5:$C$590,$I26))</f>
        <v/>
      </c>
      <c r="E26" s="11" t="str">
        <f>IF($I26=0,"",INDEX('إدخال وسجل المنتجات'!$D$5:$D$590,$I26))</f>
        <v/>
      </c>
      <c r="F26" s="2" t="str">
        <f>IF($I26=0,"",INDEX('إدخال وسجل المنتجات'!$G$5:$G$590,$I26))</f>
        <v/>
      </c>
      <c r="G26" s="12"/>
      <c r="H26" s="13"/>
      <c r="I26">
        <f>SUMPRODUCT(('إدخال وسجل المنتجات'!$I$5:$I$590="FRZ")*('إدخال وسجل المنتجات'!$M$5:$M$590=23)*(ROW('إدخال وسجل المنتجات'!$I$5:$I$590)-4))</f>
        <v>0</v>
      </c>
      <c r="J26" s="2" t="str">
        <f>IF($I26=0,"",IF($G26="","",$G26*IF(INDEX('إدخال وسجل المنتجات'!$U$5:$U$590,$I26)=0,1,INDEX('إدخال وسجل المنتجات'!$U$5:$U$590,$I26))))</f>
        <v/>
      </c>
    </row>
    <row r="27" spans="1:10" ht="16" x14ac:dyDescent="0.15">
      <c r="A27" s="2" t="str">
        <f>IF($I27=0,"",24)</f>
        <v/>
      </c>
      <c r="B27" s="9" t="str">
        <f>IF($I27=0,"",INDEX('إدخال وسجل المنتجات'!$F$5:$F$590,$I27))</f>
        <v/>
      </c>
      <c r="C27" s="8" t="str">
        <f>IF($I27=0,"",INDEX('إدخال وسجل المنتجات'!$B$5:$B$590,$I27))</f>
        <v/>
      </c>
      <c r="D27" s="10" t="str">
        <f>IF($I27=0,"",INDEX('إدخال وسجل المنتجات'!$C$5:$C$590,$I27))</f>
        <v/>
      </c>
      <c r="E27" s="11" t="str">
        <f>IF($I27=0,"",INDEX('إدخال وسجل المنتجات'!$D$5:$D$590,$I27))</f>
        <v/>
      </c>
      <c r="F27" s="2" t="str">
        <f>IF($I27=0,"",INDEX('إدخال وسجل المنتجات'!$G$5:$G$590,$I27))</f>
        <v/>
      </c>
      <c r="G27" s="12"/>
      <c r="H27" s="13"/>
      <c r="I27">
        <f>SUMPRODUCT(('إدخال وسجل المنتجات'!$I$5:$I$590="FRZ")*('إدخال وسجل المنتجات'!$M$5:$M$590=24)*(ROW('إدخال وسجل المنتجات'!$I$5:$I$590)-4))</f>
        <v>0</v>
      </c>
      <c r="J27" s="2" t="str">
        <f>IF($I27=0,"",IF($G27="","",$G27*IF(INDEX('إدخال وسجل المنتجات'!$U$5:$U$590,$I27)=0,1,INDEX('إدخال وسجل المنتجات'!$U$5:$U$590,$I27))))</f>
        <v/>
      </c>
    </row>
    <row r="28" spans="1:10" ht="16" x14ac:dyDescent="0.15">
      <c r="A28" s="2" t="str">
        <f>IF($I28=0,"",25)</f>
        <v/>
      </c>
      <c r="B28" s="9" t="str">
        <f>IF($I28=0,"",INDEX('إدخال وسجل المنتجات'!$F$5:$F$590,$I28))</f>
        <v/>
      </c>
      <c r="C28" s="8" t="str">
        <f>IF($I28=0,"",INDEX('إدخال وسجل المنتجات'!$B$5:$B$590,$I28))</f>
        <v/>
      </c>
      <c r="D28" s="10" t="str">
        <f>IF($I28=0,"",INDEX('إدخال وسجل المنتجات'!$C$5:$C$590,$I28))</f>
        <v/>
      </c>
      <c r="E28" s="11" t="str">
        <f>IF($I28=0,"",INDEX('إدخال وسجل المنتجات'!$D$5:$D$590,$I28))</f>
        <v/>
      </c>
      <c r="F28" s="2" t="str">
        <f>IF($I28=0,"",INDEX('إدخال وسجل المنتجات'!$G$5:$G$590,$I28))</f>
        <v/>
      </c>
      <c r="G28" s="12"/>
      <c r="H28" s="13"/>
      <c r="I28">
        <f>SUMPRODUCT(('إدخال وسجل المنتجات'!$I$5:$I$590="FRZ")*('إدخال وسجل المنتجات'!$M$5:$M$590=25)*(ROW('إدخال وسجل المنتجات'!$I$5:$I$590)-4))</f>
        <v>0</v>
      </c>
      <c r="J28" s="2" t="str">
        <f>IF($I28=0,"",IF($G28="","",$G28*IF(INDEX('إدخال وسجل المنتجات'!$U$5:$U$590,$I28)=0,1,INDEX('إدخال وسجل المنتجات'!$U$5:$U$590,$I28))))</f>
        <v/>
      </c>
    </row>
    <row r="29" spans="1:10" ht="16" x14ac:dyDescent="0.15">
      <c r="A29" s="2" t="str">
        <f>IF($I29=0,"",26)</f>
        <v/>
      </c>
      <c r="B29" s="9" t="str">
        <f>IF($I29=0,"",INDEX('إدخال وسجل المنتجات'!$F$5:$F$590,$I29))</f>
        <v/>
      </c>
      <c r="C29" s="8" t="str">
        <f>IF($I29=0,"",INDEX('إدخال وسجل المنتجات'!$B$5:$B$590,$I29))</f>
        <v/>
      </c>
      <c r="D29" s="10" t="str">
        <f>IF($I29=0,"",INDEX('إدخال وسجل المنتجات'!$C$5:$C$590,$I29))</f>
        <v/>
      </c>
      <c r="E29" s="11" t="str">
        <f>IF($I29=0,"",INDEX('إدخال وسجل المنتجات'!$D$5:$D$590,$I29))</f>
        <v/>
      </c>
      <c r="F29" s="2" t="str">
        <f>IF($I29=0,"",INDEX('إدخال وسجل المنتجات'!$G$5:$G$590,$I29))</f>
        <v/>
      </c>
      <c r="G29" s="12"/>
      <c r="H29" s="13"/>
      <c r="I29">
        <f>SUMPRODUCT(('إدخال وسجل المنتجات'!$I$5:$I$590="FRZ")*('إدخال وسجل المنتجات'!$M$5:$M$590=26)*(ROW('إدخال وسجل المنتجات'!$I$5:$I$590)-4))</f>
        <v>0</v>
      </c>
      <c r="J29" s="2" t="str">
        <f>IF($I29=0,"",IF($G29="","",$G29*IF(INDEX('إدخال وسجل المنتجات'!$U$5:$U$590,$I29)=0,1,INDEX('إدخال وسجل المنتجات'!$U$5:$U$590,$I29))))</f>
        <v/>
      </c>
    </row>
    <row r="30" spans="1:10" ht="16" x14ac:dyDescent="0.15">
      <c r="A30" s="2" t="str">
        <f>IF($I30=0,"",27)</f>
        <v/>
      </c>
      <c r="B30" s="9" t="str">
        <f>IF($I30=0,"",INDEX('إدخال وسجل المنتجات'!$F$5:$F$590,$I30))</f>
        <v/>
      </c>
      <c r="C30" s="8" t="str">
        <f>IF($I30=0,"",INDEX('إدخال وسجل المنتجات'!$B$5:$B$590,$I30))</f>
        <v/>
      </c>
      <c r="D30" s="10" t="str">
        <f>IF($I30=0,"",INDEX('إدخال وسجل المنتجات'!$C$5:$C$590,$I30))</f>
        <v/>
      </c>
      <c r="E30" s="11" t="str">
        <f>IF($I30=0,"",INDEX('إدخال وسجل المنتجات'!$D$5:$D$590,$I30))</f>
        <v/>
      </c>
      <c r="F30" s="2" t="str">
        <f>IF($I30=0,"",INDEX('إدخال وسجل المنتجات'!$G$5:$G$590,$I30))</f>
        <v/>
      </c>
      <c r="G30" s="12"/>
      <c r="H30" s="13"/>
      <c r="I30">
        <f>SUMPRODUCT(('إدخال وسجل المنتجات'!$I$5:$I$590="FRZ")*('إدخال وسجل المنتجات'!$M$5:$M$590=27)*(ROW('إدخال وسجل المنتجات'!$I$5:$I$590)-4))</f>
        <v>0</v>
      </c>
      <c r="J30" s="2" t="str">
        <f>IF($I30=0,"",IF($G30="","",$G30*IF(INDEX('إدخال وسجل المنتجات'!$U$5:$U$590,$I30)=0,1,INDEX('إدخال وسجل المنتجات'!$U$5:$U$590,$I30))))</f>
        <v/>
      </c>
    </row>
    <row r="31" spans="1:10" ht="16" x14ac:dyDescent="0.15">
      <c r="A31" s="2" t="str">
        <f>IF($I31=0,"",28)</f>
        <v/>
      </c>
      <c r="B31" s="9" t="str">
        <f>IF($I31=0,"",INDEX('إدخال وسجل المنتجات'!$F$5:$F$590,$I31))</f>
        <v/>
      </c>
      <c r="C31" s="8" t="str">
        <f>IF($I31=0,"",INDEX('إدخال وسجل المنتجات'!$B$5:$B$590,$I31))</f>
        <v/>
      </c>
      <c r="D31" s="10" t="str">
        <f>IF($I31=0,"",INDEX('إدخال وسجل المنتجات'!$C$5:$C$590,$I31))</f>
        <v/>
      </c>
      <c r="E31" s="11" t="str">
        <f>IF($I31=0,"",INDEX('إدخال وسجل المنتجات'!$D$5:$D$590,$I31))</f>
        <v/>
      </c>
      <c r="F31" s="2" t="str">
        <f>IF($I31=0,"",INDEX('إدخال وسجل المنتجات'!$G$5:$G$590,$I31))</f>
        <v/>
      </c>
      <c r="G31" s="12"/>
      <c r="H31" s="13"/>
      <c r="I31">
        <f>SUMPRODUCT(('إدخال وسجل المنتجات'!$I$5:$I$590="FRZ")*('إدخال وسجل المنتجات'!$M$5:$M$590=28)*(ROW('إدخال وسجل المنتجات'!$I$5:$I$590)-4))</f>
        <v>0</v>
      </c>
      <c r="J31" s="2" t="str">
        <f>IF($I31=0,"",IF($G31="","",$G31*IF(INDEX('إدخال وسجل المنتجات'!$U$5:$U$590,$I31)=0,1,INDEX('إدخال وسجل المنتجات'!$U$5:$U$590,$I31))))</f>
        <v/>
      </c>
    </row>
    <row r="32" spans="1:10" ht="16" x14ac:dyDescent="0.15">
      <c r="A32" s="2" t="str">
        <f>IF($I32=0,"",29)</f>
        <v/>
      </c>
      <c r="B32" s="9" t="str">
        <f>IF($I32=0,"",INDEX('إدخال وسجل المنتجات'!$F$5:$F$590,$I32))</f>
        <v/>
      </c>
      <c r="C32" s="8" t="str">
        <f>IF($I32=0,"",INDEX('إدخال وسجل المنتجات'!$B$5:$B$590,$I32))</f>
        <v/>
      </c>
      <c r="D32" s="10" t="str">
        <f>IF($I32=0,"",INDEX('إدخال وسجل المنتجات'!$C$5:$C$590,$I32))</f>
        <v/>
      </c>
      <c r="E32" s="11" t="str">
        <f>IF($I32=0,"",INDEX('إدخال وسجل المنتجات'!$D$5:$D$590,$I32))</f>
        <v/>
      </c>
      <c r="F32" s="2" t="str">
        <f>IF($I32=0,"",INDEX('إدخال وسجل المنتجات'!$G$5:$G$590,$I32))</f>
        <v/>
      </c>
      <c r="G32" s="12"/>
      <c r="H32" s="13"/>
      <c r="I32">
        <f>SUMPRODUCT(('إدخال وسجل المنتجات'!$I$5:$I$590="FRZ")*('إدخال وسجل المنتجات'!$M$5:$M$590=29)*(ROW('إدخال وسجل المنتجات'!$I$5:$I$590)-4))</f>
        <v>0</v>
      </c>
      <c r="J32" s="2" t="str">
        <f>IF($I32=0,"",IF($G32="","",$G32*IF(INDEX('إدخال وسجل المنتجات'!$U$5:$U$590,$I32)=0,1,INDEX('إدخال وسجل المنتجات'!$U$5:$U$590,$I32))))</f>
        <v/>
      </c>
    </row>
    <row r="33" spans="1:10" ht="16" x14ac:dyDescent="0.15">
      <c r="A33" s="2" t="str">
        <f>IF($I33=0,"",30)</f>
        <v/>
      </c>
      <c r="B33" s="9" t="str">
        <f>IF($I33=0,"",INDEX('إدخال وسجل المنتجات'!$F$5:$F$590,$I33))</f>
        <v/>
      </c>
      <c r="C33" s="8" t="str">
        <f>IF($I33=0,"",INDEX('إدخال وسجل المنتجات'!$B$5:$B$590,$I33))</f>
        <v/>
      </c>
      <c r="D33" s="10" t="str">
        <f>IF($I33=0,"",INDEX('إدخال وسجل المنتجات'!$C$5:$C$590,$I33))</f>
        <v/>
      </c>
      <c r="E33" s="11" t="str">
        <f>IF($I33=0,"",INDEX('إدخال وسجل المنتجات'!$D$5:$D$590,$I33))</f>
        <v/>
      </c>
      <c r="F33" s="2" t="str">
        <f>IF($I33=0,"",INDEX('إدخال وسجل المنتجات'!$G$5:$G$590,$I33))</f>
        <v/>
      </c>
      <c r="G33" s="12"/>
      <c r="H33" s="13"/>
      <c r="I33">
        <f>SUMPRODUCT(('إدخال وسجل المنتجات'!$I$5:$I$590="FRZ")*('إدخال وسجل المنتجات'!$M$5:$M$590=30)*(ROW('إدخال وسجل المنتجات'!$I$5:$I$590)-4))</f>
        <v>0</v>
      </c>
      <c r="J33" s="2" t="str">
        <f>IF($I33=0,"",IF($G33="","",$G33*IF(INDEX('إدخال وسجل المنتجات'!$U$5:$U$590,$I33)=0,1,INDEX('إدخال وسجل المنتجات'!$U$5:$U$590,$I33))))</f>
        <v/>
      </c>
    </row>
    <row r="34" spans="1:10" ht="16" x14ac:dyDescent="0.15">
      <c r="A34" s="2" t="str">
        <f>IF($I34=0,"",31)</f>
        <v/>
      </c>
      <c r="B34" s="9" t="str">
        <f>IF($I34=0,"",INDEX('إدخال وسجل المنتجات'!$F$5:$F$590,$I34))</f>
        <v/>
      </c>
      <c r="C34" s="8" t="str">
        <f>IF($I34=0,"",INDEX('إدخال وسجل المنتجات'!$B$5:$B$590,$I34))</f>
        <v/>
      </c>
      <c r="D34" s="10" t="str">
        <f>IF($I34=0,"",INDEX('إدخال وسجل المنتجات'!$C$5:$C$590,$I34))</f>
        <v/>
      </c>
      <c r="E34" s="11" t="str">
        <f>IF($I34=0,"",INDEX('إدخال وسجل المنتجات'!$D$5:$D$590,$I34))</f>
        <v/>
      </c>
      <c r="F34" s="2" t="str">
        <f>IF($I34=0,"",INDEX('إدخال وسجل المنتجات'!$G$5:$G$590,$I34))</f>
        <v/>
      </c>
      <c r="G34" s="12"/>
      <c r="H34" s="13"/>
      <c r="I34">
        <f>SUMPRODUCT(('إدخال وسجل المنتجات'!$I$5:$I$590="FRZ")*('إدخال وسجل المنتجات'!$M$5:$M$590=31)*(ROW('إدخال وسجل المنتجات'!$I$5:$I$590)-4))</f>
        <v>0</v>
      </c>
      <c r="J34" s="2" t="str">
        <f>IF($I34=0,"",IF($G34="","",$G34*IF(INDEX('إدخال وسجل المنتجات'!$U$5:$U$590,$I34)=0,1,INDEX('إدخال وسجل المنتجات'!$U$5:$U$590,$I34))))</f>
        <v/>
      </c>
    </row>
    <row r="35" spans="1:10" ht="16" x14ac:dyDescent="0.15">
      <c r="A35" s="2" t="str">
        <f>IF($I35=0,"",32)</f>
        <v/>
      </c>
      <c r="B35" s="9" t="str">
        <f>IF($I35=0,"",INDEX('إدخال وسجل المنتجات'!$F$5:$F$590,$I35))</f>
        <v/>
      </c>
      <c r="C35" s="8" t="str">
        <f>IF($I35=0,"",INDEX('إدخال وسجل المنتجات'!$B$5:$B$590,$I35))</f>
        <v/>
      </c>
      <c r="D35" s="10" t="str">
        <f>IF($I35=0,"",INDEX('إدخال وسجل المنتجات'!$C$5:$C$590,$I35))</f>
        <v/>
      </c>
      <c r="E35" s="11" t="str">
        <f>IF($I35=0,"",INDEX('إدخال وسجل المنتجات'!$D$5:$D$590,$I35))</f>
        <v/>
      </c>
      <c r="F35" s="2" t="str">
        <f>IF($I35=0,"",INDEX('إدخال وسجل المنتجات'!$G$5:$G$590,$I35))</f>
        <v/>
      </c>
      <c r="G35" s="12"/>
      <c r="H35" s="13"/>
      <c r="I35">
        <f>SUMPRODUCT(('إدخال وسجل المنتجات'!$I$5:$I$590="FRZ")*('إدخال وسجل المنتجات'!$M$5:$M$590=32)*(ROW('إدخال وسجل المنتجات'!$I$5:$I$590)-4))</f>
        <v>0</v>
      </c>
      <c r="J35" s="2" t="str">
        <f>IF($I35=0,"",IF($G35="","",$G35*IF(INDEX('إدخال وسجل المنتجات'!$U$5:$U$590,$I35)=0,1,INDEX('إدخال وسجل المنتجات'!$U$5:$U$590,$I35))))</f>
        <v/>
      </c>
    </row>
    <row r="36" spans="1:10" ht="16" x14ac:dyDescent="0.15">
      <c r="A36" s="2" t="str">
        <f>IF($I36=0,"",33)</f>
        <v/>
      </c>
      <c r="B36" s="9" t="str">
        <f>IF($I36=0,"",INDEX('إدخال وسجل المنتجات'!$F$5:$F$590,$I36))</f>
        <v/>
      </c>
      <c r="C36" s="8" t="str">
        <f>IF($I36=0,"",INDEX('إدخال وسجل المنتجات'!$B$5:$B$590,$I36))</f>
        <v/>
      </c>
      <c r="D36" s="10" t="str">
        <f>IF($I36=0,"",INDEX('إدخال وسجل المنتجات'!$C$5:$C$590,$I36))</f>
        <v/>
      </c>
      <c r="E36" s="11" t="str">
        <f>IF($I36=0,"",INDEX('إدخال وسجل المنتجات'!$D$5:$D$590,$I36))</f>
        <v/>
      </c>
      <c r="F36" s="2" t="str">
        <f>IF($I36=0,"",INDEX('إدخال وسجل المنتجات'!$G$5:$G$590,$I36))</f>
        <v/>
      </c>
      <c r="G36" s="12"/>
      <c r="H36" s="13"/>
      <c r="I36">
        <f>SUMPRODUCT(('إدخال وسجل المنتجات'!$I$5:$I$590="FRZ")*('إدخال وسجل المنتجات'!$M$5:$M$590=33)*(ROW('إدخال وسجل المنتجات'!$I$5:$I$590)-4))</f>
        <v>0</v>
      </c>
      <c r="J36" s="2" t="str">
        <f>IF($I36=0,"",IF($G36="","",$G36*IF(INDEX('إدخال وسجل المنتجات'!$U$5:$U$590,$I36)=0,1,INDEX('إدخال وسجل المنتجات'!$U$5:$U$590,$I36))))</f>
        <v/>
      </c>
    </row>
    <row r="37" spans="1:10" ht="16" x14ac:dyDescent="0.15">
      <c r="A37" s="2" t="str">
        <f>IF($I37=0,"",34)</f>
        <v/>
      </c>
      <c r="B37" s="9" t="str">
        <f>IF($I37=0,"",INDEX('إدخال وسجل المنتجات'!$F$5:$F$590,$I37))</f>
        <v/>
      </c>
      <c r="C37" s="8" t="str">
        <f>IF($I37=0,"",INDEX('إدخال وسجل المنتجات'!$B$5:$B$590,$I37))</f>
        <v/>
      </c>
      <c r="D37" s="10" t="str">
        <f>IF($I37=0,"",INDEX('إدخال وسجل المنتجات'!$C$5:$C$590,$I37))</f>
        <v/>
      </c>
      <c r="E37" s="11" t="str">
        <f>IF($I37=0,"",INDEX('إدخال وسجل المنتجات'!$D$5:$D$590,$I37))</f>
        <v/>
      </c>
      <c r="F37" s="2" t="str">
        <f>IF($I37=0,"",INDEX('إدخال وسجل المنتجات'!$G$5:$G$590,$I37))</f>
        <v/>
      </c>
      <c r="G37" s="12"/>
      <c r="H37" s="13"/>
      <c r="I37">
        <f>SUMPRODUCT(('إدخال وسجل المنتجات'!$I$5:$I$590="FRZ")*('إدخال وسجل المنتجات'!$M$5:$M$590=34)*(ROW('إدخال وسجل المنتجات'!$I$5:$I$590)-4))</f>
        <v>0</v>
      </c>
      <c r="J37" s="2" t="str">
        <f>IF($I37=0,"",IF($G37="","",$G37*IF(INDEX('إدخال وسجل المنتجات'!$U$5:$U$590,$I37)=0,1,INDEX('إدخال وسجل المنتجات'!$U$5:$U$590,$I37))))</f>
        <v/>
      </c>
    </row>
    <row r="38" spans="1:10" ht="16" x14ac:dyDescent="0.15">
      <c r="A38" s="2" t="str">
        <f>IF($I38=0,"",35)</f>
        <v/>
      </c>
      <c r="B38" s="9" t="str">
        <f>IF($I38=0,"",INDEX('إدخال وسجل المنتجات'!$F$5:$F$590,$I38))</f>
        <v/>
      </c>
      <c r="C38" s="8" t="str">
        <f>IF($I38=0,"",INDEX('إدخال وسجل المنتجات'!$B$5:$B$590,$I38))</f>
        <v/>
      </c>
      <c r="D38" s="10" t="str">
        <f>IF($I38=0,"",INDEX('إدخال وسجل المنتجات'!$C$5:$C$590,$I38))</f>
        <v/>
      </c>
      <c r="E38" s="11" t="str">
        <f>IF($I38=0,"",INDEX('إدخال وسجل المنتجات'!$D$5:$D$590,$I38))</f>
        <v/>
      </c>
      <c r="F38" s="2" t="str">
        <f>IF($I38=0,"",INDEX('إدخال وسجل المنتجات'!$G$5:$G$590,$I38))</f>
        <v/>
      </c>
      <c r="G38" s="12"/>
      <c r="H38" s="13"/>
      <c r="I38">
        <f>SUMPRODUCT(('إدخال وسجل المنتجات'!$I$5:$I$590="FRZ")*('إدخال وسجل المنتجات'!$M$5:$M$590=35)*(ROW('إدخال وسجل المنتجات'!$I$5:$I$590)-4))</f>
        <v>0</v>
      </c>
      <c r="J38" s="2" t="str">
        <f>IF($I38=0,"",IF($G38="","",$G38*IF(INDEX('إدخال وسجل المنتجات'!$U$5:$U$590,$I38)=0,1,INDEX('إدخال وسجل المنتجات'!$U$5:$U$590,$I38))))</f>
        <v/>
      </c>
    </row>
    <row r="39" spans="1:10" ht="16" x14ac:dyDescent="0.15">
      <c r="A39" s="2" t="str">
        <f>IF($I39=0,"",36)</f>
        <v/>
      </c>
      <c r="B39" s="9" t="str">
        <f>IF($I39=0,"",INDEX('إدخال وسجل المنتجات'!$F$5:$F$590,$I39))</f>
        <v/>
      </c>
      <c r="C39" s="8" t="str">
        <f>IF($I39=0,"",INDEX('إدخال وسجل المنتجات'!$B$5:$B$590,$I39))</f>
        <v/>
      </c>
      <c r="D39" s="10" t="str">
        <f>IF($I39=0,"",INDEX('إدخال وسجل المنتجات'!$C$5:$C$590,$I39))</f>
        <v/>
      </c>
      <c r="E39" s="11" t="str">
        <f>IF($I39=0,"",INDEX('إدخال وسجل المنتجات'!$D$5:$D$590,$I39))</f>
        <v/>
      </c>
      <c r="F39" s="2" t="str">
        <f>IF($I39=0,"",INDEX('إدخال وسجل المنتجات'!$G$5:$G$590,$I39))</f>
        <v/>
      </c>
      <c r="G39" s="12"/>
      <c r="H39" s="13"/>
      <c r="I39">
        <f>SUMPRODUCT(('إدخال وسجل المنتجات'!$I$5:$I$590="FRZ")*('إدخال وسجل المنتجات'!$M$5:$M$590=36)*(ROW('إدخال وسجل المنتجات'!$I$5:$I$590)-4))</f>
        <v>0</v>
      </c>
      <c r="J39" s="2" t="str">
        <f>IF($I39=0,"",IF($G39="","",$G39*IF(INDEX('إدخال وسجل المنتجات'!$U$5:$U$590,$I39)=0,1,INDEX('إدخال وسجل المنتجات'!$U$5:$U$590,$I39))))</f>
        <v/>
      </c>
    </row>
    <row r="40" spans="1:10" ht="16" x14ac:dyDescent="0.15">
      <c r="A40" s="2" t="str">
        <f>IF($I40=0,"",37)</f>
        <v/>
      </c>
      <c r="B40" s="9" t="str">
        <f>IF($I40=0,"",INDEX('إدخال وسجل المنتجات'!$F$5:$F$590,$I40))</f>
        <v/>
      </c>
      <c r="C40" s="8" t="str">
        <f>IF($I40=0,"",INDEX('إدخال وسجل المنتجات'!$B$5:$B$590,$I40))</f>
        <v/>
      </c>
      <c r="D40" s="10" t="str">
        <f>IF($I40=0,"",INDEX('إدخال وسجل المنتجات'!$C$5:$C$590,$I40))</f>
        <v/>
      </c>
      <c r="E40" s="11" t="str">
        <f>IF($I40=0,"",INDEX('إدخال وسجل المنتجات'!$D$5:$D$590,$I40))</f>
        <v/>
      </c>
      <c r="F40" s="2" t="str">
        <f>IF($I40=0,"",INDEX('إدخال وسجل المنتجات'!$G$5:$G$590,$I40))</f>
        <v/>
      </c>
      <c r="G40" s="12"/>
      <c r="H40" s="13"/>
      <c r="I40">
        <f>SUMPRODUCT(('إدخال وسجل المنتجات'!$I$5:$I$590="FRZ")*('إدخال وسجل المنتجات'!$M$5:$M$590=37)*(ROW('إدخال وسجل المنتجات'!$I$5:$I$590)-4))</f>
        <v>0</v>
      </c>
      <c r="J40" s="2" t="str">
        <f>IF($I40=0,"",IF($G40="","",$G40*IF(INDEX('إدخال وسجل المنتجات'!$U$5:$U$590,$I40)=0,1,INDEX('إدخال وسجل المنتجات'!$U$5:$U$590,$I40))))</f>
        <v/>
      </c>
    </row>
    <row r="41" spans="1:10" ht="16" x14ac:dyDescent="0.15">
      <c r="A41" s="2" t="str">
        <f>IF($I41=0,"",38)</f>
        <v/>
      </c>
      <c r="B41" s="9" t="str">
        <f>IF($I41=0,"",INDEX('إدخال وسجل المنتجات'!$F$5:$F$590,$I41))</f>
        <v/>
      </c>
      <c r="C41" s="8" t="str">
        <f>IF($I41=0,"",INDEX('إدخال وسجل المنتجات'!$B$5:$B$590,$I41))</f>
        <v/>
      </c>
      <c r="D41" s="10" t="str">
        <f>IF($I41=0,"",INDEX('إدخال وسجل المنتجات'!$C$5:$C$590,$I41))</f>
        <v/>
      </c>
      <c r="E41" s="11" t="str">
        <f>IF($I41=0,"",INDEX('إدخال وسجل المنتجات'!$D$5:$D$590,$I41))</f>
        <v/>
      </c>
      <c r="F41" s="2" t="str">
        <f>IF($I41=0,"",INDEX('إدخال وسجل المنتجات'!$G$5:$G$590,$I41))</f>
        <v/>
      </c>
      <c r="G41" s="12"/>
      <c r="H41" s="13"/>
      <c r="I41">
        <f>SUMPRODUCT(('إدخال وسجل المنتجات'!$I$5:$I$590="FRZ")*('إدخال وسجل المنتجات'!$M$5:$M$590=38)*(ROW('إدخال وسجل المنتجات'!$I$5:$I$590)-4))</f>
        <v>0</v>
      </c>
      <c r="J41" s="2" t="str">
        <f>IF($I41=0,"",IF($G41="","",$G41*IF(INDEX('إدخال وسجل المنتجات'!$U$5:$U$590,$I41)=0,1,INDEX('إدخال وسجل المنتجات'!$U$5:$U$590,$I41))))</f>
        <v/>
      </c>
    </row>
    <row r="42" spans="1:10" ht="16" x14ac:dyDescent="0.15">
      <c r="A42" s="2" t="str">
        <f>IF($I42=0,"",39)</f>
        <v/>
      </c>
      <c r="B42" s="9" t="str">
        <f>IF($I42=0,"",INDEX('إدخال وسجل المنتجات'!$F$5:$F$590,$I42))</f>
        <v/>
      </c>
      <c r="C42" s="8" t="str">
        <f>IF($I42=0,"",INDEX('إدخال وسجل المنتجات'!$B$5:$B$590,$I42))</f>
        <v/>
      </c>
      <c r="D42" s="10" t="str">
        <f>IF($I42=0,"",INDEX('إدخال وسجل المنتجات'!$C$5:$C$590,$I42))</f>
        <v/>
      </c>
      <c r="E42" s="11" t="str">
        <f>IF($I42=0,"",INDEX('إدخال وسجل المنتجات'!$D$5:$D$590,$I42))</f>
        <v/>
      </c>
      <c r="F42" s="2" t="str">
        <f>IF($I42=0,"",INDEX('إدخال وسجل المنتجات'!$G$5:$G$590,$I42))</f>
        <v/>
      </c>
      <c r="G42" s="12"/>
      <c r="H42" s="13"/>
      <c r="I42">
        <f>SUMPRODUCT(('إدخال وسجل المنتجات'!$I$5:$I$590="FRZ")*('إدخال وسجل المنتجات'!$M$5:$M$590=39)*(ROW('إدخال وسجل المنتجات'!$I$5:$I$590)-4))</f>
        <v>0</v>
      </c>
      <c r="J42" s="2" t="str">
        <f>IF($I42=0,"",IF($G42="","",$G42*IF(INDEX('إدخال وسجل المنتجات'!$U$5:$U$590,$I42)=0,1,INDEX('إدخال وسجل المنتجات'!$U$5:$U$590,$I42))))</f>
        <v/>
      </c>
    </row>
    <row r="43" spans="1:10" ht="16" x14ac:dyDescent="0.15">
      <c r="A43" s="2" t="str">
        <f>IF($I43=0,"",40)</f>
        <v/>
      </c>
      <c r="B43" s="9" t="str">
        <f>IF($I43=0,"",INDEX('إدخال وسجل المنتجات'!$F$5:$F$590,$I43))</f>
        <v/>
      </c>
      <c r="C43" s="8" t="str">
        <f>IF($I43=0,"",INDEX('إدخال وسجل المنتجات'!$B$5:$B$590,$I43))</f>
        <v/>
      </c>
      <c r="D43" s="10" t="str">
        <f>IF($I43=0,"",INDEX('إدخال وسجل المنتجات'!$C$5:$C$590,$I43))</f>
        <v/>
      </c>
      <c r="E43" s="11" t="str">
        <f>IF($I43=0,"",INDEX('إدخال وسجل المنتجات'!$D$5:$D$590,$I43))</f>
        <v/>
      </c>
      <c r="F43" s="2" t="str">
        <f>IF($I43=0,"",INDEX('إدخال وسجل المنتجات'!$G$5:$G$590,$I43))</f>
        <v/>
      </c>
      <c r="G43" s="12"/>
      <c r="H43" s="13"/>
      <c r="I43">
        <f>SUMPRODUCT(('إدخال وسجل المنتجات'!$I$5:$I$590="FRZ")*('إدخال وسجل المنتجات'!$M$5:$M$590=40)*(ROW('إدخال وسجل المنتجات'!$I$5:$I$590)-4))</f>
        <v>0</v>
      </c>
      <c r="J43" s="2" t="str">
        <f>IF($I43=0,"",IF($G43="","",$G43*IF(INDEX('إدخال وسجل المنتجات'!$U$5:$U$590,$I43)=0,1,INDEX('إدخال وسجل المنتجات'!$U$5:$U$590,$I43))))</f>
        <v/>
      </c>
    </row>
    <row r="44" spans="1:10" ht="16" x14ac:dyDescent="0.15">
      <c r="A44" s="2" t="str">
        <f>IF($I44=0,"",41)</f>
        <v/>
      </c>
      <c r="B44" s="9" t="str">
        <f>IF($I44=0,"",INDEX('إدخال وسجل المنتجات'!$F$5:$F$590,$I44))</f>
        <v/>
      </c>
      <c r="C44" s="8" t="str">
        <f>IF($I44=0,"",INDEX('إدخال وسجل المنتجات'!$B$5:$B$590,$I44))</f>
        <v/>
      </c>
      <c r="D44" s="10" t="str">
        <f>IF($I44=0,"",INDEX('إدخال وسجل المنتجات'!$C$5:$C$590,$I44))</f>
        <v/>
      </c>
      <c r="E44" s="11" t="str">
        <f>IF($I44=0,"",INDEX('إدخال وسجل المنتجات'!$D$5:$D$590,$I44))</f>
        <v/>
      </c>
      <c r="F44" s="2" t="str">
        <f>IF($I44=0,"",INDEX('إدخال وسجل المنتجات'!$G$5:$G$590,$I44))</f>
        <v/>
      </c>
      <c r="G44" s="12"/>
      <c r="H44" s="13"/>
      <c r="I44">
        <f>SUMPRODUCT(('إدخال وسجل المنتجات'!$I$5:$I$590="FRZ")*('إدخال وسجل المنتجات'!$M$5:$M$590=41)*(ROW('إدخال وسجل المنتجات'!$I$5:$I$590)-4))</f>
        <v>0</v>
      </c>
      <c r="J44" s="2" t="str">
        <f>IF($I44=0,"",IF($G44="","",$G44*IF(INDEX('إدخال وسجل المنتجات'!$U$5:$U$590,$I44)=0,1,INDEX('إدخال وسجل المنتجات'!$U$5:$U$590,$I44))))</f>
        <v/>
      </c>
    </row>
    <row r="45" spans="1:10" ht="16" x14ac:dyDescent="0.15">
      <c r="A45" s="2" t="str">
        <f>IF($I45=0,"",42)</f>
        <v/>
      </c>
      <c r="B45" s="9" t="str">
        <f>IF($I45=0,"",INDEX('إدخال وسجل المنتجات'!$F$5:$F$590,$I45))</f>
        <v/>
      </c>
      <c r="C45" s="8" t="str">
        <f>IF($I45=0,"",INDEX('إدخال وسجل المنتجات'!$B$5:$B$590,$I45))</f>
        <v/>
      </c>
      <c r="D45" s="10" t="str">
        <f>IF($I45=0,"",INDEX('إدخال وسجل المنتجات'!$C$5:$C$590,$I45))</f>
        <v/>
      </c>
      <c r="E45" s="11" t="str">
        <f>IF($I45=0,"",INDEX('إدخال وسجل المنتجات'!$D$5:$D$590,$I45))</f>
        <v/>
      </c>
      <c r="F45" s="2" t="str">
        <f>IF($I45=0,"",INDEX('إدخال وسجل المنتجات'!$G$5:$G$590,$I45))</f>
        <v/>
      </c>
      <c r="G45" s="12"/>
      <c r="H45" s="13"/>
      <c r="I45">
        <f>SUMPRODUCT(('إدخال وسجل المنتجات'!$I$5:$I$590="FRZ")*('إدخال وسجل المنتجات'!$M$5:$M$590=42)*(ROW('إدخال وسجل المنتجات'!$I$5:$I$590)-4))</f>
        <v>0</v>
      </c>
      <c r="J45" s="2" t="str">
        <f>IF($I45=0,"",IF($G45="","",$G45*IF(INDEX('إدخال وسجل المنتجات'!$U$5:$U$590,$I45)=0,1,INDEX('إدخال وسجل المنتجات'!$U$5:$U$590,$I45))))</f>
        <v/>
      </c>
    </row>
    <row r="46" spans="1:10" ht="16" x14ac:dyDescent="0.15">
      <c r="A46" s="2" t="str">
        <f>IF($I46=0,"",43)</f>
        <v/>
      </c>
      <c r="B46" s="9" t="str">
        <f>IF($I46=0,"",INDEX('إدخال وسجل المنتجات'!$F$5:$F$590,$I46))</f>
        <v/>
      </c>
      <c r="C46" s="8" t="str">
        <f>IF($I46=0,"",INDEX('إدخال وسجل المنتجات'!$B$5:$B$590,$I46))</f>
        <v/>
      </c>
      <c r="D46" s="10" t="str">
        <f>IF($I46=0,"",INDEX('إدخال وسجل المنتجات'!$C$5:$C$590,$I46))</f>
        <v/>
      </c>
      <c r="E46" s="11" t="str">
        <f>IF($I46=0,"",INDEX('إدخال وسجل المنتجات'!$D$5:$D$590,$I46))</f>
        <v/>
      </c>
      <c r="F46" s="2" t="str">
        <f>IF($I46=0,"",INDEX('إدخال وسجل المنتجات'!$G$5:$G$590,$I46))</f>
        <v/>
      </c>
      <c r="G46" s="12"/>
      <c r="H46" s="13"/>
      <c r="I46">
        <f>SUMPRODUCT(('إدخال وسجل المنتجات'!$I$5:$I$590="FRZ")*('إدخال وسجل المنتجات'!$M$5:$M$590=43)*(ROW('إدخال وسجل المنتجات'!$I$5:$I$590)-4))</f>
        <v>0</v>
      </c>
      <c r="J46" s="2" t="str">
        <f>IF($I46=0,"",IF($G46="","",$G46*IF(INDEX('إدخال وسجل المنتجات'!$U$5:$U$590,$I46)=0,1,INDEX('إدخال وسجل المنتجات'!$U$5:$U$590,$I46))))</f>
        <v/>
      </c>
    </row>
    <row r="47" spans="1:10" ht="16" x14ac:dyDescent="0.15">
      <c r="A47" s="2" t="str">
        <f>IF($I47=0,"",44)</f>
        <v/>
      </c>
      <c r="B47" s="9" t="str">
        <f>IF($I47=0,"",INDEX('إدخال وسجل المنتجات'!$F$5:$F$590,$I47))</f>
        <v/>
      </c>
      <c r="C47" s="8" t="str">
        <f>IF($I47=0,"",INDEX('إدخال وسجل المنتجات'!$B$5:$B$590,$I47))</f>
        <v/>
      </c>
      <c r="D47" s="10" t="str">
        <f>IF($I47=0,"",INDEX('إدخال وسجل المنتجات'!$C$5:$C$590,$I47))</f>
        <v/>
      </c>
      <c r="E47" s="11" t="str">
        <f>IF($I47=0,"",INDEX('إدخال وسجل المنتجات'!$D$5:$D$590,$I47))</f>
        <v/>
      </c>
      <c r="F47" s="2" t="str">
        <f>IF($I47=0,"",INDEX('إدخال وسجل المنتجات'!$G$5:$G$590,$I47))</f>
        <v/>
      </c>
      <c r="G47" s="12"/>
      <c r="H47" s="13"/>
      <c r="I47">
        <f>SUMPRODUCT(('إدخال وسجل المنتجات'!$I$5:$I$590="FRZ")*('إدخال وسجل المنتجات'!$M$5:$M$590=44)*(ROW('إدخال وسجل المنتجات'!$I$5:$I$590)-4))</f>
        <v>0</v>
      </c>
      <c r="J47" s="2" t="str">
        <f>IF($I47=0,"",IF($G47="","",$G47*IF(INDEX('إدخال وسجل المنتجات'!$U$5:$U$590,$I47)=0,1,INDEX('إدخال وسجل المنتجات'!$U$5:$U$590,$I47))))</f>
        <v/>
      </c>
    </row>
    <row r="48" spans="1:10" ht="16" x14ac:dyDescent="0.15">
      <c r="A48" s="2" t="str">
        <f>IF($I48=0,"",45)</f>
        <v/>
      </c>
      <c r="B48" s="9" t="str">
        <f>IF($I48=0,"",INDEX('إدخال وسجل المنتجات'!$F$5:$F$590,$I48))</f>
        <v/>
      </c>
      <c r="C48" s="8" t="str">
        <f>IF($I48=0,"",INDEX('إدخال وسجل المنتجات'!$B$5:$B$590,$I48))</f>
        <v/>
      </c>
      <c r="D48" s="10" t="str">
        <f>IF($I48=0,"",INDEX('إدخال وسجل المنتجات'!$C$5:$C$590,$I48))</f>
        <v/>
      </c>
      <c r="E48" s="11" t="str">
        <f>IF($I48=0,"",INDEX('إدخال وسجل المنتجات'!$D$5:$D$590,$I48))</f>
        <v/>
      </c>
      <c r="F48" s="2" t="str">
        <f>IF($I48=0,"",INDEX('إدخال وسجل المنتجات'!$G$5:$G$590,$I48))</f>
        <v/>
      </c>
      <c r="G48" s="12"/>
      <c r="H48" s="13"/>
      <c r="I48">
        <f>SUMPRODUCT(('إدخال وسجل المنتجات'!$I$5:$I$590="FRZ")*('إدخال وسجل المنتجات'!$M$5:$M$590=45)*(ROW('إدخال وسجل المنتجات'!$I$5:$I$590)-4))</f>
        <v>0</v>
      </c>
      <c r="J48" s="2" t="str">
        <f>IF($I48=0,"",IF($G48="","",$G48*IF(INDEX('إدخال وسجل المنتجات'!$U$5:$U$590,$I48)=0,1,INDEX('إدخال وسجل المنتجات'!$U$5:$U$590,$I48))))</f>
        <v/>
      </c>
    </row>
    <row r="49" spans="1:10" ht="16" x14ac:dyDescent="0.15">
      <c r="A49" s="2" t="str">
        <f>IF($I49=0,"",46)</f>
        <v/>
      </c>
      <c r="B49" s="9" t="str">
        <f>IF($I49=0,"",INDEX('إدخال وسجل المنتجات'!$F$5:$F$590,$I49))</f>
        <v/>
      </c>
      <c r="C49" s="8" t="str">
        <f>IF($I49=0,"",INDEX('إدخال وسجل المنتجات'!$B$5:$B$590,$I49))</f>
        <v/>
      </c>
      <c r="D49" s="10" t="str">
        <f>IF($I49=0,"",INDEX('إدخال وسجل المنتجات'!$C$5:$C$590,$I49))</f>
        <v/>
      </c>
      <c r="E49" s="11" t="str">
        <f>IF($I49=0,"",INDEX('إدخال وسجل المنتجات'!$D$5:$D$590,$I49))</f>
        <v/>
      </c>
      <c r="F49" s="2" t="str">
        <f>IF($I49=0,"",INDEX('إدخال وسجل المنتجات'!$G$5:$G$590,$I49))</f>
        <v/>
      </c>
      <c r="G49" s="12"/>
      <c r="H49" s="13"/>
      <c r="I49">
        <f>SUMPRODUCT(('إدخال وسجل المنتجات'!$I$5:$I$590="FRZ")*('إدخال وسجل المنتجات'!$M$5:$M$590=46)*(ROW('إدخال وسجل المنتجات'!$I$5:$I$590)-4))</f>
        <v>0</v>
      </c>
      <c r="J49" s="2" t="str">
        <f>IF($I49=0,"",IF($G49="","",$G49*IF(INDEX('إدخال وسجل المنتجات'!$U$5:$U$590,$I49)=0,1,INDEX('إدخال وسجل المنتجات'!$U$5:$U$590,$I49))))</f>
        <v/>
      </c>
    </row>
    <row r="50" spans="1:10" ht="16" x14ac:dyDescent="0.15">
      <c r="A50" s="2" t="str">
        <f>IF($I50=0,"",47)</f>
        <v/>
      </c>
      <c r="B50" s="9" t="str">
        <f>IF($I50=0,"",INDEX('إدخال وسجل المنتجات'!$F$5:$F$590,$I50))</f>
        <v/>
      </c>
      <c r="C50" s="8" t="str">
        <f>IF($I50=0,"",INDEX('إدخال وسجل المنتجات'!$B$5:$B$590,$I50))</f>
        <v/>
      </c>
      <c r="D50" s="10" t="str">
        <f>IF($I50=0,"",INDEX('إدخال وسجل المنتجات'!$C$5:$C$590,$I50))</f>
        <v/>
      </c>
      <c r="E50" s="11" t="str">
        <f>IF($I50=0,"",INDEX('إدخال وسجل المنتجات'!$D$5:$D$590,$I50))</f>
        <v/>
      </c>
      <c r="F50" s="2" t="str">
        <f>IF($I50=0,"",INDEX('إدخال وسجل المنتجات'!$G$5:$G$590,$I50))</f>
        <v/>
      </c>
      <c r="G50" s="12"/>
      <c r="H50" s="13"/>
      <c r="I50">
        <f>SUMPRODUCT(('إدخال وسجل المنتجات'!$I$5:$I$590="FRZ")*('إدخال وسجل المنتجات'!$M$5:$M$590=47)*(ROW('إدخال وسجل المنتجات'!$I$5:$I$590)-4))</f>
        <v>0</v>
      </c>
      <c r="J50" s="2" t="str">
        <f>IF($I50=0,"",IF($G50="","",$G50*IF(INDEX('إدخال وسجل المنتجات'!$U$5:$U$590,$I50)=0,1,INDEX('إدخال وسجل المنتجات'!$U$5:$U$590,$I50))))</f>
        <v/>
      </c>
    </row>
    <row r="51" spans="1:10" ht="16" x14ac:dyDescent="0.15">
      <c r="A51" s="2" t="str">
        <f>IF($I51=0,"",48)</f>
        <v/>
      </c>
      <c r="B51" s="9" t="str">
        <f>IF($I51=0,"",INDEX('إدخال وسجل المنتجات'!$F$5:$F$590,$I51))</f>
        <v/>
      </c>
      <c r="C51" s="8" t="str">
        <f>IF($I51=0,"",INDEX('إدخال وسجل المنتجات'!$B$5:$B$590,$I51))</f>
        <v/>
      </c>
      <c r="D51" s="10" t="str">
        <f>IF($I51=0,"",INDEX('إدخال وسجل المنتجات'!$C$5:$C$590,$I51))</f>
        <v/>
      </c>
      <c r="E51" s="11" t="str">
        <f>IF($I51=0,"",INDEX('إدخال وسجل المنتجات'!$D$5:$D$590,$I51))</f>
        <v/>
      </c>
      <c r="F51" s="2" t="str">
        <f>IF($I51=0,"",INDEX('إدخال وسجل المنتجات'!$G$5:$G$590,$I51))</f>
        <v/>
      </c>
      <c r="G51" s="12"/>
      <c r="H51" s="13"/>
      <c r="I51">
        <f>SUMPRODUCT(('إدخال وسجل المنتجات'!$I$5:$I$590="FRZ")*('إدخال وسجل المنتجات'!$M$5:$M$590=48)*(ROW('إدخال وسجل المنتجات'!$I$5:$I$590)-4))</f>
        <v>0</v>
      </c>
      <c r="J51" s="2" t="str">
        <f>IF($I51=0,"",IF($G51="","",$G51*IF(INDEX('إدخال وسجل المنتجات'!$U$5:$U$590,$I51)=0,1,INDEX('إدخال وسجل المنتجات'!$U$5:$U$590,$I51))))</f>
        <v/>
      </c>
    </row>
    <row r="52" spans="1:10" ht="16" x14ac:dyDescent="0.15">
      <c r="A52" s="2" t="str">
        <f>IF($I52=0,"",49)</f>
        <v/>
      </c>
      <c r="B52" s="9" t="str">
        <f>IF($I52=0,"",INDEX('إدخال وسجل المنتجات'!$F$5:$F$590,$I52))</f>
        <v/>
      </c>
      <c r="C52" s="8" t="str">
        <f>IF($I52=0,"",INDEX('إدخال وسجل المنتجات'!$B$5:$B$590,$I52))</f>
        <v/>
      </c>
      <c r="D52" s="10" t="str">
        <f>IF($I52=0,"",INDEX('إدخال وسجل المنتجات'!$C$5:$C$590,$I52))</f>
        <v/>
      </c>
      <c r="E52" s="11" t="str">
        <f>IF($I52=0,"",INDEX('إدخال وسجل المنتجات'!$D$5:$D$590,$I52))</f>
        <v/>
      </c>
      <c r="F52" s="2" t="str">
        <f>IF($I52=0,"",INDEX('إدخال وسجل المنتجات'!$G$5:$G$590,$I52))</f>
        <v/>
      </c>
      <c r="G52" s="12"/>
      <c r="H52" s="13"/>
      <c r="I52">
        <f>SUMPRODUCT(('إدخال وسجل المنتجات'!$I$5:$I$590="FRZ")*('إدخال وسجل المنتجات'!$M$5:$M$590=49)*(ROW('إدخال وسجل المنتجات'!$I$5:$I$590)-4))</f>
        <v>0</v>
      </c>
      <c r="J52" s="2" t="str">
        <f>IF($I52=0,"",IF($G52="","",$G52*IF(INDEX('إدخال وسجل المنتجات'!$U$5:$U$590,$I52)=0,1,INDEX('إدخال وسجل المنتجات'!$U$5:$U$590,$I52))))</f>
        <v/>
      </c>
    </row>
    <row r="53" spans="1:10" ht="16" x14ac:dyDescent="0.15">
      <c r="A53" s="2" t="str">
        <f>IF($I53=0,"",50)</f>
        <v/>
      </c>
      <c r="B53" s="9" t="str">
        <f>IF($I53=0,"",INDEX('إدخال وسجل المنتجات'!$F$5:$F$590,$I53))</f>
        <v/>
      </c>
      <c r="C53" s="8" t="str">
        <f>IF($I53=0,"",INDEX('إدخال وسجل المنتجات'!$B$5:$B$590,$I53))</f>
        <v/>
      </c>
      <c r="D53" s="10" t="str">
        <f>IF($I53=0,"",INDEX('إدخال وسجل المنتجات'!$C$5:$C$590,$I53))</f>
        <v/>
      </c>
      <c r="E53" s="11" t="str">
        <f>IF($I53=0,"",INDEX('إدخال وسجل المنتجات'!$D$5:$D$590,$I53))</f>
        <v/>
      </c>
      <c r="F53" s="2" t="str">
        <f>IF($I53=0,"",INDEX('إدخال وسجل المنتجات'!$G$5:$G$590,$I53))</f>
        <v/>
      </c>
      <c r="G53" s="12"/>
      <c r="H53" s="13"/>
      <c r="I53">
        <f>SUMPRODUCT(('إدخال وسجل المنتجات'!$I$5:$I$590="FRZ")*('إدخال وسجل المنتجات'!$M$5:$M$590=50)*(ROW('إدخال وسجل المنتجات'!$I$5:$I$590)-4))</f>
        <v>0</v>
      </c>
      <c r="J53" s="2" t="str">
        <f>IF($I53=0,"",IF($G53="","",$G53*IF(INDEX('إدخال وسجل المنتجات'!$U$5:$U$590,$I53)=0,1,INDEX('إدخال وسجل المنتجات'!$U$5:$U$590,$I53))))</f>
        <v/>
      </c>
    </row>
    <row r="54" spans="1:10" ht="16" x14ac:dyDescent="0.15">
      <c r="A54" s="2" t="str">
        <f>IF($I54=0,"",51)</f>
        <v/>
      </c>
      <c r="B54" s="9" t="str">
        <f>IF($I54=0,"",INDEX('إدخال وسجل المنتجات'!$F$5:$F$590,$I54))</f>
        <v/>
      </c>
      <c r="C54" s="8" t="str">
        <f>IF($I54=0,"",INDEX('إدخال وسجل المنتجات'!$B$5:$B$590,$I54))</f>
        <v/>
      </c>
      <c r="D54" s="10" t="str">
        <f>IF($I54=0,"",INDEX('إدخال وسجل المنتجات'!$C$5:$C$590,$I54))</f>
        <v/>
      </c>
      <c r="E54" s="11" t="str">
        <f>IF($I54=0,"",INDEX('إدخال وسجل المنتجات'!$D$5:$D$590,$I54))</f>
        <v/>
      </c>
      <c r="F54" s="2" t="str">
        <f>IF($I54=0,"",INDEX('إدخال وسجل المنتجات'!$G$5:$G$590,$I54))</f>
        <v/>
      </c>
      <c r="G54" s="12"/>
      <c r="H54" s="13"/>
      <c r="I54">
        <f>SUMPRODUCT(('إدخال وسجل المنتجات'!$I$5:$I$590="FRZ")*('إدخال وسجل المنتجات'!$M$5:$M$590=51)*(ROW('إدخال وسجل المنتجات'!$I$5:$I$590)-4))</f>
        <v>0</v>
      </c>
      <c r="J54" s="2" t="str">
        <f>IF($I54=0,"",IF($G54="","",$G54*IF(INDEX('إدخال وسجل المنتجات'!$U$5:$U$590,$I54)=0,1,INDEX('إدخال وسجل المنتجات'!$U$5:$U$590,$I54))))</f>
        <v/>
      </c>
    </row>
    <row r="55" spans="1:10" ht="16" x14ac:dyDescent="0.15">
      <c r="A55" s="2" t="str">
        <f>IF($I55=0,"",52)</f>
        <v/>
      </c>
      <c r="B55" s="9" t="str">
        <f>IF($I55=0,"",INDEX('إدخال وسجل المنتجات'!$F$5:$F$590,$I55))</f>
        <v/>
      </c>
      <c r="C55" s="8" t="str">
        <f>IF($I55=0,"",INDEX('إدخال وسجل المنتجات'!$B$5:$B$590,$I55))</f>
        <v/>
      </c>
      <c r="D55" s="10" t="str">
        <f>IF($I55=0,"",INDEX('إدخال وسجل المنتجات'!$C$5:$C$590,$I55))</f>
        <v/>
      </c>
      <c r="E55" s="11" t="str">
        <f>IF($I55=0,"",INDEX('إدخال وسجل المنتجات'!$D$5:$D$590,$I55))</f>
        <v/>
      </c>
      <c r="F55" s="2" t="str">
        <f>IF($I55=0,"",INDEX('إدخال وسجل المنتجات'!$G$5:$G$590,$I55))</f>
        <v/>
      </c>
      <c r="G55" s="12"/>
      <c r="H55" s="13"/>
      <c r="I55">
        <f>SUMPRODUCT(('إدخال وسجل المنتجات'!$I$5:$I$590="FRZ")*('إدخال وسجل المنتجات'!$M$5:$M$590=52)*(ROW('إدخال وسجل المنتجات'!$I$5:$I$590)-4))</f>
        <v>0</v>
      </c>
      <c r="J55" s="2" t="str">
        <f>IF($I55=0,"",IF($G55="","",$G55*IF(INDEX('إدخال وسجل المنتجات'!$U$5:$U$590,$I55)=0,1,INDEX('إدخال وسجل المنتجات'!$U$5:$U$590,$I55))))</f>
        <v/>
      </c>
    </row>
    <row r="56" spans="1:10" ht="16" x14ac:dyDescent="0.15">
      <c r="A56" s="2" t="str">
        <f>IF($I56=0,"",53)</f>
        <v/>
      </c>
      <c r="B56" s="9" t="str">
        <f>IF($I56=0,"",INDEX('إدخال وسجل المنتجات'!$F$5:$F$590,$I56))</f>
        <v/>
      </c>
      <c r="C56" s="8" t="str">
        <f>IF($I56=0,"",INDEX('إدخال وسجل المنتجات'!$B$5:$B$590,$I56))</f>
        <v/>
      </c>
      <c r="D56" s="10" t="str">
        <f>IF($I56=0,"",INDEX('إدخال وسجل المنتجات'!$C$5:$C$590,$I56))</f>
        <v/>
      </c>
      <c r="E56" s="11" t="str">
        <f>IF($I56=0,"",INDEX('إدخال وسجل المنتجات'!$D$5:$D$590,$I56))</f>
        <v/>
      </c>
      <c r="F56" s="2" t="str">
        <f>IF($I56=0,"",INDEX('إدخال وسجل المنتجات'!$G$5:$G$590,$I56))</f>
        <v/>
      </c>
      <c r="G56" s="12"/>
      <c r="H56" s="13"/>
      <c r="I56">
        <f>SUMPRODUCT(('إدخال وسجل المنتجات'!$I$5:$I$590="FRZ")*('إدخال وسجل المنتجات'!$M$5:$M$590=53)*(ROW('إدخال وسجل المنتجات'!$I$5:$I$590)-4))</f>
        <v>0</v>
      </c>
      <c r="J56" s="2" t="str">
        <f>IF($I56=0,"",IF($G56="","",$G56*IF(INDEX('إدخال وسجل المنتجات'!$U$5:$U$590,$I56)=0,1,INDEX('إدخال وسجل المنتجات'!$U$5:$U$590,$I56))))</f>
        <v/>
      </c>
    </row>
    <row r="57" spans="1:10" ht="16" x14ac:dyDescent="0.15">
      <c r="A57" s="2" t="str">
        <f>IF($I57=0,"",54)</f>
        <v/>
      </c>
      <c r="B57" s="9" t="str">
        <f>IF($I57=0,"",INDEX('إدخال وسجل المنتجات'!$F$5:$F$590,$I57))</f>
        <v/>
      </c>
      <c r="C57" s="8" t="str">
        <f>IF($I57=0,"",INDEX('إدخال وسجل المنتجات'!$B$5:$B$590,$I57))</f>
        <v/>
      </c>
      <c r="D57" s="10" t="str">
        <f>IF($I57=0,"",INDEX('إدخال وسجل المنتجات'!$C$5:$C$590,$I57))</f>
        <v/>
      </c>
      <c r="E57" s="11" t="str">
        <f>IF($I57=0,"",INDEX('إدخال وسجل المنتجات'!$D$5:$D$590,$I57))</f>
        <v/>
      </c>
      <c r="F57" s="2" t="str">
        <f>IF($I57=0,"",INDEX('إدخال وسجل المنتجات'!$G$5:$G$590,$I57))</f>
        <v/>
      </c>
      <c r="G57" s="12"/>
      <c r="H57" s="13"/>
      <c r="I57">
        <f>SUMPRODUCT(('إدخال وسجل المنتجات'!$I$5:$I$590="FRZ")*('إدخال وسجل المنتجات'!$M$5:$M$590=54)*(ROW('إدخال وسجل المنتجات'!$I$5:$I$590)-4))</f>
        <v>0</v>
      </c>
      <c r="J57" s="2" t="str">
        <f>IF($I57=0,"",IF($G57="","",$G57*IF(INDEX('إدخال وسجل المنتجات'!$U$5:$U$590,$I57)=0,1,INDEX('إدخال وسجل المنتجات'!$U$5:$U$590,$I57))))</f>
        <v/>
      </c>
    </row>
    <row r="58" spans="1:10" ht="16" x14ac:dyDescent="0.15">
      <c r="A58" s="2" t="str">
        <f>IF($I58=0,"",55)</f>
        <v/>
      </c>
      <c r="B58" s="9" t="str">
        <f>IF($I58=0,"",INDEX('إدخال وسجل المنتجات'!$F$5:$F$590,$I58))</f>
        <v/>
      </c>
      <c r="C58" s="8" t="str">
        <f>IF($I58=0,"",INDEX('إدخال وسجل المنتجات'!$B$5:$B$590,$I58))</f>
        <v/>
      </c>
      <c r="D58" s="10" t="str">
        <f>IF($I58=0,"",INDEX('إدخال وسجل المنتجات'!$C$5:$C$590,$I58))</f>
        <v/>
      </c>
      <c r="E58" s="11" t="str">
        <f>IF($I58=0,"",INDEX('إدخال وسجل المنتجات'!$D$5:$D$590,$I58))</f>
        <v/>
      </c>
      <c r="F58" s="2" t="str">
        <f>IF($I58=0,"",INDEX('إدخال وسجل المنتجات'!$G$5:$G$590,$I58))</f>
        <v/>
      </c>
      <c r="G58" s="12"/>
      <c r="H58" s="13"/>
      <c r="I58">
        <f>SUMPRODUCT(('إدخال وسجل المنتجات'!$I$5:$I$590="FRZ")*('إدخال وسجل المنتجات'!$M$5:$M$590=55)*(ROW('إدخال وسجل المنتجات'!$I$5:$I$590)-4))</f>
        <v>0</v>
      </c>
      <c r="J58" s="2" t="str">
        <f>IF($I58=0,"",IF($G58="","",$G58*IF(INDEX('إدخال وسجل المنتجات'!$U$5:$U$590,$I58)=0,1,INDEX('إدخال وسجل المنتجات'!$U$5:$U$590,$I58))))</f>
        <v/>
      </c>
    </row>
    <row r="59" spans="1:10" ht="16" x14ac:dyDescent="0.15">
      <c r="A59" s="2" t="str">
        <f>IF($I59=0,"",56)</f>
        <v/>
      </c>
      <c r="B59" s="9" t="str">
        <f>IF($I59=0,"",INDEX('إدخال وسجل المنتجات'!$F$5:$F$590,$I59))</f>
        <v/>
      </c>
      <c r="C59" s="8" t="str">
        <f>IF($I59=0,"",INDEX('إدخال وسجل المنتجات'!$B$5:$B$590,$I59))</f>
        <v/>
      </c>
      <c r="D59" s="10" t="str">
        <f>IF($I59=0,"",INDEX('إدخال وسجل المنتجات'!$C$5:$C$590,$I59))</f>
        <v/>
      </c>
      <c r="E59" s="11" t="str">
        <f>IF($I59=0,"",INDEX('إدخال وسجل المنتجات'!$D$5:$D$590,$I59))</f>
        <v/>
      </c>
      <c r="F59" s="2" t="str">
        <f>IF($I59=0,"",INDEX('إدخال وسجل المنتجات'!$G$5:$G$590,$I59))</f>
        <v/>
      </c>
      <c r="G59" s="12"/>
      <c r="H59" s="13"/>
      <c r="I59">
        <f>SUMPRODUCT(('إدخال وسجل المنتجات'!$I$5:$I$590="FRZ")*('إدخال وسجل المنتجات'!$M$5:$M$590=56)*(ROW('إدخال وسجل المنتجات'!$I$5:$I$590)-4))</f>
        <v>0</v>
      </c>
      <c r="J59" s="2" t="str">
        <f>IF($I59=0,"",IF($G59="","",$G59*IF(INDEX('إدخال وسجل المنتجات'!$U$5:$U$590,$I59)=0,1,INDEX('إدخال وسجل المنتجات'!$U$5:$U$590,$I59))))</f>
        <v/>
      </c>
    </row>
    <row r="60" spans="1:10" ht="16" x14ac:dyDescent="0.15">
      <c r="A60" s="2" t="str">
        <f>IF($I60=0,"",57)</f>
        <v/>
      </c>
      <c r="B60" s="9" t="str">
        <f>IF($I60=0,"",INDEX('إدخال وسجل المنتجات'!$F$5:$F$590,$I60))</f>
        <v/>
      </c>
      <c r="C60" s="8" t="str">
        <f>IF($I60=0,"",INDEX('إدخال وسجل المنتجات'!$B$5:$B$590,$I60))</f>
        <v/>
      </c>
      <c r="D60" s="10" t="str">
        <f>IF($I60=0,"",INDEX('إدخال وسجل المنتجات'!$C$5:$C$590,$I60))</f>
        <v/>
      </c>
      <c r="E60" s="11" t="str">
        <f>IF($I60=0,"",INDEX('إدخال وسجل المنتجات'!$D$5:$D$590,$I60))</f>
        <v/>
      </c>
      <c r="F60" s="2" t="str">
        <f>IF($I60=0,"",INDEX('إدخال وسجل المنتجات'!$G$5:$G$590,$I60))</f>
        <v/>
      </c>
      <c r="G60" s="12"/>
      <c r="H60" s="13"/>
      <c r="I60">
        <f>SUMPRODUCT(('إدخال وسجل المنتجات'!$I$5:$I$590="FRZ")*('إدخال وسجل المنتجات'!$M$5:$M$590=57)*(ROW('إدخال وسجل المنتجات'!$I$5:$I$590)-4))</f>
        <v>0</v>
      </c>
      <c r="J60" s="2" t="str">
        <f>IF($I60=0,"",IF($G60="","",$G60*IF(INDEX('إدخال وسجل المنتجات'!$U$5:$U$590,$I60)=0,1,INDEX('إدخال وسجل المنتجات'!$U$5:$U$590,$I60))))</f>
        <v/>
      </c>
    </row>
    <row r="61" spans="1:10" ht="16" x14ac:dyDescent="0.15">
      <c r="A61" s="2" t="str">
        <f>IF($I61=0,"",58)</f>
        <v/>
      </c>
      <c r="B61" s="9" t="str">
        <f>IF($I61=0,"",INDEX('إدخال وسجل المنتجات'!$F$5:$F$590,$I61))</f>
        <v/>
      </c>
      <c r="C61" s="8" t="str">
        <f>IF($I61=0,"",INDEX('إدخال وسجل المنتجات'!$B$5:$B$590,$I61))</f>
        <v/>
      </c>
      <c r="D61" s="10" t="str">
        <f>IF($I61=0,"",INDEX('إدخال وسجل المنتجات'!$C$5:$C$590,$I61))</f>
        <v/>
      </c>
      <c r="E61" s="11" t="str">
        <f>IF($I61=0,"",INDEX('إدخال وسجل المنتجات'!$D$5:$D$590,$I61))</f>
        <v/>
      </c>
      <c r="F61" s="2" t="str">
        <f>IF($I61=0,"",INDEX('إدخال وسجل المنتجات'!$G$5:$G$590,$I61))</f>
        <v/>
      </c>
      <c r="G61" s="12"/>
      <c r="H61" s="13"/>
      <c r="I61">
        <f>SUMPRODUCT(('إدخال وسجل المنتجات'!$I$5:$I$590="FRZ")*('إدخال وسجل المنتجات'!$M$5:$M$590=58)*(ROW('إدخال وسجل المنتجات'!$I$5:$I$590)-4))</f>
        <v>0</v>
      </c>
      <c r="J61" s="2" t="str">
        <f>IF($I61=0,"",IF($G61="","",$G61*IF(INDEX('إدخال وسجل المنتجات'!$U$5:$U$590,$I61)=0,1,INDEX('إدخال وسجل المنتجات'!$U$5:$U$590,$I61))))</f>
        <v/>
      </c>
    </row>
    <row r="62" spans="1:10" ht="16" x14ac:dyDescent="0.15">
      <c r="A62" s="2" t="str">
        <f>IF($I62=0,"",59)</f>
        <v/>
      </c>
      <c r="B62" s="9" t="str">
        <f>IF($I62=0,"",INDEX('إدخال وسجل المنتجات'!$F$5:$F$590,$I62))</f>
        <v/>
      </c>
      <c r="C62" s="8" t="str">
        <f>IF($I62=0,"",INDEX('إدخال وسجل المنتجات'!$B$5:$B$590,$I62))</f>
        <v/>
      </c>
      <c r="D62" s="10" t="str">
        <f>IF($I62=0,"",INDEX('إدخال وسجل المنتجات'!$C$5:$C$590,$I62))</f>
        <v/>
      </c>
      <c r="E62" s="11" t="str">
        <f>IF($I62=0,"",INDEX('إدخال وسجل المنتجات'!$D$5:$D$590,$I62))</f>
        <v/>
      </c>
      <c r="F62" s="2" t="str">
        <f>IF($I62=0,"",INDEX('إدخال وسجل المنتجات'!$G$5:$G$590,$I62))</f>
        <v/>
      </c>
      <c r="G62" s="12"/>
      <c r="H62" s="13"/>
      <c r="I62">
        <f>SUMPRODUCT(('إدخال وسجل المنتجات'!$I$5:$I$590="FRZ")*('إدخال وسجل المنتجات'!$M$5:$M$590=59)*(ROW('إدخال وسجل المنتجات'!$I$5:$I$590)-4))</f>
        <v>0</v>
      </c>
      <c r="J62" s="2" t="str">
        <f>IF($I62=0,"",IF($G62="","",$G62*IF(INDEX('إدخال وسجل المنتجات'!$U$5:$U$590,$I62)=0,1,INDEX('إدخال وسجل المنتجات'!$U$5:$U$590,$I62))))</f>
        <v/>
      </c>
    </row>
    <row r="63" spans="1:10" ht="16" x14ac:dyDescent="0.15">
      <c r="A63" s="2" t="str">
        <f>IF($I63=0,"",60)</f>
        <v/>
      </c>
      <c r="B63" s="9" t="str">
        <f>IF($I63=0,"",INDEX('إدخال وسجل المنتجات'!$F$5:$F$590,$I63))</f>
        <v/>
      </c>
      <c r="C63" s="8" t="str">
        <f>IF($I63=0,"",INDEX('إدخال وسجل المنتجات'!$B$5:$B$590,$I63))</f>
        <v/>
      </c>
      <c r="D63" s="10" t="str">
        <f>IF($I63=0,"",INDEX('إدخال وسجل المنتجات'!$C$5:$C$590,$I63))</f>
        <v/>
      </c>
      <c r="E63" s="11" t="str">
        <f>IF($I63=0,"",INDEX('إدخال وسجل المنتجات'!$D$5:$D$590,$I63))</f>
        <v/>
      </c>
      <c r="F63" s="2" t="str">
        <f>IF($I63=0,"",INDEX('إدخال وسجل المنتجات'!$G$5:$G$590,$I63))</f>
        <v/>
      </c>
      <c r="G63" s="12"/>
      <c r="H63" s="13"/>
      <c r="I63">
        <f>SUMPRODUCT(('إدخال وسجل المنتجات'!$I$5:$I$590="FRZ")*('إدخال وسجل المنتجات'!$M$5:$M$590=60)*(ROW('إدخال وسجل المنتجات'!$I$5:$I$590)-4))</f>
        <v>0</v>
      </c>
      <c r="J63" s="2" t="str">
        <f>IF($I63=0,"",IF($G63="","",$G63*IF(INDEX('إدخال وسجل المنتجات'!$U$5:$U$590,$I63)=0,1,INDEX('إدخال وسجل المنتجات'!$U$5:$U$590,$I63))))</f>
        <v/>
      </c>
    </row>
    <row r="64" spans="1:10" ht="16" x14ac:dyDescent="0.15">
      <c r="A64" s="2" t="str">
        <f>IF($I64=0,"",61)</f>
        <v/>
      </c>
      <c r="B64" s="9" t="str">
        <f>IF($I64=0,"",INDEX('إدخال وسجل المنتجات'!$F$5:$F$590,$I64))</f>
        <v/>
      </c>
      <c r="C64" s="8" t="str">
        <f>IF($I64=0,"",INDEX('إدخال وسجل المنتجات'!$B$5:$B$590,$I64))</f>
        <v/>
      </c>
      <c r="D64" s="10" t="str">
        <f>IF($I64=0,"",INDEX('إدخال وسجل المنتجات'!$C$5:$C$590,$I64))</f>
        <v/>
      </c>
      <c r="E64" s="11" t="str">
        <f>IF($I64=0,"",INDEX('إدخال وسجل المنتجات'!$D$5:$D$590,$I64))</f>
        <v/>
      </c>
      <c r="F64" s="2" t="str">
        <f>IF($I64=0,"",INDEX('إدخال وسجل المنتجات'!$G$5:$G$590,$I64))</f>
        <v/>
      </c>
      <c r="G64" s="12"/>
      <c r="H64" s="13"/>
      <c r="I64">
        <f>SUMPRODUCT(('إدخال وسجل المنتجات'!$I$5:$I$590="FRZ")*('إدخال وسجل المنتجات'!$M$5:$M$590=61)*(ROW('إدخال وسجل المنتجات'!$I$5:$I$590)-4))</f>
        <v>0</v>
      </c>
      <c r="J64" s="2" t="str">
        <f>IF($I64=0,"",IF($G64="","",$G64*IF(INDEX('إدخال وسجل المنتجات'!$U$5:$U$590,$I64)=0,1,INDEX('إدخال وسجل المنتجات'!$U$5:$U$590,$I64))))</f>
        <v/>
      </c>
    </row>
    <row r="65" spans="1:10" ht="16" x14ac:dyDescent="0.15">
      <c r="A65" s="2" t="str">
        <f>IF($I65=0,"",62)</f>
        <v/>
      </c>
      <c r="B65" s="9" t="str">
        <f>IF($I65=0,"",INDEX('إدخال وسجل المنتجات'!$F$5:$F$590,$I65))</f>
        <v/>
      </c>
      <c r="C65" s="8" t="str">
        <f>IF($I65=0,"",INDEX('إدخال وسجل المنتجات'!$B$5:$B$590,$I65))</f>
        <v/>
      </c>
      <c r="D65" s="10" t="str">
        <f>IF($I65=0,"",INDEX('إدخال وسجل المنتجات'!$C$5:$C$590,$I65))</f>
        <v/>
      </c>
      <c r="E65" s="11" t="str">
        <f>IF($I65=0,"",INDEX('إدخال وسجل المنتجات'!$D$5:$D$590,$I65))</f>
        <v/>
      </c>
      <c r="F65" s="2" t="str">
        <f>IF($I65=0,"",INDEX('إدخال وسجل المنتجات'!$G$5:$G$590,$I65))</f>
        <v/>
      </c>
      <c r="G65" s="12"/>
      <c r="H65" s="13"/>
      <c r="I65">
        <f>SUMPRODUCT(('إدخال وسجل المنتجات'!$I$5:$I$590="FRZ")*('إدخال وسجل المنتجات'!$M$5:$M$590=62)*(ROW('إدخال وسجل المنتجات'!$I$5:$I$590)-4))</f>
        <v>0</v>
      </c>
      <c r="J65" s="2" t="str">
        <f>IF($I65=0,"",IF($G65="","",$G65*IF(INDEX('إدخال وسجل المنتجات'!$U$5:$U$590,$I65)=0,1,INDEX('إدخال وسجل المنتجات'!$U$5:$U$590,$I65))))</f>
        <v/>
      </c>
    </row>
    <row r="66" spans="1:10" ht="16" x14ac:dyDescent="0.15">
      <c r="A66" s="2" t="str">
        <f>IF($I66=0,"",63)</f>
        <v/>
      </c>
      <c r="B66" s="9" t="str">
        <f>IF($I66=0,"",INDEX('إدخال وسجل المنتجات'!$F$5:$F$590,$I66))</f>
        <v/>
      </c>
      <c r="C66" s="8" t="str">
        <f>IF($I66=0,"",INDEX('إدخال وسجل المنتجات'!$B$5:$B$590,$I66))</f>
        <v/>
      </c>
      <c r="D66" s="10" t="str">
        <f>IF($I66=0,"",INDEX('إدخال وسجل المنتجات'!$C$5:$C$590,$I66))</f>
        <v/>
      </c>
      <c r="E66" s="11" t="str">
        <f>IF($I66=0,"",INDEX('إدخال وسجل المنتجات'!$D$5:$D$590,$I66))</f>
        <v/>
      </c>
      <c r="F66" s="2" t="str">
        <f>IF($I66=0,"",INDEX('إدخال وسجل المنتجات'!$G$5:$G$590,$I66))</f>
        <v/>
      </c>
      <c r="G66" s="12"/>
      <c r="H66" s="13"/>
      <c r="I66">
        <f>SUMPRODUCT(('إدخال وسجل المنتجات'!$I$5:$I$590="FRZ")*('إدخال وسجل المنتجات'!$M$5:$M$590=63)*(ROW('إدخال وسجل المنتجات'!$I$5:$I$590)-4))</f>
        <v>0</v>
      </c>
      <c r="J66" s="2" t="str">
        <f>IF($I66=0,"",IF($G66="","",$G66*IF(INDEX('إدخال وسجل المنتجات'!$U$5:$U$590,$I66)=0,1,INDEX('إدخال وسجل المنتجات'!$U$5:$U$590,$I66))))</f>
        <v/>
      </c>
    </row>
    <row r="67" spans="1:10" ht="16" x14ac:dyDescent="0.15">
      <c r="A67" s="2" t="str">
        <f>IF($I67=0,"",64)</f>
        <v/>
      </c>
      <c r="B67" s="9" t="str">
        <f>IF($I67=0,"",INDEX('إدخال وسجل المنتجات'!$F$5:$F$590,$I67))</f>
        <v/>
      </c>
      <c r="C67" s="8" t="str">
        <f>IF($I67=0,"",INDEX('إدخال وسجل المنتجات'!$B$5:$B$590,$I67))</f>
        <v/>
      </c>
      <c r="D67" s="10" t="str">
        <f>IF($I67=0,"",INDEX('إدخال وسجل المنتجات'!$C$5:$C$590,$I67))</f>
        <v/>
      </c>
      <c r="E67" s="11" t="str">
        <f>IF($I67=0,"",INDEX('إدخال وسجل المنتجات'!$D$5:$D$590,$I67))</f>
        <v/>
      </c>
      <c r="F67" s="2" t="str">
        <f>IF($I67=0,"",INDEX('إدخال وسجل المنتجات'!$G$5:$G$590,$I67))</f>
        <v/>
      </c>
      <c r="G67" s="12"/>
      <c r="H67" s="13"/>
      <c r="I67">
        <f>SUMPRODUCT(('إدخال وسجل المنتجات'!$I$5:$I$590="FRZ")*('إدخال وسجل المنتجات'!$M$5:$M$590=64)*(ROW('إدخال وسجل المنتجات'!$I$5:$I$590)-4))</f>
        <v>0</v>
      </c>
      <c r="J67" s="2" t="str">
        <f>IF($I67=0,"",IF($G67="","",$G67*IF(INDEX('إدخال وسجل المنتجات'!$U$5:$U$590,$I67)=0,1,INDEX('إدخال وسجل المنتجات'!$U$5:$U$590,$I67))))</f>
        <v/>
      </c>
    </row>
    <row r="68" spans="1:10" ht="16" x14ac:dyDescent="0.15">
      <c r="A68" s="2" t="str">
        <f>IF($I68=0,"",65)</f>
        <v/>
      </c>
      <c r="B68" s="9" t="str">
        <f>IF($I68=0,"",INDEX('إدخال وسجل المنتجات'!$F$5:$F$590,$I68))</f>
        <v/>
      </c>
      <c r="C68" s="8" t="str">
        <f>IF($I68=0,"",INDEX('إدخال وسجل المنتجات'!$B$5:$B$590,$I68))</f>
        <v/>
      </c>
      <c r="D68" s="10" t="str">
        <f>IF($I68=0,"",INDEX('إدخال وسجل المنتجات'!$C$5:$C$590,$I68))</f>
        <v/>
      </c>
      <c r="E68" s="11" t="str">
        <f>IF($I68=0,"",INDEX('إدخال وسجل المنتجات'!$D$5:$D$590,$I68))</f>
        <v/>
      </c>
      <c r="F68" s="2" t="str">
        <f>IF($I68=0,"",INDEX('إدخال وسجل المنتجات'!$G$5:$G$590,$I68))</f>
        <v/>
      </c>
      <c r="G68" s="12"/>
      <c r="H68" s="13"/>
      <c r="I68">
        <f>SUMPRODUCT(('إدخال وسجل المنتجات'!$I$5:$I$590="FRZ")*('إدخال وسجل المنتجات'!$M$5:$M$590=65)*(ROW('إدخال وسجل المنتجات'!$I$5:$I$590)-4))</f>
        <v>0</v>
      </c>
      <c r="J68" s="2" t="str">
        <f>IF($I68=0,"",IF($G68="","",$G68*IF(INDEX('إدخال وسجل المنتجات'!$U$5:$U$590,$I68)=0,1,INDEX('إدخال وسجل المنتجات'!$U$5:$U$590,$I68))))</f>
        <v/>
      </c>
    </row>
    <row r="69" spans="1:10" ht="16" x14ac:dyDescent="0.15">
      <c r="A69" s="2" t="str">
        <f>IF($I69=0,"",66)</f>
        <v/>
      </c>
      <c r="B69" s="9" t="str">
        <f>IF($I69=0,"",INDEX('إدخال وسجل المنتجات'!$F$5:$F$590,$I69))</f>
        <v/>
      </c>
      <c r="C69" s="8" t="str">
        <f>IF($I69=0,"",INDEX('إدخال وسجل المنتجات'!$B$5:$B$590,$I69))</f>
        <v/>
      </c>
      <c r="D69" s="10" t="str">
        <f>IF($I69=0,"",INDEX('إدخال وسجل المنتجات'!$C$5:$C$590,$I69))</f>
        <v/>
      </c>
      <c r="E69" s="11" t="str">
        <f>IF($I69=0,"",INDEX('إدخال وسجل المنتجات'!$D$5:$D$590,$I69))</f>
        <v/>
      </c>
      <c r="F69" s="2" t="str">
        <f>IF($I69=0,"",INDEX('إدخال وسجل المنتجات'!$G$5:$G$590,$I69))</f>
        <v/>
      </c>
      <c r="G69" s="12"/>
      <c r="H69" s="13"/>
      <c r="I69">
        <f>SUMPRODUCT(('إدخال وسجل المنتجات'!$I$5:$I$590="FRZ")*('إدخال وسجل المنتجات'!$M$5:$M$590=66)*(ROW('إدخال وسجل المنتجات'!$I$5:$I$590)-4))</f>
        <v>0</v>
      </c>
      <c r="J69" s="2" t="str">
        <f>IF($I69=0,"",IF($G69="","",$G69*IF(INDEX('إدخال وسجل المنتجات'!$U$5:$U$590,$I69)=0,1,INDEX('إدخال وسجل المنتجات'!$U$5:$U$590,$I69))))</f>
        <v/>
      </c>
    </row>
    <row r="70" spans="1:10" ht="16" x14ac:dyDescent="0.15">
      <c r="A70" s="2" t="str">
        <f>IF($I70=0,"",67)</f>
        <v/>
      </c>
      <c r="B70" s="9" t="str">
        <f>IF($I70=0,"",INDEX('إدخال وسجل المنتجات'!$F$5:$F$590,$I70))</f>
        <v/>
      </c>
      <c r="C70" s="8" t="str">
        <f>IF($I70=0,"",INDEX('إدخال وسجل المنتجات'!$B$5:$B$590,$I70))</f>
        <v/>
      </c>
      <c r="D70" s="10" t="str">
        <f>IF($I70=0,"",INDEX('إدخال وسجل المنتجات'!$C$5:$C$590,$I70))</f>
        <v/>
      </c>
      <c r="E70" s="11" t="str">
        <f>IF($I70=0,"",INDEX('إدخال وسجل المنتجات'!$D$5:$D$590,$I70))</f>
        <v/>
      </c>
      <c r="F70" s="2" t="str">
        <f>IF($I70=0,"",INDEX('إدخال وسجل المنتجات'!$G$5:$G$590,$I70))</f>
        <v/>
      </c>
      <c r="G70" s="12"/>
      <c r="H70" s="13"/>
      <c r="I70">
        <f>SUMPRODUCT(('إدخال وسجل المنتجات'!$I$5:$I$590="FRZ")*('إدخال وسجل المنتجات'!$M$5:$M$590=67)*(ROW('إدخال وسجل المنتجات'!$I$5:$I$590)-4))</f>
        <v>0</v>
      </c>
      <c r="J70" s="2" t="str">
        <f>IF($I70=0,"",IF($G70="","",$G70*IF(INDEX('إدخال وسجل المنتجات'!$U$5:$U$590,$I70)=0,1,INDEX('إدخال وسجل المنتجات'!$U$5:$U$590,$I70))))</f>
        <v/>
      </c>
    </row>
    <row r="71" spans="1:10" ht="16" x14ac:dyDescent="0.15">
      <c r="A71" s="2" t="str">
        <f>IF($I71=0,"",68)</f>
        <v/>
      </c>
      <c r="B71" s="9" t="str">
        <f>IF($I71=0,"",INDEX('إدخال وسجل المنتجات'!$F$5:$F$590,$I71))</f>
        <v/>
      </c>
      <c r="C71" s="8" t="str">
        <f>IF($I71=0,"",INDEX('إدخال وسجل المنتجات'!$B$5:$B$590,$I71))</f>
        <v/>
      </c>
      <c r="D71" s="10" t="str">
        <f>IF($I71=0,"",INDEX('إدخال وسجل المنتجات'!$C$5:$C$590,$I71))</f>
        <v/>
      </c>
      <c r="E71" s="11" t="str">
        <f>IF($I71=0,"",INDEX('إدخال وسجل المنتجات'!$D$5:$D$590,$I71))</f>
        <v/>
      </c>
      <c r="F71" s="2" t="str">
        <f>IF($I71=0,"",INDEX('إدخال وسجل المنتجات'!$G$5:$G$590,$I71))</f>
        <v/>
      </c>
      <c r="G71" s="12"/>
      <c r="H71" s="13"/>
      <c r="I71">
        <f>SUMPRODUCT(('إدخال وسجل المنتجات'!$I$5:$I$590="FRZ")*('إدخال وسجل المنتجات'!$M$5:$M$590=68)*(ROW('إدخال وسجل المنتجات'!$I$5:$I$590)-4))</f>
        <v>0</v>
      </c>
      <c r="J71" s="2" t="str">
        <f>IF($I71=0,"",IF($G71="","",$G71*IF(INDEX('إدخال وسجل المنتجات'!$U$5:$U$590,$I71)=0,1,INDEX('إدخال وسجل المنتجات'!$U$5:$U$590,$I71))))</f>
        <v/>
      </c>
    </row>
    <row r="72" spans="1:10" ht="16" x14ac:dyDescent="0.15">
      <c r="A72" s="2" t="str">
        <f>IF($I72=0,"",69)</f>
        <v/>
      </c>
      <c r="B72" s="9" t="str">
        <f>IF($I72=0,"",INDEX('إدخال وسجل المنتجات'!$F$5:$F$590,$I72))</f>
        <v/>
      </c>
      <c r="C72" s="8" t="str">
        <f>IF($I72=0,"",INDEX('إدخال وسجل المنتجات'!$B$5:$B$590,$I72))</f>
        <v/>
      </c>
      <c r="D72" s="10" t="str">
        <f>IF($I72=0,"",INDEX('إدخال وسجل المنتجات'!$C$5:$C$590,$I72))</f>
        <v/>
      </c>
      <c r="E72" s="11" t="str">
        <f>IF($I72=0,"",INDEX('إدخال وسجل المنتجات'!$D$5:$D$590,$I72))</f>
        <v/>
      </c>
      <c r="F72" s="2" t="str">
        <f>IF($I72=0,"",INDEX('إدخال وسجل المنتجات'!$G$5:$G$590,$I72))</f>
        <v/>
      </c>
      <c r="G72" s="12"/>
      <c r="H72" s="13"/>
      <c r="I72">
        <f>SUMPRODUCT(('إدخال وسجل المنتجات'!$I$5:$I$590="FRZ")*('إدخال وسجل المنتجات'!$M$5:$M$590=69)*(ROW('إدخال وسجل المنتجات'!$I$5:$I$590)-4))</f>
        <v>0</v>
      </c>
      <c r="J72" s="2" t="str">
        <f>IF($I72=0,"",IF($G72="","",$G72*IF(INDEX('إدخال وسجل المنتجات'!$U$5:$U$590,$I72)=0,1,INDEX('إدخال وسجل المنتجات'!$U$5:$U$590,$I72))))</f>
        <v/>
      </c>
    </row>
    <row r="73" spans="1:10" ht="16" x14ac:dyDescent="0.15">
      <c r="A73" s="2" t="str">
        <f>IF($I73=0,"",70)</f>
        <v/>
      </c>
      <c r="B73" s="9" t="str">
        <f>IF($I73=0,"",INDEX('إدخال وسجل المنتجات'!$F$5:$F$590,$I73))</f>
        <v/>
      </c>
      <c r="C73" s="8" t="str">
        <f>IF($I73=0,"",INDEX('إدخال وسجل المنتجات'!$B$5:$B$590,$I73))</f>
        <v/>
      </c>
      <c r="D73" s="10" t="str">
        <f>IF($I73=0,"",INDEX('إدخال وسجل المنتجات'!$C$5:$C$590,$I73))</f>
        <v/>
      </c>
      <c r="E73" s="11" t="str">
        <f>IF($I73=0,"",INDEX('إدخال وسجل المنتجات'!$D$5:$D$590,$I73))</f>
        <v/>
      </c>
      <c r="F73" s="2" t="str">
        <f>IF($I73=0,"",INDEX('إدخال وسجل المنتجات'!$G$5:$G$590,$I73))</f>
        <v/>
      </c>
      <c r="G73" s="12"/>
      <c r="H73" s="13"/>
      <c r="I73">
        <f>SUMPRODUCT(('إدخال وسجل المنتجات'!$I$5:$I$590="FRZ")*('إدخال وسجل المنتجات'!$M$5:$M$590=70)*(ROW('إدخال وسجل المنتجات'!$I$5:$I$590)-4))</f>
        <v>0</v>
      </c>
      <c r="J73" s="2" t="str">
        <f>IF($I73=0,"",IF($G73="","",$G73*IF(INDEX('إدخال وسجل المنتجات'!$U$5:$U$590,$I73)=0,1,INDEX('إدخال وسجل المنتجات'!$U$5:$U$590,$I73))))</f>
        <v/>
      </c>
    </row>
    <row r="74" spans="1:10" ht="16" x14ac:dyDescent="0.15">
      <c r="A74" s="2" t="str">
        <f>IF($I74=0,"",71)</f>
        <v/>
      </c>
      <c r="B74" s="9" t="str">
        <f>IF($I74=0,"",INDEX('إدخال وسجل المنتجات'!$F$5:$F$590,$I74))</f>
        <v/>
      </c>
      <c r="C74" s="8" t="str">
        <f>IF($I74=0,"",INDEX('إدخال وسجل المنتجات'!$B$5:$B$590,$I74))</f>
        <v/>
      </c>
      <c r="D74" s="10" t="str">
        <f>IF($I74=0,"",INDEX('إدخال وسجل المنتجات'!$C$5:$C$590,$I74))</f>
        <v/>
      </c>
      <c r="E74" s="11" t="str">
        <f>IF($I74=0,"",INDEX('إدخال وسجل المنتجات'!$D$5:$D$590,$I74))</f>
        <v/>
      </c>
      <c r="F74" s="2" t="str">
        <f>IF($I74=0,"",INDEX('إدخال وسجل المنتجات'!$G$5:$G$590,$I74))</f>
        <v/>
      </c>
      <c r="G74" s="12"/>
      <c r="H74" s="13"/>
      <c r="I74">
        <f>SUMPRODUCT(('إدخال وسجل المنتجات'!$I$5:$I$590="FRZ")*('إدخال وسجل المنتجات'!$M$5:$M$590=71)*(ROW('إدخال وسجل المنتجات'!$I$5:$I$590)-4))</f>
        <v>0</v>
      </c>
      <c r="J74" s="2" t="str">
        <f>IF($I74=0,"",IF($G74="","",$G74*IF(INDEX('إدخال وسجل المنتجات'!$U$5:$U$590,$I74)=0,1,INDEX('إدخال وسجل المنتجات'!$U$5:$U$590,$I74))))</f>
        <v/>
      </c>
    </row>
    <row r="75" spans="1:10" ht="16" x14ac:dyDescent="0.15">
      <c r="A75" s="2" t="str">
        <f>IF($I75=0,"",72)</f>
        <v/>
      </c>
      <c r="B75" s="9" t="str">
        <f>IF($I75=0,"",INDEX('إدخال وسجل المنتجات'!$F$5:$F$590,$I75))</f>
        <v/>
      </c>
      <c r="C75" s="8" t="str">
        <f>IF($I75=0,"",INDEX('إدخال وسجل المنتجات'!$B$5:$B$590,$I75))</f>
        <v/>
      </c>
      <c r="D75" s="10" t="str">
        <f>IF($I75=0,"",INDEX('إدخال وسجل المنتجات'!$C$5:$C$590,$I75))</f>
        <v/>
      </c>
      <c r="E75" s="11" t="str">
        <f>IF($I75=0,"",INDEX('إدخال وسجل المنتجات'!$D$5:$D$590,$I75))</f>
        <v/>
      </c>
      <c r="F75" s="2" t="str">
        <f>IF($I75=0,"",INDEX('إدخال وسجل المنتجات'!$G$5:$G$590,$I75))</f>
        <v/>
      </c>
      <c r="G75" s="12"/>
      <c r="H75" s="13"/>
      <c r="I75">
        <f>SUMPRODUCT(('إدخال وسجل المنتجات'!$I$5:$I$590="FRZ")*('إدخال وسجل المنتجات'!$M$5:$M$590=72)*(ROW('إدخال وسجل المنتجات'!$I$5:$I$590)-4))</f>
        <v>0</v>
      </c>
      <c r="J75" s="2" t="str">
        <f>IF($I75=0,"",IF($G75="","",$G75*IF(INDEX('إدخال وسجل المنتجات'!$U$5:$U$590,$I75)=0,1,INDEX('إدخال وسجل المنتجات'!$U$5:$U$590,$I75))))</f>
        <v/>
      </c>
    </row>
    <row r="76" spans="1:10" ht="16" x14ac:dyDescent="0.15">
      <c r="A76" s="2" t="str">
        <f>IF($I76=0,"",73)</f>
        <v/>
      </c>
      <c r="B76" s="9" t="str">
        <f>IF($I76=0,"",INDEX('إدخال وسجل المنتجات'!$F$5:$F$590,$I76))</f>
        <v/>
      </c>
      <c r="C76" s="8" t="str">
        <f>IF($I76=0,"",INDEX('إدخال وسجل المنتجات'!$B$5:$B$590,$I76))</f>
        <v/>
      </c>
      <c r="D76" s="10" t="str">
        <f>IF($I76=0,"",INDEX('إدخال وسجل المنتجات'!$C$5:$C$590,$I76))</f>
        <v/>
      </c>
      <c r="E76" s="11" t="str">
        <f>IF($I76=0,"",INDEX('إدخال وسجل المنتجات'!$D$5:$D$590,$I76))</f>
        <v/>
      </c>
      <c r="F76" s="2" t="str">
        <f>IF($I76=0,"",INDEX('إدخال وسجل المنتجات'!$G$5:$G$590,$I76))</f>
        <v/>
      </c>
      <c r="G76" s="12"/>
      <c r="H76" s="13"/>
      <c r="I76">
        <f>SUMPRODUCT(('إدخال وسجل المنتجات'!$I$5:$I$590="FRZ")*('إدخال وسجل المنتجات'!$M$5:$M$590=73)*(ROW('إدخال وسجل المنتجات'!$I$5:$I$590)-4))</f>
        <v>0</v>
      </c>
      <c r="J76" s="2" t="str">
        <f>IF($I76=0,"",IF($G76="","",$G76*IF(INDEX('إدخال وسجل المنتجات'!$U$5:$U$590,$I76)=0,1,INDEX('إدخال وسجل المنتجات'!$U$5:$U$590,$I76))))</f>
        <v/>
      </c>
    </row>
    <row r="77" spans="1:10" ht="16" x14ac:dyDescent="0.15">
      <c r="A77" s="2" t="str">
        <f>IF($I77=0,"",74)</f>
        <v/>
      </c>
      <c r="B77" s="9" t="str">
        <f>IF($I77=0,"",INDEX('إدخال وسجل المنتجات'!$F$5:$F$590,$I77))</f>
        <v/>
      </c>
      <c r="C77" s="8" t="str">
        <f>IF($I77=0,"",INDEX('إدخال وسجل المنتجات'!$B$5:$B$590,$I77))</f>
        <v/>
      </c>
      <c r="D77" s="10" t="str">
        <f>IF($I77=0,"",INDEX('إدخال وسجل المنتجات'!$C$5:$C$590,$I77))</f>
        <v/>
      </c>
      <c r="E77" s="11" t="str">
        <f>IF($I77=0,"",INDEX('إدخال وسجل المنتجات'!$D$5:$D$590,$I77))</f>
        <v/>
      </c>
      <c r="F77" s="2" t="str">
        <f>IF($I77=0,"",INDEX('إدخال وسجل المنتجات'!$G$5:$G$590,$I77))</f>
        <v/>
      </c>
      <c r="G77" s="12"/>
      <c r="H77" s="13"/>
      <c r="I77">
        <f>SUMPRODUCT(('إدخال وسجل المنتجات'!$I$5:$I$590="FRZ")*('إدخال وسجل المنتجات'!$M$5:$M$590=74)*(ROW('إدخال وسجل المنتجات'!$I$5:$I$590)-4))</f>
        <v>0</v>
      </c>
      <c r="J77" s="2" t="str">
        <f>IF($I77=0,"",IF($G77="","",$G77*IF(INDEX('إدخال وسجل المنتجات'!$U$5:$U$590,$I77)=0,1,INDEX('إدخال وسجل المنتجات'!$U$5:$U$590,$I77))))</f>
        <v/>
      </c>
    </row>
    <row r="78" spans="1:10" ht="16" x14ac:dyDescent="0.15">
      <c r="A78" s="2" t="str">
        <f>IF($I78=0,"",75)</f>
        <v/>
      </c>
      <c r="B78" s="9" t="str">
        <f>IF($I78=0,"",INDEX('إدخال وسجل المنتجات'!$F$5:$F$590,$I78))</f>
        <v/>
      </c>
      <c r="C78" s="8" t="str">
        <f>IF($I78=0,"",INDEX('إدخال وسجل المنتجات'!$B$5:$B$590,$I78))</f>
        <v/>
      </c>
      <c r="D78" s="10" t="str">
        <f>IF($I78=0,"",INDEX('إدخال وسجل المنتجات'!$C$5:$C$590,$I78))</f>
        <v/>
      </c>
      <c r="E78" s="11" t="str">
        <f>IF($I78=0,"",INDEX('إدخال وسجل المنتجات'!$D$5:$D$590,$I78))</f>
        <v/>
      </c>
      <c r="F78" s="2" t="str">
        <f>IF($I78=0,"",INDEX('إدخال وسجل المنتجات'!$G$5:$G$590,$I78))</f>
        <v/>
      </c>
      <c r="G78" s="12"/>
      <c r="H78" s="13"/>
      <c r="I78">
        <f>SUMPRODUCT(('إدخال وسجل المنتجات'!$I$5:$I$590="FRZ")*('إدخال وسجل المنتجات'!$M$5:$M$590=75)*(ROW('إدخال وسجل المنتجات'!$I$5:$I$590)-4))</f>
        <v>0</v>
      </c>
      <c r="J78" s="2" t="str">
        <f>IF($I78=0,"",IF($G78="","",$G78*IF(INDEX('إدخال وسجل المنتجات'!$U$5:$U$590,$I78)=0,1,INDEX('إدخال وسجل المنتجات'!$U$5:$U$590,$I78))))</f>
        <v/>
      </c>
    </row>
    <row r="79" spans="1:10" ht="16" x14ac:dyDescent="0.15">
      <c r="A79" s="2" t="str">
        <f>IF($I79=0,"",76)</f>
        <v/>
      </c>
      <c r="B79" s="9" t="str">
        <f>IF($I79=0,"",INDEX('إدخال وسجل المنتجات'!$F$5:$F$590,$I79))</f>
        <v/>
      </c>
      <c r="C79" s="8" t="str">
        <f>IF($I79=0,"",INDEX('إدخال وسجل المنتجات'!$B$5:$B$590,$I79))</f>
        <v/>
      </c>
      <c r="D79" s="10" t="str">
        <f>IF($I79=0,"",INDEX('إدخال وسجل المنتجات'!$C$5:$C$590,$I79))</f>
        <v/>
      </c>
      <c r="E79" s="11" t="str">
        <f>IF($I79=0,"",INDEX('إدخال وسجل المنتجات'!$D$5:$D$590,$I79))</f>
        <v/>
      </c>
      <c r="F79" s="2" t="str">
        <f>IF($I79=0,"",INDEX('إدخال وسجل المنتجات'!$G$5:$G$590,$I79))</f>
        <v/>
      </c>
      <c r="G79" s="12"/>
      <c r="H79" s="13"/>
      <c r="I79">
        <f>SUMPRODUCT(('إدخال وسجل المنتجات'!$I$5:$I$590="FRZ")*('إدخال وسجل المنتجات'!$M$5:$M$590=76)*(ROW('إدخال وسجل المنتجات'!$I$5:$I$590)-4))</f>
        <v>0</v>
      </c>
      <c r="J79" s="2" t="str">
        <f>IF($I79=0,"",IF($G79="","",$G79*IF(INDEX('إدخال وسجل المنتجات'!$U$5:$U$590,$I79)=0,1,INDEX('إدخال وسجل المنتجات'!$U$5:$U$590,$I79))))</f>
        <v/>
      </c>
    </row>
    <row r="80" spans="1:10" ht="16" x14ac:dyDescent="0.15">
      <c r="A80" s="2" t="str">
        <f>IF($I80=0,"",77)</f>
        <v/>
      </c>
      <c r="B80" s="9" t="str">
        <f>IF($I80=0,"",INDEX('إدخال وسجل المنتجات'!$F$5:$F$590,$I80))</f>
        <v/>
      </c>
      <c r="C80" s="8" t="str">
        <f>IF($I80=0,"",INDEX('إدخال وسجل المنتجات'!$B$5:$B$590,$I80))</f>
        <v/>
      </c>
      <c r="D80" s="10" t="str">
        <f>IF($I80=0,"",INDEX('إدخال وسجل المنتجات'!$C$5:$C$590,$I80))</f>
        <v/>
      </c>
      <c r="E80" s="11" t="str">
        <f>IF($I80=0,"",INDEX('إدخال وسجل المنتجات'!$D$5:$D$590,$I80))</f>
        <v/>
      </c>
      <c r="F80" s="2" t="str">
        <f>IF($I80=0,"",INDEX('إدخال وسجل المنتجات'!$G$5:$G$590,$I80))</f>
        <v/>
      </c>
      <c r="G80" s="12"/>
      <c r="H80" s="13"/>
      <c r="I80">
        <f>SUMPRODUCT(('إدخال وسجل المنتجات'!$I$5:$I$590="FRZ")*('إدخال وسجل المنتجات'!$M$5:$M$590=77)*(ROW('إدخال وسجل المنتجات'!$I$5:$I$590)-4))</f>
        <v>0</v>
      </c>
      <c r="J80" s="2" t="str">
        <f>IF($I80=0,"",IF($G80="","",$G80*IF(INDEX('إدخال وسجل المنتجات'!$U$5:$U$590,$I80)=0,1,INDEX('إدخال وسجل المنتجات'!$U$5:$U$590,$I80))))</f>
        <v/>
      </c>
    </row>
    <row r="81" spans="1:10" ht="16" x14ac:dyDescent="0.15">
      <c r="A81" s="2" t="str">
        <f>IF($I81=0,"",78)</f>
        <v/>
      </c>
      <c r="B81" s="9" t="str">
        <f>IF($I81=0,"",INDEX('إدخال وسجل المنتجات'!$F$5:$F$590,$I81))</f>
        <v/>
      </c>
      <c r="C81" s="8" t="str">
        <f>IF($I81=0,"",INDEX('إدخال وسجل المنتجات'!$B$5:$B$590,$I81))</f>
        <v/>
      </c>
      <c r="D81" s="10" t="str">
        <f>IF($I81=0,"",INDEX('إدخال وسجل المنتجات'!$C$5:$C$590,$I81))</f>
        <v/>
      </c>
      <c r="E81" s="11" t="str">
        <f>IF($I81=0,"",INDEX('إدخال وسجل المنتجات'!$D$5:$D$590,$I81))</f>
        <v/>
      </c>
      <c r="F81" s="2" t="str">
        <f>IF($I81=0,"",INDEX('إدخال وسجل المنتجات'!$G$5:$G$590,$I81))</f>
        <v/>
      </c>
      <c r="G81" s="12"/>
      <c r="H81" s="13"/>
      <c r="I81">
        <f>SUMPRODUCT(('إدخال وسجل المنتجات'!$I$5:$I$590="FRZ")*('إدخال وسجل المنتجات'!$M$5:$M$590=78)*(ROW('إدخال وسجل المنتجات'!$I$5:$I$590)-4))</f>
        <v>0</v>
      </c>
      <c r="J81" s="2" t="str">
        <f>IF($I81=0,"",IF($G81="","",$G81*IF(INDEX('إدخال وسجل المنتجات'!$U$5:$U$590,$I81)=0,1,INDEX('إدخال وسجل المنتجات'!$U$5:$U$590,$I81))))</f>
        <v/>
      </c>
    </row>
    <row r="82" spans="1:10" ht="16" x14ac:dyDescent="0.15">
      <c r="A82" s="2" t="str">
        <f>IF($I82=0,"",79)</f>
        <v/>
      </c>
      <c r="B82" s="9" t="str">
        <f>IF($I82=0,"",INDEX('إدخال وسجل المنتجات'!$F$5:$F$590,$I82))</f>
        <v/>
      </c>
      <c r="C82" s="8" t="str">
        <f>IF($I82=0,"",INDEX('إدخال وسجل المنتجات'!$B$5:$B$590,$I82))</f>
        <v/>
      </c>
      <c r="D82" s="10" t="str">
        <f>IF($I82=0,"",INDEX('إدخال وسجل المنتجات'!$C$5:$C$590,$I82))</f>
        <v/>
      </c>
      <c r="E82" s="11" t="str">
        <f>IF($I82=0,"",INDEX('إدخال وسجل المنتجات'!$D$5:$D$590,$I82))</f>
        <v/>
      </c>
      <c r="F82" s="2" t="str">
        <f>IF($I82=0,"",INDEX('إدخال وسجل المنتجات'!$G$5:$G$590,$I82))</f>
        <v/>
      </c>
      <c r="G82" s="12"/>
      <c r="H82" s="13"/>
      <c r="I82">
        <f>SUMPRODUCT(('إدخال وسجل المنتجات'!$I$5:$I$590="FRZ")*('إدخال وسجل المنتجات'!$M$5:$M$590=79)*(ROW('إدخال وسجل المنتجات'!$I$5:$I$590)-4))</f>
        <v>0</v>
      </c>
      <c r="J82" s="2" t="str">
        <f>IF($I82=0,"",IF($G82="","",$G82*IF(INDEX('إدخال وسجل المنتجات'!$U$5:$U$590,$I82)=0,1,INDEX('إدخال وسجل المنتجات'!$U$5:$U$590,$I82))))</f>
        <v/>
      </c>
    </row>
    <row r="83" spans="1:10" ht="16" x14ac:dyDescent="0.15">
      <c r="A83" s="2" t="str">
        <f>IF($I83=0,"",80)</f>
        <v/>
      </c>
      <c r="B83" s="9" t="str">
        <f>IF($I83=0,"",INDEX('إدخال وسجل المنتجات'!$F$5:$F$590,$I83))</f>
        <v/>
      </c>
      <c r="C83" s="8" t="str">
        <f>IF($I83=0,"",INDEX('إدخال وسجل المنتجات'!$B$5:$B$590,$I83))</f>
        <v/>
      </c>
      <c r="D83" s="10" t="str">
        <f>IF($I83=0,"",INDEX('إدخال وسجل المنتجات'!$C$5:$C$590,$I83))</f>
        <v/>
      </c>
      <c r="E83" s="11" t="str">
        <f>IF($I83=0,"",INDEX('إدخال وسجل المنتجات'!$D$5:$D$590,$I83))</f>
        <v/>
      </c>
      <c r="F83" s="2" t="str">
        <f>IF($I83=0,"",INDEX('إدخال وسجل المنتجات'!$G$5:$G$590,$I83))</f>
        <v/>
      </c>
      <c r="G83" s="12"/>
      <c r="H83" s="13"/>
      <c r="I83">
        <f>SUMPRODUCT(('إدخال وسجل المنتجات'!$I$5:$I$590="FRZ")*('إدخال وسجل المنتجات'!$M$5:$M$590=80)*(ROW('إدخال وسجل المنتجات'!$I$5:$I$590)-4))</f>
        <v>0</v>
      </c>
      <c r="J83" s="2" t="str">
        <f>IF($I83=0,"",IF($G83="","",$G83*IF(INDEX('إدخال وسجل المنتجات'!$U$5:$U$590,$I83)=0,1,INDEX('إدخال وسجل المنتجات'!$U$5:$U$590,$I83))))</f>
        <v/>
      </c>
    </row>
    <row r="84" spans="1:10" ht="16" x14ac:dyDescent="0.15">
      <c r="A84" s="2" t="str">
        <f>IF($I84=0,"",81)</f>
        <v/>
      </c>
      <c r="B84" s="9" t="str">
        <f>IF($I84=0,"",INDEX('إدخال وسجل المنتجات'!$F$5:$F$590,$I84))</f>
        <v/>
      </c>
      <c r="C84" s="8" t="str">
        <f>IF($I84=0,"",INDEX('إدخال وسجل المنتجات'!$B$5:$B$590,$I84))</f>
        <v/>
      </c>
      <c r="D84" s="10" t="str">
        <f>IF($I84=0,"",INDEX('إدخال وسجل المنتجات'!$C$5:$C$590,$I84))</f>
        <v/>
      </c>
      <c r="E84" s="11" t="str">
        <f>IF($I84=0,"",INDEX('إدخال وسجل المنتجات'!$D$5:$D$590,$I84))</f>
        <v/>
      </c>
      <c r="F84" s="2" t="str">
        <f>IF($I84=0,"",INDEX('إدخال وسجل المنتجات'!$G$5:$G$590,$I84))</f>
        <v/>
      </c>
      <c r="G84" s="12"/>
      <c r="H84" s="13"/>
      <c r="I84">
        <f>SUMPRODUCT(('إدخال وسجل المنتجات'!$I$5:$I$590="FRZ")*('إدخال وسجل المنتجات'!$M$5:$M$590=81)*(ROW('إدخال وسجل المنتجات'!$I$5:$I$590)-4))</f>
        <v>0</v>
      </c>
      <c r="J84" s="2" t="str">
        <f>IF($I84=0,"",IF($G84="","",$G84*IF(INDEX('إدخال وسجل المنتجات'!$U$5:$U$590,$I84)=0,1,INDEX('إدخال وسجل المنتجات'!$U$5:$U$590,$I84))))</f>
        <v/>
      </c>
    </row>
    <row r="85" spans="1:10" ht="16" x14ac:dyDescent="0.15">
      <c r="A85" s="2" t="str">
        <f>IF($I85=0,"",82)</f>
        <v/>
      </c>
      <c r="B85" s="9" t="str">
        <f>IF($I85=0,"",INDEX('إدخال وسجل المنتجات'!$F$5:$F$590,$I85))</f>
        <v/>
      </c>
      <c r="C85" s="8" t="str">
        <f>IF($I85=0,"",INDEX('إدخال وسجل المنتجات'!$B$5:$B$590,$I85))</f>
        <v/>
      </c>
      <c r="D85" s="10" t="str">
        <f>IF($I85=0,"",INDEX('إدخال وسجل المنتجات'!$C$5:$C$590,$I85))</f>
        <v/>
      </c>
      <c r="E85" s="11" t="str">
        <f>IF($I85=0,"",INDEX('إدخال وسجل المنتجات'!$D$5:$D$590,$I85))</f>
        <v/>
      </c>
      <c r="F85" s="2" t="str">
        <f>IF($I85=0,"",INDEX('إدخال وسجل المنتجات'!$G$5:$G$590,$I85))</f>
        <v/>
      </c>
      <c r="G85" s="12"/>
      <c r="H85" s="13"/>
      <c r="I85">
        <f>SUMPRODUCT(('إدخال وسجل المنتجات'!$I$5:$I$590="FRZ")*('إدخال وسجل المنتجات'!$M$5:$M$590=82)*(ROW('إدخال وسجل المنتجات'!$I$5:$I$590)-4))</f>
        <v>0</v>
      </c>
      <c r="J85" s="2" t="str">
        <f>IF($I85=0,"",IF($G85="","",$G85*IF(INDEX('إدخال وسجل المنتجات'!$U$5:$U$590,$I85)=0,1,INDEX('إدخال وسجل المنتجات'!$U$5:$U$590,$I85))))</f>
        <v/>
      </c>
    </row>
    <row r="86" spans="1:10" ht="16" x14ac:dyDescent="0.15">
      <c r="A86" s="2" t="str">
        <f>IF($I86=0,"",83)</f>
        <v/>
      </c>
      <c r="B86" s="9" t="str">
        <f>IF($I86=0,"",INDEX('إدخال وسجل المنتجات'!$F$5:$F$590,$I86))</f>
        <v/>
      </c>
      <c r="C86" s="8" t="str">
        <f>IF($I86=0,"",INDEX('إدخال وسجل المنتجات'!$B$5:$B$590,$I86))</f>
        <v/>
      </c>
      <c r="D86" s="10" t="str">
        <f>IF($I86=0,"",INDEX('إدخال وسجل المنتجات'!$C$5:$C$590,$I86))</f>
        <v/>
      </c>
      <c r="E86" s="11" t="str">
        <f>IF($I86=0,"",INDEX('إدخال وسجل المنتجات'!$D$5:$D$590,$I86))</f>
        <v/>
      </c>
      <c r="F86" s="2" t="str">
        <f>IF($I86=0,"",INDEX('إدخال وسجل المنتجات'!$G$5:$G$590,$I86))</f>
        <v/>
      </c>
      <c r="G86" s="12"/>
      <c r="H86" s="13"/>
      <c r="I86">
        <f>SUMPRODUCT(('إدخال وسجل المنتجات'!$I$5:$I$590="FRZ")*('إدخال وسجل المنتجات'!$M$5:$M$590=83)*(ROW('إدخال وسجل المنتجات'!$I$5:$I$590)-4))</f>
        <v>0</v>
      </c>
      <c r="J86" s="2" t="str">
        <f>IF($I86=0,"",IF($G86="","",$G86*IF(INDEX('إدخال وسجل المنتجات'!$U$5:$U$590,$I86)=0,1,INDEX('إدخال وسجل المنتجات'!$U$5:$U$590,$I86))))</f>
        <v/>
      </c>
    </row>
    <row r="87" spans="1:10" ht="16" x14ac:dyDescent="0.15">
      <c r="A87" s="2" t="str">
        <f>IF($I87=0,"",84)</f>
        <v/>
      </c>
      <c r="B87" s="9" t="str">
        <f>IF($I87=0,"",INDEX('إدخال وسجل المنتجات'!$F$5:$F$590,$I87))</f>
        <v/>
      </c>
      <c r="C87" s="8" t="str">
        <f>IF($I87=0,"",INDEX('إدخال وسجل المنتجات'!$B$5:$B$590,$I87))</f>
        <v/>
      </c>
      <c r="D87" s="10" t="str">
        <f>IF($I87=0,"",INDEX('إدخال وسجل المنتجات'!$C$5:$C$590,$I87))</f>
        <v/>
      </c>
      <c r="E87" s="11" t="str">
        <f>IF($I87=0,"",INDEX('إدخال وسجل المنتجات'!$D$5:$D$590,$I87))</f>
        <v/>
      </c>
      <c r="F87" s="2" t="str">
        <f>IF($I87=0,"",INDEX('إدخال وسجل المنتجات'!$G$5:$G$590,$I87))</f>
        <v/>
      </c>
      <c r="G87" s="12"/>
      <c r="H87" s="13"/>
      <c r="I87">
        <f>SUMPRODUCT(('إدخال وسجل المنتجات'!$I$5:$I$590="FRZ")*('إدخال وسجل المنتجات'!$M$5:$M$590=84)*(ROW('إدخال وسجل المنتجات'!$I$5:$I$590)-4))</f>
        <v>0</v>
      </c>
      <c r="J87" s="2" t="str">
        <f>IF($I87=0,"",IF($G87="","",$G87*IF(INDEX('إدخال وسجل المنتجات'!$U$5:$U$590,$I87)=0,1,INDEX('إدخال وسجل المنتجات'!$U$5:$U$590,$I87))))</f>
        <v/>
      </c>
    </row>
    <row r="88" spans="1:10" ht="16" x14ac:dyDescent="0.15">
      <c r="A88" s="2" t="str">
        <f>IF($I88=0,"",85)</f>
        <v/>
      </c>
      <c r="B88" s="9" t="str">
        <f>IF($I88=0,"",INDEX('إدخال وسجل المنتجات'!$F$5:$F$590,$I88))</f>
        <v/>
      </c>
      <c r="C88" s="8" t="str">
        <f>IF($I88=0,"",INDEX('إدخال وسجل المنتجات'!$B$5:$B$590,$I88))</f>
        <v/>
      </c>
      <c r="D88" s="10" t="str">
        <f>IF($I88=0,"",INDEX('إدخال وسجل المنتجات'!$C$5:$C$590,$I88))</f>
        <v/>
      </c>
      <c r="E88" s="11" t="str">
        <f>IF($I88=0,"",INDEX('إدخال وسجل المنتجات'!$D$5:$D$590,$I88))</f>
        <v/>
      </c>
      <c r="F88" s="2" t="str">
        <f>IF($I88=0,"",INDEX('إدخال وسجل المنتجات'!$G$5:$G$590,$I88))</f>
        <v/>
      </c>
      <c r="G88" s="12"/>
      <c r="H88" s="13"/>
      <c r="I88">
        <f>SUMPRODUCT(('إدخال وسجل المنتجات'!$I$5:$I$590="FRZ")*('إدخال وسجل المنتجات'!$M$5:$M$590=85)*(ROW('إدخال وسجل المنتجات'!$I$5:$I$590)-4))</f>
        <v>0</v>
      </c>
      <c r="J88" s="2" t="str">
        <f>IF($I88=0,"",IF($G88="","",$G88*IF(INDEX('إدخال وسجل المنتجات'!$U$5:$U$590,$I88)=0,1,INDEX('إدخال وسجل المنتجات'!$U$5:$U$590,$I88))))</f>
        <v/>
      </c>
    </row>
    <row r="89" spans="1:10" ht="16" x14ac:dyDescent="0.15">
      <c r="A89" s="2" t="str">
        <f>IF($I89=0,"",86)</f>
        <v/>
      </c>
      <c r="B89" s="9" t="str">
        <f>IF($I89=0,"",INDEX('إدخال وسجل المنتجات'!$F$5:$F$590,$I89))</f>
        <v/>
      </c>
      <c r="C89" s="8" t="str">
        <f>IF($I89=0,"",INDEX('إدخال وسجل المنتجات'!$B$5:$B$590,$I89))</f>
        <v/>
      </c>
      <c r="D89" s="10" t="str">
        <f>IF($I89=0,"",INDEX('إدخال وسجل المنتجات'!$C$5:$C$590,$I89))</f>
        <v/>
      </c>
      <c r="E89" s="11" t="str">
        <f>IF($I89=0,"",INDEX('إدخال وسجل المنتجات'!$D$5:$D$590,$I89))</f>
        <v/>
      </c>
      <c r="F89" s="2" t="str">
        <f>IF($I89=0,"",INDEX('إدخال وسجل المنتجات'!$G$5:$G$590,$I89))</f>
        <v/>
      </c>
      <c r="G89" s="12"/>
      <c r="H89" s="13"/>
      <c r="I89">
        <f>SUMPRODUCT(('إدخال وسجل المنتجات'!$I$5:$I$590="FRZ")*('إدخال وسجل المنتجات'!$M$5:$M$590=86)*(ROW('إدخال وسجل المنتجات'!$I$5:$I$590)-4))</f>
        <v>0</v>
      </c>
      <c r="J89" s="2" t="str">
        <f>IF($I89=0,"",IF($G89="","",$G89*IF(INDEX('إدخال وسجل المنتجات'!$U$5:$U$590,$I89)=0,1,INDEX('إدخال وسجل المنتجات'!$U$5:$U$590,$I89))))</f>
        <v/>
      </c>
    </row>
    <row r="90" spans="1:10" ht="16" x14ac:dyDescent="0.15">
      <c r="A90" s="2" t="str">
        <f>IF($I90=0,"",87)</f>
        <v/>
      </c>
      <c r="B90" s="9" t="str">
        <f>IF($I90=0,"",INDEX('إدخال وسجل المنتجات'!$F$5:$F$590,$I90))</f>
        <v/>
      </c>
      <c r="C90" s="8" t="str">
        <f>IF($I90=0,"",INDEX('إدخال وسجل المنتجات'!$B$5:$B$590,$I90))</f>
        <v/>
      </c>
      <c r="D90" s="10" t="str">
        <f>IF($I90=0,"",INDEX('إدخال وسجل المنتجات'!$C$5:$C$590,$I90))</f>
        <v/>
      </c>
      <c r="E90" s="11" t="str">
        <f>IF($I90=0,"",INDEX('إدخال وسجل المنتجات'!$D$5:$D$590,$I90))</f>
        <v/>
      </c>
      <c r="F90" s="2" t="str">
        <f>IF($I90=0,"",INDEX('إدخال وسجل المنتجات'!$G$5:$G$590,$I90))</f>
        <v/>
      </c>
      <c r="G90" s="12"/>
      <c r="H90" s="13"/>
      <c r="I90">
        <f>SUMPRODUCT(('إدخال وسجل المنتجات'!$I$5:$I$590="FRZ")*('إدخال وسجل المنتجات'!$M$5:$M$590=87)*(ROW('إدخال وسجل المنتجات'!$I$5:$I$590)-4))</f>
        <v>0</v>
      </c>
      <c r="J90" s="2" t="str">
        <f>IF($I90=0,"",IF($G90="","",$G90*IF(INDEX('إدخال وسجل المنتجات'!$U$5:$U$590,$I90)=0,1,INDEX('إدخال وسجل المنتجات'!$U$5:$U$590,$I90))))</f>
        <v/>
      </c>
    </row>
    <row r="91" spans="1:10" ht="16" x14ac:dyDescent="0.15">
      <c r="A91" s="2" t="str">
        <f>IF($I91=0,"",88)</f>
        <v/>
      </c>
      <c r="B91" s="9" t="str">
        <f>IF($I91=0,"",INDEX('إدخال وسجل المنتجات'!$F$5:$F$590,$I91))</f>
        <v/>
      </c>
      <c r="C91" s="8" t="str">
        <f>IF($I91=0,"",INDEX('إدخال وسجل المنتجات'!$B$5:$B$590,$I91))</f>
        <v/>
      </c>
      <c r="D91" s="10" t="str">
        <f>IF($I91=0,"",INDEX('إدخال وسجل المنتجات'!$C$5:$C$590,$I91))</f>
        <v/>
      </c>
      <c r="E91" s="11" t="str">
        <f>IF($I91=0,"",INDEX('إدخال وسجل المنتجات'!$D$5:$D$590,$I91))</f>
        <v/>
      </c>
      <c r="F91" s="2" t="str">
        <f>IF($I91=0,"",INDEX('إدخال وسجل المنتجات'!$G$5:$G$590,$I91))</f>
        <v/>
      </c>
      <c r="G91" s="12"/>
      <c r="H91" s="13"/>
      <c r="I91">
        <f>SUMPRODUCT(('إدخال وسجل المنتجات'!$I$5:$I$590="FRZ")*('إدخال وسجل المنتجات'!$M$5:$M$590=88)*(ROW('إدخال وسجل المنتجات'!$I$5:$I$590)-4))</f>
        <v>0</v>
      </c>
      <c r="J91" s="2" t="str">
        <f>IF($I91=0,"",IF($G91="","",$G91*IF(INDEX('إدخال وسجل المنتجات'!$U$5:$U$590,$I91)=0,1,INDEX('إدخال وسجل المنتجات'!$U$5:$U$590,$I91))))</f>
        <v/>
      </c>
    </row>
    <row r="92" spans="1:10" ht="16" x14ac:dyDescent="0.15">
      <c r="A92" s="2" t="str">
        <f>IF($I92=0,"",89)</f>
        <v/>
      </c>
      <c r="B92" s="9" t="str">
        <f>IF($I92=0,"",INDEX('إدخال وسجل المنتجات'!$F$5:$F$590,$I92))</f>
        <v/>
      </c>
      <c r="C92" s="8" t="str">
        <f>IF($I92=0,"",INDEX('إدخال وسجل المنتجات'!$B$5:$B$590,$I92))</f>
        <v/>
      </c>
      <c r="D92" s="10" t="str">
        <f>IF($I92=0,"",INDEX('إدخال وسجل المنتجات'!$C$5:$C$590,$I92))</f>
        <v/>
      </c>
      <c r="E92" s="11" t="str">
        <f>IF($I92=0,"",INDEX('إدخال وسجل المنتجات'!$D$5:$D$590,$I92))</f>
        <v/>
      </c>
      <c r="F92" s="2" t="str">
        <f>IF($I92=0,"",INDEX('إدخال وسجل المنتجات'!$G$5:$G$590,$I92))</f>
        <v/>
      </c>
      <c r="G92" s="12"/>
      <c r="H92" s="13"/>
      <c r="I92">
        <f>SUMPRODUCT(('إدخال وسجل المنتجات'!$I$5:$I$590="FRZ")*('إدخال وسجل المنتجات'!$M$5:$M$590=89)*(ROW('إدخال وسجل المنتجات'!$I$5:$I$590)-4))</f>
        <v>0</v>
      </c>
      <c r="J92" s="2" t="str">
        <f>IF($I92=0,"",IF($G92="","",$G92*IF(INDEX('إدخال وسجل المنتجات'!$U$5:$U$590,$I92)=0,1,INDEX('إدخال وسجل المنتجات'!$U$5:$U$590,$I92))))</f>
        <v/>
      </c>
    </row>
    <row r="93" spans="1:10" ht="16" x14ac:dyDescent="0.15">
      <c r="A93" s="2" t="str">
        <f>IF($I93=0,"",90)</f>
        <v/>
      </c>
      <c r="B93" s="9" t="str">
        <f>IF($I93=0,"",INDEX('إدخال وسجل المنتجات'!$F$5:$F$590,$I93))</f>
        <v/>
      </c>
      <c r="C93" s="8" t="str">
        <f>IF($I93=0,"",INDEX('إدخال وسجل المنتجات'!$B$5:$B$590,$I93))</f>
        <v/>
      </c>
      <c r="D93" s="10" t="str">
        <f>IF($I93=0,"",INDEX('إدخال وسجل المنتجات'!$C$5:$C$590,$I93))</f>
        <v/>
      </c>
      <c r="E93" s="11" t="str">
        <f>IF($I93=0,"",INDEX('إدخال وسجل المنتجات'!$D$5:$D$590,$I93))</f>
        <v/>
      </c>
      <c r="F93" s="2" t="str">
        <f>IF($I93=0,"",INDEX('إدخال وسجل المنتجات'!$G$5:$G$590,$I93))</f>
        <v/>
      </c>
      <c r="G93" s="12"/>
      <c r="H93" s="13"/>
      <c r="I93">
        <f>SUMPRODUCT(('إدخال وسجل المنتجات'!$I$5:$I$590="FRZ")*('إدخال وسجل المنتجات'!$M$5:$M$590=90)*(ROW('إدخال وسجل المنتجات'!$I$5:$I$590)-4))</f>
        <v>0</v>
      </c>
      <c r="J93" s="2" t="str">
        <f>IF($I93=0,"",IF($G93="","",$G93*IF(INDEX('إدخال وسجل المنتجات'!$U$5:$U$590,$I93)=0,1,INDEX('إدخال وسجل المنتجات'!$U$5:$U$590,$I93))))</f>
        <v/>
      </c>
    </row>
    <row r="94" spans="1:10" ht="16" x14ac:dyDescent="0.15">
      <c r="A94" s="2" t="str">
        <f>IF($I94=0,"",91)</f>
        <v/>
      </c>
      <c r="B94" s="9" t="str">
        <f>IF($I94=0,"",INDEX('إدخال وسجل المنتجات'!$F$5:$F$590,$I94))</f>
        <v/>
      </c>
      <c r="C94" s="8" t="str">
        <f>IF($I94=0,"",INDEX('إدخال وسجل المنتجات'!$B$5:$B$590,$I94))</f>
        <v/>
      </c>
      <c r="D94" s="10" t="str">
        <f>IF($I94=0,"",INDEX('إدخال وسجل المنتجات'!$C$5:$C$590,$I94))</f>
        <v/>
      </c>
      <c r="E94" s="11" t="str">
        <f>IF($I94=0,"",INDEX('إدخال وسجل المنتجات'!$D$5:$D$590,$I94))</f>
        <v/>
      </c>
      <c r="F94" s="2" t="str">
        <f>IF($I94=0,"",INDEX('إدخال وسجل المنتجات'!$G$5:$G$590,$I94))</f>
        <v/>
      </c>
      <c r="G94" s="12"/>
      <c r="H94" s="13"/>
      <c r="I94">
        <f>SUMPRODUCT(('إدخال وسجل المنتجات'!$I$5:$I$590="FRZ")*('إدخال وسجل المنتجات'!$M$5:$M$590=91)*(ROW('إدخال وسجل المنتجات'!$I$5:$I$590)-4))</f>
        <v>0</v>
      </c>
      <c r="J94" s="2" t="str">
        <f>IF($I94=0,"",IF($G94="","",$G94*IF(INDEX('إدخال وسجل المنتجات'!$U$5:$U$590,$I94)=0,1,INDEX('إدخال وسجل المنتجات'!$U$5:$U$590,$I94))))</f>
        <v/>
      </c>
    </row>
    <row r="95" spans="1:10" ht="16" x14ac:dyDescent="0.15">
      <c r="A95" s="2" t="str">
        <f>IF($I95=0,"",92)</f>
        <v/>
      </c>
      <c r="B95" s="9" t="str">
        <f>IF($I95=0,"",INDEX('إدخال وسجل المنتجات'!$F$5:$F$590,$I95))</f>
        <v/>
      </c>
      <c r="C95" s="8" t="str">
        <f>IF($I95=0,"",INDEX('إدخال وسجل المنتجات'!$B$5:$B$590,$I95))</f>
        <v/>
      </c>
      <c r="D95" s="10" t="str">
        <f>IF($I95=0,"",INDEX('إدخال وسجل المنتجات'!$C$5:$C$590,$I95))</f>
        <v/>
      </c>
      <c r="E95" s="11" t="str">
        <f>IF($I95=0,"",INDEX('إدخال وسجل المنتجات'!$D$5:$D$590,$I95))</f>
        <v/>
      </c>
      <c r="F95" s="2" t="str">
        <f>IF($I95=0,"",INDEX('إدخال وسجل المنتجات'!$G$5:$G$590,$I95))</f>
        <v/>
      </c>
      <c r="G95" s="12"/>
      <c r="H95" s="13"/>
      <c r="I95">
        <f>SUMPRODUCT(('إدخال وسجل المنتجات'!$I$5:$I$590="FRZ")*('إدخال وسجل المنتجات'!$M$5:$M$590=92)*(ROW('إدخال وسجل المنتجات'!$I$5:$I$590)-4))</f>
        <v>0</v>
      </c>
      <c r="J95" s="2" t="str">
        <f>IF($I95=0,"",IF($G95="","",$G95*IF(INDEX('إدخال وسجل المنتجات'!$U$5:$U$590,$I95)=0,1,INDEX('إدخال وسجل المنتجات'!$U$5:$U$590,$I95))))</f>
        <v/>
      </c>
    </row>
    <row r="96" spans="1:10" ht="16" x14ac:dyDescent="0.15">
      <c r="A96" s="2" t="str">
        <f>IF($I96=0,"",93)</f>
        <v/>
      </c>
      <c r="B96" s="9" t="str">
        <f>IF($I96=0,"",INDEX('إدخال وسجل المنتجات'!$F$5:$F$590,$I96))</f>
        <v/>
      </c>
      <c r="C96" s="8" t="str">
        <f>IF($I96=0,"",INDEX('إدخال وسجل المنتجات'!$B$5:$B$590,$I96))</f>
        <v/>
      </c>
      <c r="D96" s="10" t="str">
        <f>IF($I96=0,"",INDEX('إدخال وسجل المنتجات'!$C$5:$C$590,$I96))</f>
        <v/>
      </c>
      <c r="E96" s="11" t="str">
        <f>IF($I96=0,"",INDEX('إدخال وسجل المنتجات'!$D$5:$D$590,$I96))</f>
        <v/>
      </c>
      <c r="F96" s="2" t="str">
        <f>IF($I96=0,"",INDEX('إدخال وسجل المنتجات'!$G$5:$G$590,$I96))</f>
        <v/>
      </c>
      <c r="G96" s="12"/>
      <c r="H96" s="13"/>
      <c r="I96">
        <f>SUMPRODUCT(('إدخال وسجل المنتجات'!$I$5:$I$590="FRZ")*('إدخال وسجل المنتجات'!$M$5:$M$590=93)*(ROW('إدخال وسجل المنتجات'!$I$5:$I$590)-4))</f>
        <v>0</v>
      </c>
      <c r="J96" s="2" t="str">
        <f>IF($I96=0,"",IF($G96="","",$G96*IF(INDEX('إدخال وسجل المنتجات'!$U$5:$U$590,$I96)=0,1,INDEX('إدخال وسجل المنتجات'!$U$5:$U$590,$I96))))</f>
        <v/>
      </c>
    </row>
    <row r="97" spans="1:10" ht="16" x14ac:dyDescent="0.15">
      <c r="A97" s="2" t="str">
        <f>IF($I97=0,"",94)</f>
        <v/>
      </c>
      <c r="B97" s="9" t="str">
        <f>IF($I97=0,"",INDEX('إدخال وسجل المنتجات'!$F$5:$F$590,$I97))</f>
        <v/>
      </c>
      <c r="C97" s="8" t="str">
        <f>IF($I97=0,"",INDEX('إدخال وسجل المنتجات'!$B$5:$B$590,$I97))</f>
        <v/>
      </c>
      <c r="D97" s="10" t="str">
        <f>IF($I97=0,"",INDEX('إدخال وسجل المنتجات'!$C$5:$C$590,$I97))</f>
        <v/>
      </c>
      <c r="E97" s="11" t="str">
        <f>IF($I97=0,"",INDEX('إدخال وسجل المنتجات'!$D$5:$D$590,$I97))</f>
        <v/>
      </c>
      <c r="F97" s="2" t="str">
        <f>IF($I97=0,"",INDEX('إدخال وسجل المنتجات'!$G$5:$G$590,$I97))</f>
        <v/>
      </c>
      <c r="G97" s="12"/>
      <c r="H97" s="13"/>
      <c r="I97">
        <f>SUMPRODUCT(('إدخال وسجل المنتجات'!$I$5:$I$590="FRZ")*('إدخال وسجل المنتجات'!$M$5:$M$590=94)*(ROW('إدخال وسجل المنتجات'!$I$5:$I$590)-4))</f>
        <v>0</v>
      </c>
      <c r="J97" s="2" t="str">
        <f>IF($I97=0,"",IF($G97="","",$G97*IF(INDEX('إدخال وسجل المنتجات'!$U$5:$U$590,$I97)=0,1,INDEX('إدخال وسجل المنتجات'!$U$5:$U$590,$I97))))</f>
        <v/>
      </c>
    </row>
    <row r="98" spans="1:10" ht="16" x14ac:dyDescent="0.15">
      <c r="A98" s="2" t="str">
        <f>IF($I98=0,"",95)</f>
        <v/>
      </c>
      <c r="B98" s="9" t="str">
        <f>IF($I98=0,"",INDEX('إدخال وسجل المنتجات'!$F$5:$F$590,$I98))</f>
        <v/>
      </c>
      <c r="C98" s="8" t="str">
        <f>IF($I98=0,"",INDEX('إدخال وسجل المنتجات'!$B$5:$B$590,$I98))</f>
        <v/>
      </c>
      <c r="D98" s="10" t="str">
        <f>IF($I98=0,"",INDEX('إدخال وسجل المنتجات'!$C$5:$C$590,$I98))</f>
        <v/>
      </c>
      <c r="E98" s="11" t="str">
        <f>IF($I98=0,"",INDEX('إدخال وسجل المنتجات'!$D$5:$D$590,$I98))</f>
        <v/>
      </c>
      <c r="F98" s="2" t="str">
        <f>IF($I98=0,"",INDEX('إدخال وسجل المنتجات'!$G$5:$G$590,$I98))</f>
        <v/>
      </c>
      <c r="G98" s="12"/>
      <c r="H98" s="13"/>
      <c r="I98">
        <f>SUMPRODUCT(('إدخال وسجل المنتجات'!$I$5:$I$590="FRZ")*('إدخال وسجل المنتجات'!$M$5:$M$590=95)*(ROW('إدخال وسجل المنتجات'!$I$5:$I$590)-4))</f>
        <v>0</v>
      </c>
      <c r="J98" s="2" t="str">
        <f>IF($I98=0,"",IF($G98="","",$G98*IF(INDEX('إدخال وسجل المنتجات'!$U$5:$U$590,$I98)=0,1,INDEX('إدخال وسجل المنتجات'!$U$5:$U$590,$I98))))</f>
        <v/>
      </c>
    </row>
    <row r="99" spans="1:10" ht="16" x14ac:dyDescent="0.15">
      <c r="A99" s="2" t="str">
        <f>IF($I99=0,"",96)</f>
        <v/>
      </c>
      <c r="B99" s="9" t="str">
        <f>IF($I99=0,"",INDEX('إدخال وسجل المنتجات'!$F$5:$F$590,$I99))</f>
        <v/>
      </c>
      <c r="C99" s="8" t="str">
        <f>IF($I99=0,"",INDEX('إدخال وسجل المنتجات'!$B$5:$B$590,$I99))</f>
        <v/>
      </c>
      <c r="D99" s="10" t="str">
        <f>IF($I99=0,"",INDEX('إدخال وسجل المنتجات'!$C$5:$C$590,$I99))</f>
        <v/>
      </c>
      <c r="E99" s="11" t="str">
        <f>IF($I99=0,"",INDEX('إدخال وسجل المنتجات'!$D$5:$D$590,$I99))</f>
        <v/>
      </c>
      <c r="F99" s="2" t="str">
        <f>IF($I99=0,"",INDEX('إدخال وسجل المنتجات'!$G$5:$G$590,$I99))</f>
        <v/>
      </c>
      <c r="G99" s="12"/>
      <c r="H99" s="13"/>
      <c r="I99">
        <f>SUMPRODUCT(('إدخال وسجل المنتجات'!$I$5:$I$590="FRZ")*('إدخال وسجل المنتجات'!$M$5:$M$590=96)*(ROW('إدخال وسجل المنتجات'!$I$5:$I$590)-4))</f>
        <v>0</v>
      </c>
      <c r="J99" s="2" t="str">
        <f>IF($I99=0,"",IF($G99="","",$G99*IF(INDEX('إدخال وسجل المنتجات'!$U$5:$U$590,$I99)=0,1,INDEX('إدخال وسجل المنتجات'!$U$5:$U$590,$I99))))</f>
        <v/>
      </c>
    </row>
    <row r="100" spans="1:10" ht="16" x14ac:dyDescent="0.15">
      <c r="A100" s="2" t="str">
        <f>IF($I100=0,"",97)</f>
        <v/>
      </c>
      <c r="B100" s="9" t="str">
        <f>IF($I100=0,"",INDEX('إدخال وسجل المنتجات'!$F$5:$F$590,$I100))</f>
        <v/>
      </c>
      <c r="C100" s="8" t="str">
        <f>IF($I100=0,"",INDEX('إدخال وسجل المنتجات'!$B$5:$B$590,$I100))</f>
        <v/>
      </c>
      <c r="D100" s="10" t="str">
        <f>IF($I100=0,"",INDEX('إدخال وسجل المنتجات'!$C$5:$C$590,$I100))</f>
        <v/>
      </c>
      <c r="E100" s="11" t="str">
        <f>IF($I100=0,"",INDEX('إدخال وسجل المنتجات'!$D$5:$D$590,$I100))</f>
        <v/>
      </c>
      <c r="F100" s="2" t="str">
        <f>IF($I100=0,"",INDEX('إدخال وسجل المنتجات'!$G$5:$G$590,$I100))</f>
        <v/>
      </c>
      <c r="G100" s="12"/>
      <c r="H100" s="13"/>
      <c r="I100">
        <f>SUMPRODUCT(('إدخال وسجل المنتجات'!$I$5:$I$590="FRZ")*('إدخال وسجل المنتجات'!$M$5:$M$590=97)*(ROW('إدخال وسجل المنتجات'!$I$5:$I$590)-4))</f>
        <v>0</v>
      </c>
      <c r="J100" s="2" t="str">
        <f>IF($I100=0,"",IF($G100="","",$G100*IF(INDEX('إدخال وسجل المنتجات'!$U$5:$U$590,$I100)=0,1,INDEX('إدخال وسجل المنتجات'!$U$5:$U$590,$I100))))</f>
        <v/>
      </c>
    </row>
    <row r="101" spans="1:10" ht="16" x14ac:dyDescent="0.15">
      <c r="A101" s="2" t="str">
        <f>IF($I101=0,"",98)</f>
        <v/>
      </c>
      <c r="B101" s="9" t="str">
        <f>IF($I101=0,"",INDEX('إدخال وسجل المنتجات'!$F$5:$F$590,$I101))</f>
        <v/>
      </c>
      <c r="C101" s="8" t="str">
        <f>IF($I101=0,"",INDEX('إدخال وسجل المنتجات'!$B$5:$B$590,$I101))</f>
        <v/>
      </c>
      <c r="D101" s="10" t="str">
        <f>IF($I101=0,"",INDEX('إدخال وسجل المنتجات'!$C$5:$C$590,$I101))</f>
        <v/>
      </c>
      <c r="E101" s="11" t="str">
        <f>IF($I101=0,"",INDEX('إدخال وسجل المنتجات'!$D$5:$D$590,$I101))</f>
        <v/>
      </c>
      <c r="F101" s="2" t="str">
        <f>IF($I101=0,"",INDEX('إدخال وسجل المنتجات'!$G$5:$G$590,$I101))</f>
        <v/>
      </c>
      <c r="G101" s="12"/>
      <c r="H101" s="13"/>
      <c r="I101">
        <f>SUMPRODUCT(('إدخال وسجل المنتجات'!$I$5:$I$590="FRZ")*('إدخال وسجل المنتجات'!$M$5:$M$590=98)*(ROW('إدخال وسجل المنتجات'!$I$5:$I$590)-4))</f>
        <v>0</v>
      </c>
      <c r="J101" s="2" t="str">
        <f>IF($I101=0,"",IF($G101="","",$G101*IF(INDEX('إدخال وسجل المنتجات'!$U$5:$U$590,$I101)=0,1,INDEX('إدخال وسجل المنتجات'!$U$5:$U$590,$I101))))</f>
        <v/>
      </c>
    </row>
    <row r="102" spans="1:10" ht="16" x14ac:dyDescent="0.15">
      <c r="A102" s="2" t="str">
        <f>IF($I102=0,"",99)</f>
        <v/>
      </c>
      <c r="B102" s="9" t="str">
        <f>IF($I102=0,"",INDEX('إدخال وسجل المنتجات'!$F$5:$F$590,$I102))</f>
        <v/>
      </c>
      <c r="C102" s="8" t="str">
        <f>IF($I102=0,"",INDEX('إدخال وسجل المنتجات'!$B$5:$B$590,$I102))</f>
        <v/>
      </c>
      <c r="D102" s="10" t="str">
        <f>IF($I102=0,"",INDEX('إدخال وسجل المنتجات'!$C$5:$C$590,$I102))</f>
        <v/>
      </c>
      <c r="E102" s="11" t="str">
        <f>IF($I102=0,"",INDEX('إدخال وسجل المنتجات'!$D$5:$D$590,$I102))</f>
        <v/>
      </c>
      <c r="F102" s="2" t="str">
        <f>IF($I102=0,"",INDEX('إدخال وسجل المنتجات'!$G$5:$G$590,$I102))</f>
        <v/>
      </c>
      <c r="G102" s="12"/>
      <c r="H102" s="13"/>
      <c r="I102">
        <f>SUMPRODUCT(('إدخال وسجل المنتجات'!$I$5:$I$590="FRZ")*('إدخال وسجل المنتجات'!$M$5:$M$590=99)*(ROW('إدخال وسجل المنتجات'!$I$5:$I$590)-4))</f>
        <v>0</v>
      </c>
      <c r="J102" s="2" t="str">
        <f>IF($I102=0,"",IF($G102="","",$G102*IF(INDEX('إدخال وسجل المنتجات'!$U$5:$U$590,$I102)=0,1,INDEX('إدخال وسجل المنتجات'!$U$5:$U$590,$I102))))</f>
        <v/>
      </c>
    </row>
    <row r="103" spans="1:10" ht="16" x14ac:dyDescent="0.15">
      <c r="A103" s="2" t="str">
        <f>IF($I103=0,"",100)</f>
        <v/>
      </c>
      <c r="B103" s="9" t="str">
        <f>IF($I103=0,"",INDEX('إدخال وسجل المنتجات'!$F$5:$F$590,$I103))</f>
        <v/>
      </c>
      <c r="C103" s="8" t="str">
        <f>IF($I103=0,"",INDEX('إدخال وسجل المنتجات'!$B$5:$B$590,$I103))</f>
        <v/>
      </c>
      <c r="D103" s="10" t="str">
        <f>IF($I103=0,"",INDEX('إدخال وسجل المنتجات'!$C$5:$C$590,$I103))</f>
        <v/>
      </c>
      <c r="E103" s="11" t="str">
        <f>IF($I103=0,"",INDEX('إدخال وسجل المنتجات'!$D$5:$D$590,$I103))</f>
        <v/>
      </c>
      <c r="F103" s="2" t="str">
        <f>IF($I103=0,"",INDEX('إدخال وسجل المنتجات'!$G$5:$G$590,$I103))</f>
        <v/>
      </c>
      <c r="G103" s="12"/>
      <c r="H103" s="13"/>
      <c r="I103">
        <f>SUMPRODUCT(('إدخال وسجل المنتجات'!$I$5:$I$590="FRZ")*('إدخال وسجل المنتجات'!$M$5:$M$590=100)*(ROW('إدخال وسجل المنتجات'!$I$5:$I$590)-4))</f>
        <v>0</v>
      </c>
      <c r="J103" s="2" t="str">
        <f>IF($I103=0,"",IF($G103="","",$G103*IF(INDEX('إدخال وسجل المنتجات'!$U$5:$U$590,$I103)=0,1,INDEX('إدخال وسجل المنتجات'!$U$5:$U$590,$I103))))</f>
        <v/>
      </c>
    </row>
    <row r="104" spans="1:10" ht="16" x14ac:dyDescent="0.15">
      <c r="A104" s="2" t="str">
        <f>IF($I104=0,"",101)</f>
        <v/>
      </c>
      <c r="B104" s="9" t="str">
        <f>IF($I104=0,"",INDEX('إدخال وسجل المنتجات'!$F$5:$F$590,$I104))</f>
        <v/>
      </c>
      <c r="C104" s="8" t="str">
        <f>IF($I104=0,"",INDEX('إدخال وسجل المنتجات'!$B$5:$B$590,$I104))</f>
        <v/>
      </c>
      <c r="D104" s="10" t="str">
        <f>IF($I104=0,"",INDEX('إدخال وسجل المنتجات'!$C$5:$C$590,$I104))</f>
        <v/>
      </c>
      <c r="E104" s="11" t="str">
        <f>IF($I104=0,"",INDEX('إدخال وسجل المنتجات'!$D$5:$D$590,$I104))</f>
        <v/>
      </c>
      <c r="F104" s="2" t="str">
        <f>IF($I104=0,"",INDEX('إدخال وسجل المنتجات'!$G$5:$G$590,$I104))</f>
        <v/>
      </c>
      <c r="G104" s="12"/>
      <c r="H104" s="13"/>
      <c r="I104">
        <f>SUMPRODUCT(('إدخال وسجل المنتجات'!$I$5:$I$590="FRZ")*('إدخال وسجل المنتجات'!$M$5:$M$590=101)*(ROW('إدخال وسجل المنتجات'!$I$5:$I$590)-4))</f>
        <v>0</v>
      </c>
      <c r="J104" s="2" t="str">
        <f>IF($I104=0,"",IF($G104="","",$G104*IF(INDEX('إدخال وسجل المنتجات'!$U$5:$U$590,$I104)=0,1,INDEX('إدخال وسجل المنتجات'!$U$5:$U$590,$I104))))</f>
        <v/>
      </c>
    </row>
    <row r="105" spans="1:10" ht="16" x14ac:dyDescent="0.15">
      <c r="A105" s="2" t="str">
        <f>IF($I105=0,"",102)</f>
        <v/>
      </c>
      <c r="B105" s="9" t="str">
        <f>IF($I105=0,"",INDEX('إدخال وسجل المنتجات'!$F$5:$F$590,$I105))</f>
        <v/>
      </c>
      <c r="C105" s="8" t="str">
        <f>IF($I105=0,"",INDEX('إدخال وسجل المنتجات'!$B$5:$B$590,$I105))</f>
        <v/>
      </c>
      <c r="D105" s="10" t="str">
        <f>IF($I105=0,"",INDEX('إدخال وسجل المنتجات'!$C$5:$C$590,$I105))</f>
        <v/>
      </c>
      <c r="E105" s="11" t="str">
        <f>IF($I105=0,"",INDEX('إدخال وسجل المنتجات'!$D$5:$D$590,$I105))</f>
        <v/>
      </c>
      <c r="F105" s="2" t="str">
        <f>IF($I105=0,"",INDEX('إدخال وسجل المنتجات'!$G$5:$G$590,$I105))</f>
        <v/>
      </c>
      <c r="G105" s="12"/>
      <c r="H105" s="13"/>
      <c r="I105">
        <f>SUMPRODUCT(('إدخال وسجل المنتجات'!$I$5:$I$590="FRZ")*('إدخال وسجل المنتجات'!$M$5:$M$590=102)*(ROW('إدخال وسجل المنتجات'!$I$5:$I$590)-4))</f>
        <v>0</v>
      </c>
      <c r="J105" s="2" t="str">
        <f>IF($I105=0,"",IF($G105="","",$G105*IF(INDEX('إدخال وسجل المنتجات'!$U$5:$U$590,$I105)=0,1,INDEX('إدخال وسجل المنتجات'!$U$5:$U$590,$I105))))</f>
        <v/>
      </c>
    </row>
    <row r="106" spans="1:10" ht="16" x14ac:dyDescent="0.15">
      <c r="A106" s="2" t="str">
        <f>IF($I106=0,"",103)</f>
        <v/>
      </c>
      <c r="B106" s="9" t="str">
        <f>IF($I106=0,"",INDEX('إدخال وسجل المنتجات'!$F$5:$F$590,$I106))</f>
        <v/>
      </c>
      <c r="C106" s="8" t="str">
        <f>IF($I106=0,"",INDEX('إدخال وسجل المنتجات'!$B$5:$B$590,$I106))</f>
        <v/>
      </c>
      <c r="D106" s="10" t="str">
        <f>IF($I106=0,"",INDEX('إدخال وسجل المنتجات'!$C$5:$C$590,$I106))</f>
        <v/>
      </c>
      <c r="E106" s="11" t="str">
        <f>IF($I106=0,"",INDEX('إدخال وسجل المنتجات'!$D$5:$D$590,$I106))</f>
        <v/>
      </c>
      <c r="F106" s="2" t="str">
        <f>IF($I106=0,"",INDEX('إدخال وسجل المنتجات'!$G$5:$G$590,$I106))</f>
        <v/>
      </c>
      <c r="G106" s="12"/>
      <c r="H106" s="13"/>
      <c r="I106">
        <f>SUMPRODUCT(('إدخال وسجل المنتجات'!$I$5:$I$590="FRZ")*('إدخال وسجل المنتجات'!$M$5:$M$590=103)*(ROW('إدخال وسجل المنتجات'!$I$5:$I$590)-4))</f>
        <v>0</v>
      </c>
      <c r="J106" s="2" t="str">
        <f>IF($I106=0,"",IF($G106="","",$G106*IF(INDEX('إدخال وسجل المنتجات'!$U$5:$U$590,$I106)=0,1,INDEX('إدخال وسجل المنتجات'!$U$5:$U$590,$I106))))</f>
        <v/>
      </c>
    </row>
    <row r="107" spans="1:10" ht="16" x14ac:dyDescent="0.15">
      <c r="A107" s="2" t="str">
        <f>IF($I107=0,"",104)</f>
        <v/>
      </c>
      <c r="B107" s="9" t="str">
        <f>IF($I107=0,"",INDEX('إدخال وسجل المنتجات'!$F$5:$F$590,$I107))</f>
        <v/>
      </c>
      <c r="C107" s="8" t="str">
        <f>IF($I107=0,"",INDEX('إدخال وسجل المنتجات'!$B$5:$B$590,$I107))</f>
        <v/>
      </c>
      <c r="D107" s="10" t="str">
        <f>IF($I107=0,"",INDEX('إدخال وسجل المنتجات'!$C$5:$C$590,$I107))</f>
        <v/>
      </c>
      <c r="E107" s="11" t="str">
        <f>IF($I107=0,"",INDEX('إدخال وسجل المنتجات'!$D$5:$D$590,$I107))</f>
        <v/>
      </c>
      <c r="F107" s="2" t="str">
        <f>IF($I107=0,"",INDEX('إدخال وسجل المنتجات'!$G$5:$G$590,$I107))</f>
        <v/>
      </c>
      <c r="G107" s="12"/>
      <c r="H107" s="13"/>
      <c r="I107">
        <f>SUMPRODUCT(('إدخال وسجل المنتجات'!$I$5:$I$590="FRZ")*('إدخال وسجل المنتجات'!$M$5:$M$590=104)*(ROW('إدخال وسجل المنتجات'!$I$5:$I$590)-4))</f>
        <v>0</v>
      </c>
      <c r="J107" s="2" t="str">
        <f>IF($I107=0,"",IF($G107="","",$G107*IF(INDEX('إدخال وسجل المنتجات'!$U$5:$U$590,$I107)=0,1,INDEX('إدخال وسجل المنتجات'!$U$5:$U$590,$I107))))</f>
        <v/>
      </c>
    </row>
    <row r="108" spans="1:10" ht="16" x14ac:dyDescent="0.15">
      <c r="A108" s="2" t="str">
        <f>IF($I108=0,"",105)</f>
        <v/>
      </c>
      <c r="B108" s="9" t="str">
        <f>IF($I108=0,"",INDEX('إدخال وسجل المنتجات'!$F$5:$F$590,$I108))</f>
        <v/>
      </c>
      <c r="C108" s="8" t="str">
        <f>IF($I108=0,"",INDEX('إدخال وسجل المنتجات'!$B$5:$B$590,$I108))</f>
        <v/>
      </c>
      <c r="D108" s="10" t="str">
        <f>IF($I108=0,"",INDEX('إدخال وسجل المنتجات'!$C$5:$C$590,$I108))</f>
        <v/>
      </c>
      <c r="E108" s="11" t="str">
        <f>IF($I108=0,"",INDEX('إدخال وسجل المنتجات'!$D$5:$D$590,$I108))</f>
        <v/>
      </c>
      <c r="F108" s="2" t="str">
        <f>IF($I108=0,"",INDEX('إدخال وسجل المنتجات'!$G$5:$G$590,$I108))</f>
        <v/>
      </c>
      <c r="G108" s="12"/>
      <c r="H108" s="13"/>
      <c r="I108">
        <f>SUMPRODUCT(('إدخال وسجل المنتجات'!$I$5:$I$590="FRZ")*('إدخال وسجل المنتجات'!$M$5:$M$590=105)*(ROW('إدخال وسجل المنتجات'!$I$5:$I$590)-4))</f>
        <v>0</v>
      </c>
      <c r="J108" s="2" t="str">
        <f>IF($I108=0,"",IF($G108="","",$G108*IF(INDEX('إدخال وسجل المنتجات'!$U$5:$U$590,$I108)=0,1,INDEX('إدخال وسجل المنتجات'!$U$5:$U$590,$I108))))</f>
        <v/>
      </c>
    </row>
    <row r="109" spans="1:10" ht="16" x14ac:dyDescent="0.15">
      <c r="A109" s="2" t="str">
        <f>IF($I109=0,"",106)</f>
        <v/>
      </c>
      <c r="B109" s="9" t="str">
        <f>IF($I109=0,"",INDEX('إدخال وسجل المنتجات'!$F$5:$F$590,$I109))</f>
        <v/>
      </c>
      <c r="C109" s="8" t="str">
        <f>IF($I109=0,"",INDEX('إدخال وسجل المنتجات'!$B$5:$B$590,$I109))</f>
        <v/>
      </c>
      <c r="D109" s="10" t="str">
        <f>IF($I109=0,"",INDEX('إدخال وسجل المنتجات'!$C$5:$C$590,$I109))</f>
        <v/>
      </c>
      <c r="E109" s="11" t="str">
        <f>IF($I109=0,"",INDEX('إدخال وسجل المنتجات'!$D$5:$D$590,$I109))</f>
        <v/>
      </c>
      <c r="F109" s="2" t="str">
        <f>IF($I109=0,"",INDEX('إدخال وسجل المنتجات'!$G$5:$G$590,$I109))</f>
        <v/>
      </c>
      <c r="G109" s="12"/>
      <c r="H109" s="13"/>
      <c r="I109">
        <f>SUMPRODUCT(('إدخال وسجل المنتجات'!$I$5:$I$590="FRZ")*('إدخال وسجل المنتجات'!$M$5:$M$590=106)*(ROW('إدخال وسجل المنتجات'!$I$5:$I$590)-4))</f>
        <v>0</v>
      </c>
      <c r="J109" s="2" t="str">
        <f>IF($I109=0,"",IF($G109="","",$G109*IF(INDEX('إدخال وسجل المنتجات'!$U$5:$U$590,$I109)=0,1,INDEX('إدخال وسجل المنتجات'!$U$5:$U$590,$I109))))</f>
        <v/>
      </c>
    </row>
    <row r="110" spans="1:10" ht="16" x14ac:dyDescent="0.15">
      <c r="A110" s="2" t="str">
        <f>IF($I110=0,"",107)</f>
        <v/>
      </c>
      <c r="B110" s="9" t="str">
        <f>IF($I110=0,"",INDEX('إدخال وسجل المنتجات'!$F$5:$F$590,$I110))</f>
        <v/>
      </c>
      <c r="C110" s="8" t="str">
        <f>IF($I110=0,"",INDEX('إدخال وسجل المنتجات'!$B$5:$B$590,$I110))</f>
        <v/>
      </c>
      <c r="D110" s="10" t="str">
        <f>IF($I110=0,"",INDEX('إدخال وسجل المنتجات'!$C$5:$C$590,$I110))</f>
        <v/>
      </c>
      <c r="E110" s="11" t="str">
        <f>IF($I110=0,"",INDEX('إدخال وسجل المنتجات'!$D$5:$D$590,$I110))</f>
        <v/>
      </c>
      <c r="F110" s="2" t="str">
        <f>IF($I110=0,"",INDEX('إدخال وسجل المنتجات'!$G$5:$G$590,$I110))</f>
        <v/>
      </c>
      <c r="G110" s="12"/>
      <c r="H110" s="13"/>
      <c r="I110">
        <f>SUMPRODUCT(('إدخال وسجل المنتجات'!$I$5:$I$590="FRZ")*('إدخال وسجل المنتجات'!$M$5:$M$590=107)*(ROW('إدخال وسجل المنتجات'!$I$5:$I$590)-4))</f>
        <v>0</v>
      </c>
      <c r="J110" s="2" t="str">
        <f>IF($I110=0,"",IF($G110="","",$G110*IF(INDEX('إدخال وسجل المنتجات'!$U$5:$U$590,$I110)=0,1,INDEX('إدخال وسجل المنتجات'!$U$5:$U$590,$I110))))</f>
        <v/>
      </c>
    </row>
    <row r="111" spans="1:10" ht="16" x14ac:dyDescent="0.15">
      <c r="A111" s="2" t="str">
        <f>IF($I111=0,"",108)</f>
        <v/>
      </c>
      <c r="B111" s="9" t="str">
        <f>IF($I111=0,"",INDEX('إدخال وسجل المنتجات'!$F$5:$F$590,$I111))</f>
        <v/>
      </c>
      <c r="C111" s="8" t="str">
        <f>IF($I111=0,"",INDEX('إدخال وسجل المنتجات'!$B$5:$B$590,$I111))</f>
        <v/>
      </c>
      <c r="D111" s="10" t="str">
        <f>IF($I111=0,"",INDEX('إدخال وسجل المنتجات'!$C$5:$C$590,$I111))</f>
        <v/>
      </c>
      <c r="E111" s="11" t="str">
        <f>IF($I111=0,"",INDEX('إدخال وسجل المنتجات'!$D$5:$D$590,$I111))</f>
        <v/>
      </c>
      <c r="F111" s="2" t="str">
        <f>IF($I111=0,"",INDEX('إدخال وسجل المنتجات'!$G$5:$G$590,$I111))</f>
        <v/>
      </c>
      <c r="G111" s="12"/>
      <c r="H111" s="13"/>
      <c r="I111">
        <f>SUMPRODUCT(('إدخال وسجل المنتجات'!$I$5:$I$590="FRZ")*('إدخال وسجل المنتجات'!$M$5:$M$590=108)*(ROW('إدخال وسجل المنتجات'!$I$5:$I$590)-4))</f>
        <v>0</v>
      </c>
      <c r="J111" s="2" t="str">
        <f>IF($I111=0,"",IF($G111="","",$G111*IF(INDEX('إدخال وسجل المنتجات'!$U$5:$U$590,$I111)=0,1,INDEX('إدخال وسجل المنتجات'!$U$5:$U$590,$I111))))</f>
        <v/>
      </c>
    </row>
    <row r="112" spans="1:10" ht="16" x14ac:dyDescent="0.15">
      <c r="A112" s="2" t="str">
        <f>IF($I112=0,"",109)</f>
        <v/>
      </c>
      <c r="B112" s="9" t="str">
        <f>IF($I112=0,"",INDEX('إدخال وسجل المنتجات'!$F$5:$F$590,$I112))</f>
        <v/>
      </c>
      <c r="C112" s="8" t="str">
        <f>IF($I112=0,"",INDEX('إدخال وسجل المنتجات'!$B$5:$B$590,$I112))</f>
        <v/>
      </c>
      <c r="D112" s="10" t="str">
        <f>IF($I112=0,"",INDEX('إدخال وسجل المنتجات'!$C$5:$C$590,$I112))</f>
        <v/>
      </c>
      <c r="E112" s="11" t="str">
        <f>IF($I112=0,"",INDEX('إدخال وسجل المنتجات'!$D$5:$D$590,$I112))</f>
        <v/>
      </c>
      <c r="F112" s="2" t="str">
        <f>IF($I112=0,"",INDEX('إدخال وسجل المنتجات'!$G$5:$G$590,$I112))</f>
        <v/>
      </c>
      <c r="G112" s="12"/>
      <c r="H112" s="13"/>
      <c r="I112">
        <f>SUMPRODUCT(('إدخال وسجل المنتجات'!$I$5:$I$590="FRZ")*('إدخال وسجل المنتجات'!$M$5:$M$590=109)*(ROW('إدخال وسجل المنتجات'!$I$5:$I$590)-4))</f>
        <v>0</v>
      </c>
      <c r="J112" s="2" t="str">
        <f>IF($I112=0,"",IF($G112="","",$G112*IF(INDEX('إدخال وسجل المنتجات'!$U$5:$U$590,$I112)=0,1,INDEX('إدخال وسجل المنتجات'!$U$5:$U$590,$I112))))</f>
        <v/>
      </c>
    </row>
    <row r="113" spans="1:10" ht="16" x14ac:dyDescent="0.15">
      <c r="A113" s="2" t="str">
        <f>IF($I113=0,"",110)</f>
        <v/>
      </c>
      <c r="B113" s="9" t="str">
        <f>IF($I113=0,"",INDEX('إدخال وسجل المنتجات'!$F$5:$F$590,$I113))</f>
        <v/>
      </c>
      <c r="C113" s="8" t="str">
        <f>IF($I113=0,"",INDEX('إدخال وسجل المنتجات'!$B$5:$B$590,$I113))</f>
        <v/>
      </c>
      <c r="D113" s="10" t="str">
        <f>IF($I113=0,"",INDEX('إدخال وسجل المنتجات'!$C$5:$C$590,$I113))</f>
        <v/>
      </c>
      <c r="E113" s="11" t="str">
        <f>IF($I113=0,"",INDEX('إدخال وسجل المنتجات'!$D$5:$D$590,$I113))</f>
        <v/>
      </c>
      <c r="F113" s="2" t="str">
        <f>IF($I113=0,"",INDEX('إدخال وسجل المنتجات'!$G$5:$G$590,$I113))</f>
        <v/>
      </c>
      <c r="G113" s="12"/>
      <c r="H113" s="13"/>
      <c r="I113">
        <f>SUMPRODUCT(('إدخال وسجل المنتجات'!$I$5:$I$590="FRZ")*('إدخال وسجل المنتجات'!$M$5:$M$590=110)*(ROW('إدخال وسجل المنتجات'!$I$5:$I$590)-4))</f>
        <v>0</v>
      </c>
      <c r="J113" s="2" t="str">
        <f>IF($I113=0,"",IF($G113="","",$G113*IF(INDEX('إدخال وسجل المنتجات'!$U$5:$U$590,$I113)=0,1,INDEX('إدخال وسجل المنتجات'!$U$5:$U$590,$I113))))</f>
        <v/>
      </c>
    </row>
    <row r="114" spans="1:10" ht="16" x14ac:dyDescent="0.15">
      <c r="A114" s="2" t="str">
        <f>IF($I114=0,"",111)</f>
        <v/>
      </c>
      <c r="B114" s="9" t="str">
        <f>IF($I114=0,"",INDEX('إدخال وسجل المنتجات'!$F$5:$F$590,$I114))</f>
        <v/>
      </c>
      <c r="C114" s="8" t="str">
        <f>IF($I114=0,"",INDEX('إدخال وسجل المنتجات'!$B$5:$B$590,$I114))</f>
        <v/>
      </c>
      <c r="D114" s="10" t="str">
        <f>IF($I114=0,"",INDEX('إدخال وسجل المنتجات'!$C$5:$C$590,$I114))</f>
        <v/>
      </c>
      <c r="E114" s="11" t="str">
        <f>IF($I114=0,"",INDEX('إدخال وسجل المنتجات'!$D$5:$D$590,$I114))</f>
        <v/>
      </c>
      <c r="F114" s="2" t="str">
        <f>IF($I114=0,"",INDEX('إدخال وسجل المنتجات'!$G$5:$G$590,$I114))</f>
        <v/>
      </c>
      <c r="G114" s="12"/>
      <c r="H114" s="13"/>
      <c r="I114">
        <f>SUMPRODUCT(('إدخال وسجل المنتجات'!$I$5:$I$590="FRZ")*('إدخال وسجل المنتجات'!$M$5:$M$590=111)*(ROW('إدخال وسجل المنتجات'!$I$5:$I$590)-4))</f>
        <v>0</v>
      </c>
      <c r="J114" s="2" t="str">
        <f>IF($I114=0,"",IF($G114="","",$G114*IF(INDEX('إدخال وسجل المنتجات'!$U$5:$U$590,$I114)=0,1,INDEX('إدخال وسجل المنتجات'!$U$5:$U$590,$I114))))</f>
        <v/>
      </c>
    </row>
    <row r="115" spans="1:10" ht="16" x14ac:dyDescent="0.15">
      <c r="A115" s="2" t="str">
        <f>IF($I115=0,"",112)</f>
        <v/>
      </c>
      <c r="B115" s="9" t="str">
        <f>IF($I115=0,"",INDEX('إدخال وسجل المنتجات'!$F$5:$F$590,$I115))</f>
        <v/>
      </c>
      <c r="C115" s="8" t="str">
        <f>IF($I115=0,"",INDEX('إدخال وسجل المنتجات'!$B$5:$B$590,$I115))</f>
        <v/>
      </c>
      <c r="D115" s="10" t="str">
        <f>IF($I115=0,"",INDEX('إدخال وسجل المنتجات'!$C$5:$C$590,$I115))</f>
        <v/>
      </c>
      <c r="E115" s="11" t="str">
        <f>IF($I115=0,"",INDEX('إدخال وسجل المنتجات'!$D$5:$D$590,$I115))</f>
        <v/>
      </c>
      <c r="F115" s="2" t="str">
        <f>IF($I115=0,"",INDEX('إدخال وسجل المنتجات'!$G$5:$G$590,$I115))</f>
        <v/>
      </c>
      <c r="G115" s="12"/>
      <c r="H115" s="13"/>
      <c r="I115">
        <f>SUMPRODUCT(('إدخال وسجل المنتجات'!$I$5:$I$590="FRZ")*('إدخال وسجل المنتجات'!$M$5:$M$590=112)*(ROW('إدخال وسجل المنتجات'!$I$5:$I$590)-4))</f>
        <v>0</v>
      </c>
      <c r="J115" s="2" t="str">
        <f>IF($I115=0,"",IF($G115="","",$G115*IF(INDEX('إدخال وسجل المنتجات'!$U$5:$U$590,$I115)=0,1,INDEX('إدخال وسجل المنتجات'!$U$5:$U$590,$I115))))</f>
        <v/>
      </c>
    </row>
    <row r="116" spans="1:10" ht="16" x14ac:dyDescent="0.15">
      <c r="A116" s="2" t="str">
        <f>IF($I116=0,"",113)</f>
        <v/>
      </c>
      <c r="B116" s="9" t="str">
        <f>IF($I116=0,"",INDEX('إدخال وسجل المنتجات'!$F$5:$F$590,$I116))</f>
        <v/>
      </c>
      <c r="C116" s="8" t="str">
        <f>IF($I116=0,"",INDEX('إدخال وسجل المنتجات'!$B$5:$B$590,$I116))</f>
        <v/>
      </c>
      <c r="D116" s="10" t="str">
        <f>IF($I116=0,"",INDEX('إدخال وسجل المنتجات'!$C$5:$C$590,$I116))</f>
        <v/>
      </c>
      <c r="E116" s="11" t="str">
        <f>IF($I116=0,"",INDEX('إدخال وسجل المنتجات'!$D$5:$D$590,$I116))</f>
        <v/>
      </c>
      <c r="F116" s="2" t="str">
        <f>IF($I116=0,"",INDEX('إدخال وسجل المنتجات'!$G$5:$G$590,$I116))</f>
        <v/>
      </c>
      <c r="G116" s="12"/>
      <c r="H116" s="13"/>
      <c r="I116">
        <f>SUMPRODUCT(('إدخال وسجل المنتجات'!$I$5:$I$590="FRZ")*('إدخال وسجل المنتجات'!$M$5:$M$590=113)*(ROW('إدخال وسجل المنتجات'!$I$5:$I$590)-4))</f>
        <v>0</v>
      </c>
      <c r="J116" s="2" t="str">
        <f>IF($I116=0,"",IF($G116="","",$G116*IF(INDEX('إدخال وسجل المنتجات'!$U$5:$U$590,$I116)=0,1,INDEX('إدخال وسجل المنتجات'!$U$5:$U$590,$I116))))</f>
        <v/>
      </c>
    </row>
    <row r="117" spans="1:10" ht="16" x14ac:dyDescent="0.15">
      <c r="A117" s="2" t="str">
        <f>IF($I117=0,"",114)</f>
        <v/>
      </c>
      <c r="B117" s="9" t="str">
        <f>IF($I117=0,"",INDEX('إدخال وسجل المنتجات'!$F$5:$F$590,$I117))</f>
        <v/>
      </c>
      <c r="C117" s="8" t="str">
        <f>IF($I117=0,"",INDEX('إدخال وسجل المنتجات'!$B$5:$B$590,$I117))</f>
        <v/>
      </c>
      <c r="D117" s="10" t="str">
        <f>IF($I117=0,"",INDEX('إدخال وسجل المنتجات'!$C$5:$C$590,$I117))</f>
        <v/>
      </c>
      <c r="E117" s="11" t="str">
        <f>IF($I117=0,"",INDEX('إدخال وسجل المنتجات'!$D$5:$D$590,$I117))</f>
        <v/>
      </c>
      <c r="F117" s="2" t="str">
        <f>IF($I117=0,"",INDEX('إدخال وسجل المنتجات'!$G$5:$G$590,$I117))</f>
        <v/>
      </c>
      <c r="G117" s="12"/>
      <c r="H117" s="13"/>
      <c r="I117">
        <f>SUMPRODUCT(('إدخال وسجل المنتجات'!$I$5:$I$590="FRZ")*('إدخال وسجل المنتجات'!$M$5:$M$590=114)*(ROW('إدخال وسجل المنتجات'!$I$5:$I$590)-4))</f>
        <v>0</v>
      </c>
      <c r="J117" s="2" t="str">
        <f>IF($I117=0,"",IF($G117="","",$G117*IF(INDEX('إدخال وسجل المنتجات'!$U$5:$U$590,$I117)=0,1,INDEX('إدخال وسجل المنتجات'!$U$5:$U$590,$I117))))</f>
        <v/>
      </c>
    </row>
    <row r="118" spans="1:10" ht="16" x14ac:dyDescent="0.15">
      <c r="A118" s="2" t="str">
        <f>IF($I118=0,"",115)</f>
        <v/>
      </c>
      <c r="B118" s="9" t="str">
        <f>IF($I118=0,"",INDEX('إدخال وسجل المنتجات'!$F$5:$F$590,$I118))</f>
        <v/>
      </c>
      <c r="C118" s="8" t="str">
        <f>IF($I118=0,"",INDEX('إدخال وسجل المنتجات'!$B$5:$B$590,$I118))</f>
        <v/>
      </c>
      <c r="D118" s="10" t="str">
        <f>IF($I118=0,"",INDEX('إدخال وسجل المنتجات'!$C$5:$C$590,$I118))</f>
        <v/>
      </c>
      <c r="E118" s="11" t="str">
        <f>IF($I118=0,"",INDEX('إدخال وسجل المنتجات'!$D$5:$D$590,$I118))</f>
        <v/>
      </c>
      <c r="F118" s="2" t="str">
        <f>IF($I118=0,"",INDEX('إدخال وسجل المنتجات'!$G$5:$G$590,$I118))</f>
        <v/>
      </c>
      <c r="G118" s="12"/>
      <c r="H118" s="13"/>
      <c r="I118">
        <f>SUMPRODUCT(('إدخال وسجل المنتجات'!$I$5:$I$590="FRZ")*('إدخال وسجل المنتجات'!$M$5:$M$590=115)*(ROW('إدخال وسجل المنتجات'!$I$5:$I$590)-4))</f>
        <v>0</v>
      </c>
      <c r="J118" s="2" t="str">
        <f>IF($I118=0,"",IF($G118="","",$G118*IF(INDEX('إدخال وسجل المنتجات'!$U$5:$U$590,$I118)=0,1,INDEX('إدخال وسجل المنتجات'!$U$5:$U$590,$I118))))</f>
        <v/>
      </c>
    </row>
    <row r="119" spans="1:10" ht="16" x14ac:dyDescent="0.15">
      <c r="A119" s="2" t="str">
        <f>IF($I119=0,"",116)</f>
        <v/>
      </c>
      <c r="B119" s="9" t="str">
        <f>IF($I119=0,"",INDEX('إدخال وسجل المنتجات'!$F$5:$F$590,$I119))</f>
        <v/>
      </c>
      <c r="C119" s="8" t="str">
        <f>IF($I119=0,"",INDEX('إدخال وسجل المنتجات'!$B$5:$B$590,$I119))</f>
        <v/>
      </c>
      <c r="D119" s="10" t="str">
        <f>IF($I119=0,"",INDEX('إدخال وسجل المنتجات'!$C$5:$C$590,$I119))</f>
        <v/>
      </c>
      <c r="E119" s="11" t="str">
        <f>IF($I119=0,"",INDEX('إدخال وسجل المنتجات'!$D$5:$D$590,$I119))</f>
        <v/>
      </c>
      <c r="F119" s="2" t="str">
        <f>IF($I119=0,"",INDEX('إدخال وسجل المنتجات'!$G$5:$G$590,$I119))</f>
        <v/>
      </c>
      <c r="G119" s="12"/>
      <c r="H119" s="13"/>
      <c r="I119">
        <f>SUMPRODUCT(('إدخال وسجل المنتجات'!$I$5:$I$590="FRZ")*('إدخال وسجل المنتجات'!$M$5:$M$590=116)*(ROW('إدخال وسجل المنتجات'!$I$5:$I$590)-4))</f>
        <v>0</v>
      </c>
      <c r="J119" s="2" t="str">
        <f>IF($I119=0,"",IF($G119="","",$G119*IF(INDEX('إدخال وسجل المنتجات'!$U$5:$U$590,$I119)=0,1,INDEX('إدخال وسجل المنتجات'!$U$5:$U$590,$I119))))</f>
        <v/>
      </c>
    </row>
    <row r="120" spans="1:10" ht="16" x14ac:dyDescent="0.15">
      <c r="A120" s="2" t="str">
        <f>IF($I120=0,"",117)</f>
        <v/>
      </c>
      <c r="B120" s="9" t="str">
        <f>IF($I120=0,"",INDEX('إدخال وسجل المنتجات'!$F$5:$F$590,$I120))</f>
        <v/>
      </c>
      <c r="C120" s="8" t="str">
        <f>IF($I120=0,"",INDEX('إدخال وسجل المنتجات'!$B$5:$B$590,$I120))</f>
        <v/>
      </c>
      <c r="D120" s="10" t="str">
        <f>IF($I120=0,"",INDEX('إدخال وسجل المنتجات'!$C$5:$C$590,$I120))</f>
        <v/>
      </c>
      <c r="E120" s="11" t="str">
        <f>IF($I120=0,"",INDEX('إدخال وسجل المنتجات'!$D$5:$D$590,$I120))</f>
        <v/>
      </c>
      <c r="F120" s="2" t="str">
        <f>IF($I120=0,"",INDEX('إدخال وسجل المنتجات'!$G$5:$G$590,$I120))</f>
        <v/>
      </c>
      <c r="G120" s="12"/>
      <c r="H120" s="13"/>
      <c r="I120">
        <f>SUMPRODUCT(('إدخال وسجل المنتجات'!$I$5:$I$590="FRZ")*('إدخال وسجل المنتجات'!$M$5:$M$590=117)*(ROW('إدخال وسجل المنتجات'!$I$5:$I$590)-4))</f>
        <v>0</v>
      </c>
      <c r="J120" s="2" t="str">
        <f>IF($I120=0,"",IF($G120="","",$G120*IF(INDEX('إدخال وسجل المنتجات'!$U$5:$U$590,$I120)=0,1,INDEX('إدخال وسجل المنتجات'!$U$5:$U$590,$I120))))</f>
        <v/>
      </c>
    </row>
    <row r="121" spans="1:10" ht="16" x14ac:dyDescent="0.15">
      <c r="A121" s="2" t="str">
        <f>IF($I121=0,"",118)</f>
        <v/>
      </c>
      <c r="B121" s="9" t="str">
        <f>IF($I121=0,"",INDEX('إدخال وسجل المنتجات'!$F$5:$F$590,$I121))</f>
        <v/>
      </c>
      <c r="C121" s="8" t="str">
        <f>IF($I121=0,"",INDEX('إدخال وسجل المنتجات'!$B$5:$B$590,$I121))</f>
        <v/>
      </c>
      <c r="D121" s="10" t="str">
        <f>IF($I121=0,"",INDEX('إدخال وسجل المنتجات'!$C$5:$C$590,$I121))</f>
        <v/>
      </c>
      <c r="E121" s="11" t="str">
        <f>IF($I121=0,"",INDEX('إدخال وسجل المنتجات'!$D$5:$D$590,$I121))</f>
        <v/>
      </c>
      <c r="F121" s="2" t="str">
        <f>IF($I121=0,"",INDEX('إدخال وسجل المنتجات'!$G$5:$G$590,$I121))</f>
        <v/>
      </c>
      <c r="G121" s="12"/>
      <c r="H121" s="13"/>
      <c r="I121">
        <f>SUMPRODUCT(('إدخال وسجل المنتجات'!$I$5:$I$590="FRZ")*('إدخال وسجل المنتجات'!$M$5:$M$590=118)*(ROW('إدخال وسجل المنتجات'!$I$5:$I$590)-4))</f>
        <v>0</v>
      </c>
      <c r="J121" s="2" t="str">
        <f>IF($I121=0,"",IF($G121="","",$G121*IF(INDEX('إدخال وسجل المنتجات'!$U$5:$U$590,$I121)=0,1,INDEX('إدخال وسجل المنتجات'!$U$5:$U$590,$I121))))</f>
        <v/>
      </c>
    </row>
    <row r="122" spans="1:10" ht="16" x14ac:dyDescent="0.15">
      <c r="A122" s="2" t="str">
        <f>IF($I122=0,"",119)</f>
        <v/>
      </c>
      <c r="B122" s="9" t="str">
        <f>IF($I122=0,"",INDEX('إدخال وسجل المنتجات'!$F$5:$F$590,$I122))</f>
        <v/>
      </c>
      <c r="C122" s="8" t="str">
        <f>IF($I122=0,"",INDEX('إدخال وسجل المنتجات'!$B$5:$B$590,$I122))</f>
        <v/>
      </c>
      <c r="D122" s="10" t="str">
        <f>IF($I122=0,"",INDEX('إدخال وسجل المنتجات'!$C$5:$C$590,$I122))</f>
        <v/>
      </c>
      <c r="E122" s="11" t="str">
        <f>IF($I122=0,"",INDEX('إدخال وسجل المنتجات'!$D$5:$D$590,$I122))</f>
        <v/>
      </c>
      <c r="F122" s="2" t="str">
        <f>IF($I122=0,"",INDEX('إدخال وسجل المنتجات'!$G$5:$G$590,$I122))</f>
        <v/>
      </c>
      <c r="G122" s="12"/>
      <c r="H122" s="13"/>
      <c r="I122">
        <f>SUMPRODUCT(('إدخال وسجل المنتجات'!$I$5:$I$590="FRZ")*('إدخال وسجل المنتجات'!$M$5:$M$590=119)*(ROW('إدخال وسجل المنتجات'!$I$5:$I$590)-4))</f>
        <v>0</v>
      </c>
      <c r="J122" s="2" t="str">
        <f>IF($I122=0,"",IF($G122="","",$G122*IF(INDEX('إدخال وسجل المنتجات'!$U$5:$U$590,$I122)=0,1,INDEX('إدخال وسجل المنتجات'!$U$5:$U$590,$I122))))</f>
        <v/>
      </c>
    </row>
    <row r="123" spans="1:10" ht="16" x14ac:dyDescent="0.15">
      <c r="A123" s="2" t="str">
        <f>IF($I123=0,"",120)</f>
        <v/>
      </c>
      <c r="B123" s="9" t="str">
        <f>IF($I123=0,"",INDEX('إدخال وسجل المنتجات'!$F$5:$F$590,$I123))</f>
        <v/>
      </c>
      <c r="C123" s="8" t="str">
        <f>IF($I123=0,"",INDEX('إدخال وسجل المنتجات'!$B$5:$B$590,$I123))</f>
        <v/>
      </c>
      <c r="D123" s="10" t="str">
        <f>IF($I123=0,"",INDEX('إدخال وسجل المنتجات'!$C$5:$C$590,$I123))</f>
        <v/>
      </c>
      <c r="E123" s="11" t="str">
        <f>IF($I123=0,"",INDEX('إدخال وسجل المنتجات'!$D$5:$D$590,$I123))</f>
        <v/>
      </c>
      <c r="F123" s="2" t="str">
        <f>IF($I123=0,"",INDEX('إدخال وسجل المنتجات'!$G$5:$G$590,$I123))</f>
        <v/>
      </c>
      <c r="G123" s="12"/>
      <c r="H123" s="13"/>
      <c r="I123">
        <f>SUMPRODUCT(('إدخال وسجل المنتجات'!$I$5:$I$590="FRZ")*('إدخال وسجل المنتجات'!$M$5:$M$590=120)*(ROW('إدخال وسجل المنتجات'!$I$5:$I$590)-4))</f>
        <v>0</v>
      </c>
      <c r="J123" s="2" t="str">
        <f>IF($I123=0,"",IF($G123="","",$G123*IF(INDEX('إدخال وسجل المنتجات'!$U$5:$U$590,$I123)=0,1,INDEX('إدخال وسجل المنتجات'!$U$5:$U$590,$I123))))</f>
        <v/>
      </c>
    </row>
    <row r="124" spans="1:10" ht="16" x14ac:dyDescent="0.15">
      <c r="A124" s="2" t="str">
        <f>IF($I124=0,"",121)</f>
        <v/>
      </c>
      <c r="B124" s="9" t="str">
        <f>IF($I124=0,"",INDEX('إدخال وسجل المنتجات'!$F$5:$F$590,$I124))</f>
        <v/>
      </c>
      <c r="C124" s="8" t="str">
        <f>IF($I124=0,"",INDEX('إدخال وسجل المنتجات'!$B$5:$B$590,$I124))</f>
        <v/>
      </c>
      <c r="D124" s="10" t="str">
        <f>IF($I124=0,"",INDEX('إدخال وسجل المنتجات'!$C$5:$C$590,$I124))</f>
        <v/>
      </c>
      <c r="E124" s="11" t="str">
        <f>IF($I124=0,"",INDEX('إدخال وسجل المنتجات'!$D$5:$D$590,$I124))</f>
        <v/>
      </c>
      <c r="F124" s="2" t="str">
        <f>IF($I124=0,"",INDEX('إدخال وسجل المنتجات'!$G$5:$G$590,$I124))</f>
        <v/>
      </c>
      <c r="G124" s="12"/>
      <c r="H124" s="13"/>
      <c r="I124">
        <f>SUMPRODUCT(('إدخال وسجل المنتجات'!$I$5:$I$590="FRZ")*('إدخال وسجل المنتجات'!$M$5:$M$590=121)*(ROW('إدخال وسجل المنتجات'!$I$5:$I$590)-4))</f>
        <v>0</v>
      </c>
      <c r="J124" s="2" t="str">
        <f>IF($I124=0,"",IF($G124="","",$G124*IF(INDEX('إدخال وسجل المنتجات'!$U$5:$U$590,$I124)=0,1,INDEX('إدخال وسجل المنتجات'!$U$5:$U$590,$I124))))</f>
        <v/>
      </c>
    </row>
    <row r="125" spans="1:10" ht="16" x14ac:dyDescent="0.15">
      <c r="A125" s="2" t="str">
        <f>IF($I125=0,"",122)</f>
        <v/>
      </c>
      <c r="B125" s="9" t="str">
        <f>IF($I125=0,"",INDEX('إدخال وسجل المنتجات'!$F$5:$F$590,$I125))</f>
        <v/>
      </c>
      <c r="C125" s="8" t="str">
        <f>IF($I125=0,"",INDEX('إدخال وسجل المنتجات'!$B$5:$B$590,$I125))</f>
        <v/>
      </c>
      <c r="D125" s="10" t="str">
        <f>IF($I125=0,"",INDEX('إدخال وسجل المنتجات'!$C$5:$C$590,$I125))</f>
        <v/>
      </c>
      <c r="E125" s="11" t="str">
        <f>IF($I125=0,"",INDEX('إدخال وسجل المنتجات'!$D$5:$D$590,$I125))</f>
        <v/>
      </c>
      <c r="F125" s="2" t="str">
        <f>IF($I125=0,"",INDEX('إدخال وسجل المنتجات'!$G$5:$G$590,$I125))</f>
        <v/>
      </c>
      <c r="G125" s="12"/>
      <c r="H125" s="13"/>
      <c r="I125">
        <f>SUMPRODUCT(('إدخال وسجل المنتجات'!$I$5:$I$590="FRZ")*('إدخال وسجل المنتجات'!$M$5:$M$590=122)*(ROW('إدخال وسجل المنتجات'!$I$5:$I$590)-4))</f>
        <v>0</v>
      </c>
      <c r="J125" s="2" t="str">
        <f>IF($I125=0,"",IF($G125="","",$G125*IF(INDEX('إدخال وسجل المنتجات'!$U$5:$U$590,$I125)=0,1,INDEX('إدخال وسجل المنتجات'!$U$5:$U$590,$I125))))</f>
        <v/>
      </c>
    </row>
    <row r="126" spans="1:10" ht="16" x14ac:dyDescent="0.15">
      <c r="A126" s="2" t="str">
        <f>IF($I126=0,"",123)</f>
        <v/>
      </c>
      <c r="B126" s="9" t="str">
        <f>IF($I126=0,"",INDEX('إدخال وسجل المنتجات'!$F$5:$F$590,$I126))</f>
        <v/>
      </c>
      <c r="C126" s="8" t="str">
        <f>IF($I126=0,"",INDEX('إدخال وسجل المنتجات'!$B$5:$B$590,$I126))</f>
        <v/>
      </c>
      <c r="D126" s="10" t="str">
        <f>IF($I126=0,"",INDEX('إدخال وسجل المنتجات'!$C$5:$C$590,$I126))</f>
        <v/>
      </c>
      <c r="E126" s="11" t="str">
        <f>IF($I126=0,"",INDEX('إدخال وسجل المنتجات'!$D$5:$D$590,$I126))</f>
        <v/>
      </c>
      <c r="F126" s="2" t="str">
        <f>IF($I126=0,"",INDEX('إدخال وسجل المنتجات'!$G$5:$G$590,$I126))</f>
        <v/>
      </c>
      <c r="G126" s="12"/>
      <c r="H126" s="13"/>
      <c r="I126">
        <f>SUMPRODUCT(('إدخال وسجل المنتجات'!$I$5:$I$590="FRZ")*('إدخال وسجل المنتجات'!$M$5:$M$590=123)*(ROW('إدخال وسجل المنتجات'!$I$5:$I$590)-4))</f>
        <v>0</v>
      </c>
      <c r="J126" s="2" t="str">
        <f>IF($I126=0,"",IF($G126="","",$G126*IF(INDEX('إدخال وسجل المنتجات'!$U$5:$U$590,$I126)=0,1,INDEX('إدخال وسجل المنتجات'!$U$5:$U$590,$I126))))</f>
        <v/>
      </c>
    </row>
    <row r="127" spans="1:10" ht="16" x14ac:dyDescent="0.15">
      <c r="A127" s="2" t="str">
        <f>IF($I127=0,"",124)</f>
        <v/>
      </c>
      <c r="B127" s="9" t="str">
        <f>IF($I127=0,"",INDEX('إدخال وسجل المنتجات'!$F$5:$F$590,$I127))</f>
        <v/>
      </c>
      <c r="C127" s="8" t="str">
        <f>IF($I127=0,"",INDEX('إدخال وسجل المنتجات'!$B$5:$B$590,$I127))</f>
        <v/>
      </c>
      <c r="D127" s="10" t="str">
        <f>IF($I127=0,"",INDEX('إدخال وسجل المنتجات'!$C$5:$C$590,$I127))</f>
        <v/>
      </c>
      <c r="E127" s="11" t="str">
        <f>IF($I127=0,"",INDEX('إدخال وسجل المنتجات'!$D$5:$D$590,$I127))</f>
        <v/>
      </c>
      <c r="F127" s="2" t="str">
        <f>IF($I127=0,"",INDEX('إدخال وسجل المنتجات'!$G$5:$G$590,$I127))</f>
        <v/>
      </c>
      <c r="G127" s="12"/>
      <c r="H127" s="13"/>
      <c r="I127">
        <f>SUMPRODUCT(('إدخال وسجل المنتجات'!$I$5:$I$590="FRZ")*('إدخال وسجل المنتجات'!$M$5:$M$590=124)*(ROW('إدخال وسجل المنتجات'!$I$5:$I$590)-4))</f>
        <v>0</v>
      </c>
      <c r="J127" s="2" t="str">
        <f>IF($I127=0,"",IF($G127="","",$G127*IF(INDEX('إدخال وسجل المنتجات'!$U$5:$U$590,$I127)=0,1,INDEX('إدخال وسجل المنتجات'!$U$5:$U$590,$I127))))</f>
        <v/>
      </c>
    </row>
    <row r="128" spans="1:10" ht="16" x14ac:dyDescent="0.15">
      <c r="A128" s="2" t="str">
        <f>IF($I128=0,"",125)</f>
        <v/>
      </c>
      <c r="B128" s="9" t="str">
        <f>IF($I128=0,"",INDEX('إدخال وسجل المنتجات'!$F$5:$F$590,$I128))</f>
        <v/>
      </c>
      <c r="C128" s="8" t="str">
        <f>IF($I128=0,"",INDEX('إدخال وسجل المنتجات'!$B$5:$B$590,$I128))</f>
        <v/>
      </c>
      <c r="D128" s="10" t="str">
        <f>IF($I128=0,"",INDEX('إدخال وسجل المنتجات'!$C$5:$C$590,$I128))</f>
        <v/>
      </c>
      <c r="E128" s="11" t="str">
        <f>IF($I128=0,"",INDEX('إدخال وسجل المنتجات'!$D$5:$D$590,$I128))</f>
        <v/>
      </c>
      <c r="F128" s="2" t="str">
        <f>IF($I128=0,"",INDEX('إدخال وسجل المنتجات'!$G$5:$G$590,$I128))</f>
        <v/>
      </c>
      <c r="G128" s="12"/>
      <c r="H128" s="13"/>
      <c r="I128">
        <f>SUMPRODUCT(('إدخال وسجل المنتجات'!$I$5:$I$590="FRZ")*('إدخال وسجل المنتجات'!$M$5:$M$590=125)*(ROW('إدخال وسجل المنتجات'!$I$5:$I$590)-4))</f>
        <v>0</v>
      </c>
      <c r="J128" s="2" t="str">
        <f>IF($I128=0,"",IF($G128="","",$G128*IF(INDEX('إدخال وسجل المنتجات'!$U$5:$U$590,$I128)=0,1,INDEX('إدخال وسجل المنتجات'!$U$5:$U$590,$I128))))</f>
        <v/>
      </c>
    </row>
    <row r="129" spans="1:10" ht="16" x14ac:dyDescent="0.15">
      <c r="A129" s="2" t="str">
        <f>IF($I129=0,"",126)</f>
        <v/>
      </c>
      <c r="B129" s="9" t="str">
        <f>IF($I129=0,"",INDEX('إدخال وسجل المنتجات'!$F$5:$F$590,$I129))</f>
        <v/>
      </c>
      <c r="C129" s="8" t="str">
        <f>IF($I129=0,"",INDEX('إدخال وسجل المنتجات'!$B$5:$B$590,$I129))</f>
        <v/>
      </c>
      <c r="D129" s="10" t="str">
        <f>IF($I129=0,"",INDEX('إدخال وسجل المنتجات'!$C$5:$C$590,$I129))</f>
        <v/>
      </c>
      <c r="E129" s="11" t="str">
        <f>IF($I129=0,"",INDEX('إدخال وسجل المنتجات'!$D$5:$D$590,$I129))</f>
        <v/>
      </c>
      <c r="F129" s="2" t="str">
        <f>IF($I129=0,"",INDEX('إدخال وسجل المنتجات'!$G$5:$G$590,$I129))</f>
        <v/>
      </c>
      <c r="G129" s="12"/>
      <c r="H129" s="13"/>
      <c r="I129">
        <f>SUMPRODUCT(('إدخال وسجل المنتجات'!$I$5:$I$590="FRZ")*('إدخال وسجل المنتجات'!$M$5:$M$590=126)*(ROW('إدخال وسجل المنتجات'!$I$5:$I$590)-4))</f>
        <v>0</v>
      </c>
      <c r="J129" s="2" t="str">
        <f>IF($I129=0,"",IF($G129="","",$G129*IF(INDEX('إدخال وسجل المنتجات'!$U$5:$U$590,$I129)=0,1,INDEX('إدخال وسجل المنتجات'!$U$5:$U$590,$I129))))</f>
        <v/>
      </c>
    </row>
    <row r="130" spans="1:10" ht="16" x14ac:dyDescent="0.15">
      <c r="A130" s="2" t="str">
        <f>IF($I130=0,"",127)</f>
        <v/>
      </c>
      <c r="B130" s="9" t="str">
        <f>IF($I130=0,"",INDEX('إدخال وسجل المنتجات'!$F$5:$F$590,$I130))</f>
        <v/>
      </c>
      <c r="C130" s="8" t="str">
        <f>IF($I130=0,"",INDEX('إدخال وسجل المنتجات'!$B$5:$B$590,$I130))</f>
        <v/>
      </c>
      <c r="D130" s="10" t="str">
        <f>IF($I130=0,"",INDEX('إدخال وسجل المنتجات'!$C$5:$C$590,$I130))</f>
        <v/>
      </c>
      <c r="E130" s="11" t="str">
        <f>IF($I130=0,"",INDEX('إدخال وسجل المنتجات'!$D$5:$D$590,$I130))</f>
        <v/>
      </c>
      <c r="F130" s="2" t="str">
        <f>IF($I130=0,"",INDEX('إدخال وسجل المنتجات'!$G$5:$G$590,$I130))</f>
        <v/>
      </c>
      <c r="G130" s="12"/>
      <c r="H130" s="13"/>
      <c r="I130">
        <f>SUMPRODUCT(('إدخال وسجل المنتجات'!$I$5:$I$590="FRZ")*('إدخال وسجل المنتجات'!$M$5:$M$590=127)*(ROW('إدخال وسجل المنتجات'!$I$5:$I$590)-4))</f>
        <v>0</v>
      </c>
      <c r="J130" s="2" t="str">
        <f>IF($I130=0,"",IF($G130="","",$G130*IF(INDEX('إدخال وسجل المنتجات'!$U$5:$U$590,$I130)=0,1,INDEX('إدخال وسجل المنتجات'!$U$5:$U$590,$I130))))</f>
        <v/>
      </c>
    </row>
    <row r="131" spans="1:10" ht="16" x14ac:dyDescent="0.15">
      <c r="A131" s="2" t="str">
        <f>IF($I131=0,"",128)</f>
        <v/>
      </c>
      <c r="B131" s="9" t="str">
        <f>IF($I131=0,"",INDEX('إدخال وسجل المنتجات'!$F$5:$F$590,$I131))</f>
        <v/>
      </c>
      <c r="C131" s="8" t="str">
        <f>IF($I131=0,"",INDEX('إدخال وسجل المنتجات'!$B$5:$B$590,$I131))</f>
        <v/>
      </c>
      <c r="D131" s="10" t="str">
        <f>IF($I131=0,"",INDEX('إدخال وسجل المنتجات'!$C$5:$C$590,$I131))</f>
        <v/>
      </c>
      <c r="E131" s="11" t="str">
        <f>IF($I131=0,"",INDEX('إدخال وسجل المنتجات'!$D$5:$D$590,$I131))</f>
        <v/>
      </c>
      <c r="F131" s="2" t="str">
        <f>IF($I131=0,"",INDEX('إدخال وسجل المنتجات'!$G$5:$G$590,$I131))</f>
        <v/>
      </c>
      <c r="G131" s="12"/>
      <c r="H131" s="13"/>
      <c r="I131">
        <f>SUMPRODUCT(('إدخال وسجل المنتجات'!$I$5:$I$590="FRZ")*('إدخال وسجل المنتجات'!$M$5:$M$590=128)*(ROW('إدخال وسجل المنتجات'!$I$5:$I$590)-4))</f>
        <v>0</v>
      </c>
      <c r="J131" s="2" t="str">
        <f>IF($I131=0,"",IF($G131="","",$G131*IF(INDEX('إدخال وسجل المنتجات'!$U$5:$U$590,$I131)=0,1,INDEX('إدخال وسجل المنتجات'!$U$5:$U$590,$I131))))</f>
        <v/>
      </c>
    </row>
    <row r="132" spans="1:10" ht="16" x14ac:dyDescent="0.15">
      <c r="A132" s="2" t="str">
        <f>IF($I132=0,"",129)</f>
        <v/>
      </c>
      <c r="B132" s="9" t="str">
        <f>IF($I132=0,"",INDEX('إدخال وسجل المنتجات'!$F$5:$F$590,$I132))</f>
        <v/>
      </c>
      <c r="C132" s="8" t="str">
        <f>IF($I132=0,"",INDEX('إدخال وسجل المنتجات'!$B$5:$B$590,$I132))</f>
        <v/>
      </c>
      <c r="D132" s="10" t="str">
        <f>IF($I132=0,"",INDEX('إدخال وسجل المنتجات'!$C$5:$C$590,$I132))</f>
        <v/>
      </c>
      <c r="E132" s="11" t="str">
        <f>IF($I132=0,"",INDEX('إدخال وسجل المنتجات'!$D$5:$D$590,$I132))</f>
        <v/>
      </c>
      <c r="F132" s="2" t="str">
        <f>IF($I132=0,"",INDEX('إدخال وسجل المنتجات'!$G$5:$G$590,$I132))</f>
        <v/>
      </c>
      <c r="G132" s="12"/>
      <c r="H132" s="13"/>
      <c r="I132">
        <f>SUMPRODUCT(('إدخال وسجل المنتجات'!$I$5:$I$590="FRZ")*('إدخال وسجل المنتجات'!$M$5:$M$590=129)*(ROW('إدخال وسجل المنتجات'!$I$5:$I$590)-4))</f>
        <v>0</v>
      </c>
      <c r="J132" s="2" t="str">
        <f>IF($I132=0,"",IF($G132="","",$G132*IF(INDEX('إدخال وسجل المنتجات'!$U$5:$U$590,$I132)=0,1,INDEX('إدخال وسجل المنتجات'!$U$5:$U$590,$I132))))</f>
        <v/>
      </c>
    </row>
    <row r="133" spans="1:10" ht="16" x14ac:dyDescent="0.15">
      <c r="A133" s="2" t="str">
        <f>IF($I133=0,"",130)</f>
        <v/>
      </c>
      <c r="B133" s="9" t="str">
        <f>IF($I133=0,"",INDEX('إدخال وسجل المنتجات'!$F$5:$F$590,$I133))</f>
        <v/>
      </c>
      <c r="C133" s="8" t="str">
        <f>IF($I133=0,"",INDEX('إدخال وسجل المنتجات'!$B$5:$B$590,$I133))</f>
        <v/>
      </c>
      <c r="D133" s="10" t="str">
        <f>IF($I133=0,"",INDEX('إدخال وسجل المنتجات'!$C$5:$C$590,$I133))</f>
        <v/>
      </c>
      <c r="E133" s="11" t="str">
        <f>IF($I133=0,"",INDEX('إدخال وسجل المنتجات'!$D$5:$D$590,$I133))</f>
        <v/>
      </c>
      <c r="F133" s="2" t="str">
        <f>IF($I133=0,"",INDEX('إدخال وسجل المنتجات'!$G$5:$G$590,$I133))</f>
        <v/>
      </c>
      <c r="G133" s="12"/>
      <c r="H133" s="13"/>
      <c r="I133">
        <f>SUMPRODUCT(('إدخال وسجل المنتجات'!$I$5:$I$590="FRZ")*('إدخال وسجل المنتجات'!$M$5:$M$590=130)*(ROW('إدخال وسجل المنتجات'!$I$5:$I$590)-4))</f>
        <v>0</v>
      </c>
      <c r="J133" s="2" t="str">
        <f>IF($I133=0,"",IF($G133="","",$G133*IF(INDEX('إدخال وسجل المنتجات'!$U$5:$U$590,$I133)=0,1,INDEX('إدخال وسجل المنتجات'!$U$5:$U$590,$I133))))</f>
        <v/>
      </c>
    </row>
    <row r="134" spans="1:10" ht="16" x14ac:dyDescent="0.15">
      <c r="A134" s="2" t="str">
        <f>IF($I134=0,"",131)</f>
        <v/>
      </c>
      <c r="B134" s="9" t="str">
        <f>IF($I134=0,"",INDEX('إدخال وسجل المنتجات'!$F$5:$F$590,$I134))</f>
        <v/>
      </c>
      <c r="C134" s="8" t="str">
        <f>IF($I134=0,"",INDEX('إدخال وسجل المنتجات'!$B$5:$B$590,$I134))</f>
        <v/>
      </c>
      <c r="D134" s="10" t="str">
        <f>IF($I134=0,"",INDEX('إدخال وسجل المنتجات'!$C$5:$C$590,$I134))</f>
        <v/>
      </c>
      <c r="E134" s="11" t="str">
        <f>IF($I134=0,"",INDEX('إدخال وسجل المنتجات'!$D$5:$D$590,$I134))</f>
        <v/>
      </c>
      <c r="F134" s="2" t="str">
        <f>IF($I134=0,"",INDEX('إدخال وسجل المنتجات'!$G$5:$G$590,$I134))</f>
        <v/>
      </c>
      <c r="G134" s="12"/>
      <c r="H134" s="13"/>
      <c r="I134">
        <f>SUMPRODUCT(('إدخال وسجل المنتجات'!$I$5:$I$590="FRZ")*('إدخال وسجل المنتجات'!$M$5:$M$590=131)*(ROW('إدخال وسجل المنتجات'!$I$5:$I$590)-4))</f>
        <v>0</v>
      </c>
      <c r="J134" s="2" t="str">
        <f>IF($I134=0,"",IF($G134="","",$G134*IF(INDEX('إدخال وسجل المنتجات'!$U$5:$U$590,$I134)=0,1,INDEX('إدخال وسجل المنتجات'!$U$5:$U$590,$I134))))</f>
        <v/>
      </c>
    </row>
    <row r="135" spans="1:10" ht="16" x14ac:dyDescent="0.15">
      <c r="A135" s="2" t="str">
        <f>IF($I135=0,"",132)</f>
        <v/>
      </c>
      <c r="B135" s="9" t="str">
        <f>IF($I135=0,"",INDEX('إدخال وسجل المنتجات'!$F$5:$F$590,$I135))</f>
        <v/>
      </c>
      <c r="C135" s="8" t="str">
        <f>IF($I135=0,"",INDEX('إدخال وسجل المنتجات'!$B$5:$B$590,$I135))</f>
        <v/>
      </c>
      <c r="D135" s="10" t="str">
        <f>IF($I135=0,"",INDEX('إدخال وسجل المنتجات'!$C$5:$C$590,$I135))</f>
        <v/>
      </c>
      <c r="E135" s="11" t="str">
        <f>IF($I135=0,"",INDEX('إدخال وسجل المنتجات'!$D$5:$D$590,$I135))</f>
        <v/>
      </c>
      <c r="F135" s="2" t="str">
        <f>IF($I135=0,"",INDEX('إدخال وسجل المنتجات'!$G$5:$G$590,$I135))</f>
        <v/>
      </c>
      <c r="G135" s="12"/>
      <c r="H135" s="13"/>
      <c r="I135">
        <f>SUMPRODUCT(('إدخال وسجل المنتجات'!$I$5:$I$590="FRZ")*('إدخال وسجل المنتجات'!$M$5:$M$590=132)*(ROW('إدخال وسجل المنتجات'!$I$5:$I$590)-4))</f>
        <v>0</v>
      </c>
      <c r="J135" s="2" t="str">
        <f>IF($I135=0,"",IF($G135="","",$G135*IF(INDEX('إدخال وسجل المنتجات'!$U$5:$U$590,$I135)=0,1,INDEX('إدخال وسجل المنتجات'!$U$5:$U$590,$I135))))</f>
        <v/>
      </c>
    </row>
    <row r="136" spans="1:10" ht="16" x14ac:dyDescent="0.15">
      <c r="A136" s="2" t="str">
        <f>IF($I136=0,"",133)</f>
        <v/>
      </c>
      <c r="B136" s="9" t="str">
        <f>IF($I136=0,"",INDEX('إدخال وسجل المنتجات'!$F$5:$F$590,$I136))</f>
        <v/>
      </c>
      <c r="C136" s="8" t="str">
        <f>IF($I136=0,"",INDEX('إدخال وسجل المنتجات'!$B$5:$B$590,$I136))</f>
        <v/>
      </c>
      <c r="D136" s="10" t="str">
        <f>IF($I136=0,"",INDEX('إدخال وسجل المنتجات'!$C$5:$C$590,$I136))</f>
        <v/>
      </c>
      <c r="E136" s="11" t="str">
        <f>IF($I136=0,"",INDEX('إدخال وسجل المنتجات'!$D$5:$D$590,$I136))</f>
        <v/>
      </c>
      <c r="F136" s="2" t="str">
        <f>IF($I136=0,"",INDEX('إدخال وسجل المنتجات'!$G$5:$G$590,$I136))</f>
        <v/>
      </c>
      <c r="G136" s="12"/>
      <c r="H136" s="13"/>
      <c r="I136">
        <f>SUMPRODUCT(('إدخال وسجل المنتجات'!$I$5:$I$590="FRZ")*('إدخال وسجل المنتجات'!$M$5:$M$590=133)*(ROW('إدخال وسجل المنتجات'!$I$5:$I$590)-4))</f>
        <v>0</v>
      </c>
      <c r="J136" s="2" t="str">
        <f>IF($I136=0,"",IF($G136="","",$G136*IF(INDEX('إدخال وسجل المنتجات'!$U$5:$U$590,$I136)=0,1,INDEX('إدخال وسجل المنتجات'!$U$5:$U$590,$I136))))</f>
        <v/>
      </c>
    </row>
    <row r="137" spans="1:10" ht="16" x14ac:dyDescent="0.15">
      <c r="A137" s="2" t="str">
        <f>IF($I137=0,"",134)</f>
        <v/>
      </c>
      <c r="B137" s="9" t="str">
        <f>IF($I137=0,"",INDEX('إدخال وسجل المنتجات'!$F$5:$F$590,$I137))</f>
        <v/>
      </c>
      <c r="C137" s="8" t="str">
        <f>IF($I137=0,"",INDEX('إدخال وسجل المنتجات'!$B$5:$B$590,$I137))</f>
        <v/>
      </c>
      <c r="D137" s="10" t="str">
        <f>IF($I137=0,"",INDEX('إدخال وسجل المنتجات'!$C$5:$C$590,$I137))</f>
        <v/>
      </c>
      <c r="E137" s="11" t="str">
        <f>IF($I137=0,"",INDEX('إدخال وسجل المنتجات'!$D$5:$D$590,$I137))</f>
        <v/>
      </c>
      <c r="F137" s="2" t="str">
        <f>IF($I137=0,"",INDEX('إدخال وسجل المنتجات'!$G$5:$G$590,$I137))</f>
        <v/>
      </c>
      <c r="G137" s="12"/>
      <c r="H137" s="13"/>
      <c r="I137">
        <f>SUMPRODUCT(('إدخال وسجل المنتجات'!$I$5:$I$590="FRZ")*('إدخال وسجل المنتجات'!$M$5:$M$590=134)*(ROW('إدخال وسجل المنتجات'!$I$5:$I$590)-4))</f>
        <v>0</v>
      </c>
      <c r="J137" s="2" t="str">
        <f>IF($I137=0,"",IF($G137="","",$G137*IF(INDEX('إدخال وسجل المنتجات'!$U$5:$U$590,$I137)=0,1,INDEX('إدخال وسجل المنتجات'!$U$5:$U$590,$I137))))</f>
        <v/>
      </c>
    </row>
    <row r="138" spans="1:10" ht="16" x14ac:dyDescent="0.15">
      <c r="A138" s="2" t="str">
        <f>IF($I138=0,"",135)</f>
        <v/>
      </c>
      <c r="B138" s="9" t="str">
        <f>IF($I138=0,"",INDEX('إدخال وسجل المنتجات'!$F$5:$F$590,$I138))</f>
        <v/>
      </c>
      <c r="C138" s="8" t="str">
        <f>IF($I138=0,"",INDEX('إدخال وسجل المنتجات'!$B$5:$B$590,$I138))</f>
        <v/>
      </c>
      <c r="D138" s="10" t="str">
        <f>IF($I138=0,"",INDEX('إدخال وسجل المنتجات'!$C$5:$C$590,$I138))</f>
        <v/>
      </c>
      <c r="E138" s="11" t="str">
        <f>IF($I138=0,"",INDEX('إدخال وسجل المنتجات'!$D$5:$D$590,$I138))</f>
        <v/>
      </c>
      <c r="F138" s="2" t="str">
        <f>IF($I138=0,"",INDEX('إدخال وسجل المنتجات'!$G$5:$G$590,$I138))</f>
        <v/>
      </c>
      <c r="G138" s="12"/>
      <c r="H138" s="13"/>
      <c r="I138">
        <f>SUMPRODUCT(('إدخال وسجل المنتجات'!$I$5:$I$590="FRZ")*('إدخال وسجل المنتجات'!$M$5:$M$590=135)*(ROW('إدخال وسجل المنتجات'!$I$5:$I$590)-4))</f>
        <v>0</v>
      </c>
      <c r="J138" s="2" t="str">
        <f>IF($I138=0,"",IF($G138="","",$G138*IF(INDEX('إدخال وسجل المنتجات'!$U$5:$U$590,$I138)=0,1,INDEX('إدخال وسجل المنتجات'!$U$5:$U$590,$I138))))</f>
        <v/>
      </c>
    </row>
    <row r="139" spans="1:10" ht="16" x14ac:dyDescent="0.15">
      <c r="A139" s="2" t="str">
        <f>IF($I139=0,"",136)</f>
        <v/>
      </c>
      <c r="B139" s="9" t="str">
        <f>IF($I139=0,"",INDEX('إدخال وسجل المنتجات'!$F$5:$F$590,$I139))</f>
        <v/>
      </c>
      <c r="C139" s="8" t="str">
        <f>IF($I139=0,"",INDEX('إدخال وسجل المنتجات'!$B$5:$B$590,$I139))</f>
        <v/>
      </c>
      <c r="D139" s="10" t="str">
        <f>IF($I139=0,"",INDEX('إدخال وسجل المنتجات'!$C$5:$C$590,$I139))</f>
        <v/>
      </c>
      <c r="E139" s="11" t="str">
        <f>IF($I139=0,"",INDEX('إدخال وسجل المنتجات'!$D$5:$D$590,$I139))</f>
        <v/>
      </c>
      <c r="F139" s="2" t="str">
        <f>IF($I139=0,"",INDEX('إدخال وسجل المنتجات'!$G$5:$G$590,$I139))</f>
        <v/>
      </c>
      <c r="G139" s="12"/>
      <c r="H139" s="13"/>
      <c r="I139">
        <f>SUMPRODUCT(('إدخال وسجل المنتجات'!$I$5:$I$590="FRZ")*('إدخال وسجل المنتجات'!$M$5:$M$590=136)*(ROW('إدخال وسجل المنتجات'!$I$5:$I$590)-4))</f>
        <v>0</v>
      </c>
      <c r="J139" s="2" t="str">
        <f>IF($I139=0,"",IF($G139="","",$G139*IF(INDEX('إدخال وسجل المنتجات'!$U$5:$U$590,$I139)=0,1,INDEX('إدخال وسجل المنتجات'!$U$5:$U$590,$I139))))</f>
        <v/>
      </c>
    </row>
    <row r="140" spans="1:10" ht="16" x14ac:dyDescent="0.15">
      <c r="A140" s="2" t="str">
        <f>IF($I140=0,"",137)</f>
        <v/>
      </c>
      <c r="B140" s="9" t="str">
        <f>IF($I140=0,"",INDEX('إدخال وسجل المنتجات'!$F$5:$F$590,$I140))</f>
        <v/>
      </c>
      <c r="C140" s="8" t="str">
        <f>IF($I140=0,"",INDEX('إدخال وسجل المنتجات'!$B$5:$B$590,$I140))</f>
        <v/>
      </c>
      <c r="D140" s="10" t="str">
        <f>IF($I140=0,"",INDEX('إدخال وسجل المنتجات'!$C$5:$C$590,$I140))</f>
        <v/>
      </c>
      <c r="E140" s="11" t="str">
        <f>IF($I140=0,"",INDEX('إدخال وسجل المنتجات'!$D$5:$D$590,$I140))</f>
        <v/>
      </c>
      <c r="F140" s="2" t="str">
        <f>IF($I140=0,"",INDEX('إدخال وسجل المنتجات'!$G$5:$G$590,$I140))</f>
        <v/>
      </c>
      <c r="G140" s="12"/>
      <c r="H140" s="13"/>
      <c r="I140">
        <f>SUMPRODUCT(('إدخال وسجل المنتجات'!$I$5:$I$590="FRZ")*('إدخال وسجل المنتجات'!$M$5:$M$590=137)*(ROW('إدخال وسجل المنتجات'!$I$5:$I$590)-4))</f>
        <v>0</v>
      </c>
      <c r="J140" s="2" t="str">
        <f>IF($I140=0,"",IF($G140="","",$G140*IF(INDEX('إدخال وسجل المنتجات'!$U$5:$U$590,$I140)=0,1,INDEX('إدخال وسجل المنتجات'!$U$5:$U$590,$I140))))</f>
        <v/>
      </c>
    </row>
    <row r="141" spans="1:10" ht="16" x14ac:dyDescent="0.15">
      <c r="A141" s="2" t="str">
        <f>IF($I141=0,"",138)</f>
        <v/>
      </c>
      <c r="B141" s="9" t="str">
        <f>IF($I141=0,"",INDEX('إدخال وسجل المنتجات'!$F$5:$F$590,$I141))</f>
        <v/>
      </c>
      <c r="C141" s="8" t="str">
        <f>IF($I141=0,"",INDEX('إدخال وسجل المنتجات'!$B$5:$B$590,$I141))</f>
        <v/>
      </c>
      <c r="D141" s="10" t="str">
        <f>IF($I141=0,"",INDEX('إدخال وسجل المنتجات'!$C$5:$C$590,$I141))</f>
        <v/>
      </c>
      <c r="E141" s="11" t="str">
        <f>IF($I141=0,"",INDEX('إدخال وسجل المنتجات'!$D$5:$D$590,$I141))</f>
        <v/>
      </c>
      <c r="F141" s="2" t="str">
        <f>IF($I141=0,"",INDEX('إدخال وسجل المنتجات'!$G$5:$G$590,$I141))</f>
        <v/>
      </c>
      <c r="G141" s="12"/>
      <c r="H141" s="13"/>
      <c r="I141">
        <f>SUMPRODUCT(('إدخال وسجل المنتجات'!$I$5:$I$590="FRZ")*('إدخال وسجل المنتجات'!$M$5:$M$590=138)*(ROW('إدخال وسجل المنتجات'!$I$5:$I$590)-4))</f>
        <v>0</v>
      </c>
      <c r="J141" s="2" t="str">
        <f>IF($I141=0,"",IF($G141="","",$G141*IF(INDEX('إدخال وسجل المنتجات'!$U$5:$U$590,$I141)=0,1,INDEX('إدخال وسجل المنتجات'!$U$5:$U$590,$I141))))</f>
        <v/>
      </c>
    </row>
    <row r="142" spans="1:10" ht="16" x14ac:dyDescent="0.15">
      <c r="A142" s="2" t="str">
        <f>IF($I142=0,"",139)</f>
        <v/>
      </c>
      <c r="B142" s="9" t="str">
        <f>IF($I142=0,"",INDEX('إدخال وسجل المنتجات'!$F$5:$F$590,$I142))</f>
        <v/>
      </c>
      <c r="C142" s="8" t="str">
        <f>IF($I142=0,"",INDEX('إدخال وسجل المنتجات'!$B$5:$B$590,$I142))</f>
        <v/>
      </c>
      <c r="D142" s="10" t="str">
        <f>IF($I142=0,"",INDEX('إدخال وسجل المنتجات'!$C$5:$C$590,$I142))</f>
        <v/>
      </c>
      <c r="E142" s="11" t="str">
        <f>IF($I142=0,"",INDEX('إدخال وسجل المنتجات'!$D$5:$D$590,$I142))</f>
        <v/>
      </c>
      <c r="F142" s="2" t="str">
        <f>IF($I142=0,"",INDEX('إدخال وسجل المنتجات'!$G$5:$G$590,$I142))</f>
        <v/>
      </c>
      <c r="G142" s="12"/>
      <c r="H142" s="13"/>
      <c r="I142">
        <f>SUMPRODUCT(('إدخال وسجل المنتجات'!$I$5:$I$590="FRZ")*('إدخال وسجل المنتجات'!$M$5:$M$590=139)*(ROW('إدخال وسجل المنتجات'!$I$5:$I$590)-4))</f>
        <v>0</v>
      </c>
      <c r="J142" s="2" t="str">
        <f>IF($I142=0,"",IF($G142="","",$G142*IF(INDEX('إدخال وسجل المنتجات'!$U$5:$U$590,$I142)=0,1,INDEX('إدخال وسجل المنتجات'!$U$5:$U$590,$I142))))</f>
        <v/>
      </c>
    </row>
    <row r="143" spans="1:10" ht="16" x14ac:dyDescent="0.15">
      <c r="A143" s="2" t="str">
        <f>IF($I143=0,"",140)</f>
        <v/>
      </c>
      <c r="B143" s="9" t="str">
        <f>IF($I143=0,"",INDEX('إدخال وسجل المنتجات'!$F$5:$F$590,$I143))</f>
        <v/>
      </c>
      <c r="C143" s="8" t="str">
        <f>IF($I143=0,"",INDEX('إدخال وسجل المنتجات'!$B$5:$B$590,$I143))</f>
        <v/>
      </c>
      <c r="D143" s="10" t="str">
        <f>IF($I143=0,"",INDEX('إدخال وسجل المنتجات'!$C$5:$C$590,$I143))</f>
        <v/>
      </c>
      <c r="E143" s="11" t="str">
        <f>IF($I143=0,"",INDEX('إدخال وسجل المنتجات'!$D$5:$D$590,$I143))</f>
        <v/>
      </c>
      <c r="F143" s="2" t="str">
        <f>IF($I143=0,"",INDEX('إدخال وسجل المنتجات'!$G$5:$G$590,$I143))</f>
        <v/>
      </c>
      <c r="G143" s="12"/>
      <c r="H143" s="13"/>
      <c r="I143">
        <f>SUMPRODUCT(('إدخال وسجل المنتجات'!$I$5:$I$590="FRZ")*('إدخال وسجل المنتجات'!$M$5:$M$590=140)*(ROW('إدخال وسجل المنتجات'!$I$5:$I$590)-4))</f>
        <v>0</v>
      </c>
      <c r="J143" s="2" t="str">
        <f>IF($I143=0,"",IF($G143="","",$G143*IF(INDEX('إدخال وسجل المنتجات'!$U$5:$U$590,$I143)=0,1,INDEX('إدخال وسجل المنتجات'!$U$5:$U$590,$I143))))</f>
        <v/>
      </c>
    </row>
    <row r="144" spans="1:10" ht="16" x14ac:dyDescent="0.15">
      <c r="A144" s="2" t="str">
        <f>IF($I144=0,"",141)</f>
        <v/>
      </c>
      <c r="B144" s="9" t="str">
        <f>IF($I144=0,"",INDEX('إدخال وسجل المنتجات'!$F$5:$F$590,$I144))</f>
        <v/>
      </c>
      <c r="C144" s="8" t="str">
        <f>IF($I144=0,"",INDEX('إدخال وسجل المنتجات'!$B$5:$B$590,$I144))</f>
        <v/>
      </c>
      <c r="D144" s="10" t="str">
        <f>IF($I144=0,"",INDEX('إدخال وسجل المنتجات'!$C$5:$C$590,$I144))</f>
        <v/>
      </c>
      <c r="E144" s="11" t="str">
        <f>IF($I144=0,"",INDEX('إدخال وسجل المنتجات'!$D$5:$D$590,$I144))</f>
        <v/>
      </c>
      <c r="F144" s="2" t="str">
        <f>IF($I144=0,"",INDEX('إدخال وسجل المنتجات'!$G$5:$G$590,$I144))</f>
        <v/>
      </c>
      <c r="G144" s="12"/>
      <c r="H144" s="13"/>
      <c r="I144">
        <f>SUMPRODUCT(('إدخال وسجل المنتجات'!$I$5:$I$590="FRZ")*('إدخال وسجل المنتجات'!$M$5:$M$590=141)*(ROW('إدخال وسجل المنتجات'!$I$5:$I$590)-4))</f>
        <v>0</v>
      </c>
      <c r="J144" s="2" t="str">
        <f>IF($I144=0,"",IF($G144="","",$G144*IF(INDEX('إدخال وسجل المنتجات'!$U$5:$U$590,$I144)=0,1,INDEX('إدخال وسجل المنتجات'!$U$5:$U$590,$I144))))</f>
        <v/>
      </c>
    </row>
    <row r="145" spans="1:10" ht="16" x14ac:dyDescent="0.15">
      <c r="A145" s="2" t="str">
        <f>IF($I145=0,"",142)</f>
        <v/>
      </c>
      <c r="B145" s="9" t="str">
        <f>IF($I145=0,"",INDEX('إدخال وسجل المنتجات'!$F$5:$F$590,$I145))</f>
        <v/>
      </c>
      <c r="C145" s="8" t="str">
        <f>IF($I145=0,"",INDEX('إدخال وسجل المنتجات'!$B$5:$B$590,$I145))</f>
        <v/>
      </c>
      <c r="D145" s="10" t="str">
        <f>IF($I145=0,"",INDEX('إدخال وسجل المنتجات'!$C$5:$C$590,$I145))</f>
        <v/>
      </c>
      <c r="E145" s="11" t="str">
        <f>IF($I145=0,"",INDEX('إدخال وسجل المنتجات'!$D$5:$D$590,$I145))</f>
        <v/>
      </c>
      <c r="F145" s="2" t="str">
        <f>IF($I145=0,"",INDEX('إدخال وسجل المنتجات'!$G$5:$G$590,$I145))</f>
        <v/>
      </c>
      <c r="G145" s="12"/>
      <c r="H145" s="13"/>
      <c r="I145">
        <f>SUMPRODUCT(('إدخال وسجل المنتجات'!$I$5:$I$590="FRZ")*('إدخال وسجل المنتجات'!$M$5:$M$590=142)*(ROW('إدخال وسجل المنتجات'!$I$5:$I$590)-4))</f>
        <v>0</v>
      </c>
      <c r="J145" s="2" t="str">
        <f>IF($I145=0,"",IF($G145="","",$G145*IF(INDEX('إدخال وسجل المنتجات'!$U$5:$U$590,$I145)=0,1,INDEX('إدخال وسجل المنتجات'!$U$5:$U$590,$I145))))</f>
        <v/>
      </c>
    </row>
    <row r="146" spans="1:10" ht="16" x14ac:dyDescent="0.15">
      <c r="A146" s="2" t="str">
        <f>IF($I146=0,"",143)</f>
        <v/>
      </c>
      <c r="B146" s="9" t="str">
        <f>IF($I146=0,"",INDEX('إدخال وسجل المنتجات'!$F$5:$F$590,$I146))</f>
        <v/>
      </c>
      <c r="C146" s="8" t="str">
        <f>IF($I146=0,"",INDEX('إدخال وسجل المنتجات'!$B$5:$B$590,$I146))</f>
        <v/>
      </c>
      <c r="D146" s="10" t="str">
        <f>IF($I146=0,"",INDEX('إدخال وسجل المنتجات'!$C$5:$C$590,$I146))</f>
        <v/>
      </c>
      <c r="E146" s="11" t="str">
        <f>IF($I146=0,"",INDEX('إدخال وسجل المنتجات'!$D$5:$D$590,$I146))</f>
        <v/>
      </c>
      <c r="F146" s="2" t="str">
        <f>IF($I146=0,"",INDEX('إدخال وسجل المنتجات'!$G$5:$G$590,$I146))</f>
        <v/>
      </c>
      <c r="G146" s="12"/>
      <c r="H146" s="13"/>
      <c r="I146">
        <f>SUMPRODUCT(('إدخال وسجل المنتجات'!$I$5:$I$590="FRZ")*('إدخال وسجل المنتجات'!$M$5:$M$590=143)*(ROW('إدخال وسجل المنتجات'!$I$5:$I$590)-4))</f>
        <v>0</v>
      </c>
      <c r="J146" s="2" t="str">
        <f>IF($I146=0,"",IF($G146="","",$G146*IF(INDEX('إدخال وسجل المنتجات'!$U$5:$U$590,$I146)=0,1,INDEX('إدخال وسجل المنتجات'!$U$5:$U$590,$I146))))</f>
        <v/>
      </c>
    </row>
    <row r="147" spans="1:10" ht="16" x14ac:dyDescent="0.15">
      <c r="A147" s="2" t="str">
        <f>IF($I147=0,"",144)</f>
        <v/>
      </c>
      <c r="B147" s="9" t="str">
        <f>IF($I147=0,"",INDEX('إدخال وسجل المنتجات'!$F$5:$F$590,$I147))</f>
        <v/>
      </c>
      <c r="C147" s="8" t="str">
        <f>IF($I147=0,"",INDEX('إدخال وسجل المنتجات'!$B$5:$B$590,$I147))</f>
        <v/>
      </c>
      <c r="D147" s="10" t="str">
        <f>IF($I147=0,"",INDEX('إدخال وسجل المنتجات'!$C$5:$C$590,$I147))</f>
        <v/>
      </c>
      <c r="E147" s="11" t="str">
        <f>IF($I147=0,"",INDEX('إدخال وسجل المنتجات'!$D$5:$D$590,$I147))</f>
        <v/>
      </c>
      <c r="F147" s="2" t="str">
        <f>IF($I147=0,"",INDEX('إدخال وسجل المنتجات'!$G$5:$G$590,$I147))</f>
        <v/>
      </c>
      <c r="G147" s="12"/>
      <c r="H147" s="13"/>
      <c r="I147">
        <f>SUMPRODUCT(('إدخال وسجل المنتجات'!$I$5:$I$590="FRZ")*('إدخال وسجل المنتجات'!$M$5:$M$590=144)*(ROW('إدخال وسجل المنتجات'!$I$5:$I$590)-4))</f>
        <v>0</v>
      </c>
      <c r="J147" s="2" t="str">
        <f>IF($I147=0,"",IF($G147="","",$G147*IF(INDEX('إدخال وسجل المنتجات'!$U$5:$U$590,$I147)=0,1,INDEX('إدخال وسجل المنتجات'!$U$5:$U$590,$I147))))</f>
        <v/>
      </c>
    </row>
    <row r="148" spans="1:10" ht="16" x14ac:dyDescent="0.15">
      <c r="A148" s="2" t="str">
        <f>IF($I148=0,"",145)</f>
        <v/>
      </c>
      <c r="B148" s="9" t="str">
        <f>IF($I148=0,"",INDEX('إدخال وسجل المنتجات'!$F$5:$F$590,$I148))</f>
        <v/>
      </c>
      <c r="C148" s="8" t="str">
        <f>IF($I148=0,"",INDEX('إدخال وسجل المنتجات'!$B$5:$B$590,$I148))</f>
        <v/>
      </c>
      <c r="D148" s="10" t="str">
        <f>IF($I148=0,"",INDEX('إدخال وسجل المنتجات'!$C$5:$C$590,$I148))</f>
        <v/>
      </c>
      <c r="E148" s="11" t="str">
        <f>IF($I148=0,"",INDEX('إدخال وسجل المنتجات'!$D$5:$D$590,$I148))</f>
        <v/>
      </c>
      <c r="F148" s="2" t="str">
        <f>IF($I148=0,"",INDEX('إدخال وسجل المنتجات'!$G$5:$G$590,$I148))</f>
        <v/>
      </c>
      <c r="G148" s="12"/>
      <c r="H148" s="13"/>
      <c r="I148">
        <f>SUMPRODUCT(('إدخال وسجل المنتجات'!$I$5:$I$590="FRZ")*('إدخال وسجل المنتجات'!$M$5:$M$590=145)*(ROW('إدخال وسجل المنتجات'!$I$5:$I$590)-4))</f>
        <v>0</v>
      </c>
      <c r="J148" s="2" t="str">
        <f>IF($I148=0,"",IF($G148="","",$G148*IF(INDEX('إدخال وسجل المنتجات'!$U$5:$U$590,$I148)=0,1,INDEX('إدخال وسجل المنتجات'!$U$5:$U$590,$I148))))</f>
        <v/>
      </c>
    </row>
    <row r="149" spans="1:10" ht="16" x14ac:dyDescent="0.15">
      <c r="A149" s="2" t="str">
        <f>IF($I149=0,"",146)</f>
        <v/>
      </c>
      <c r="B149" s="9" t="str">
        <f>IF($I149=0,"",INDEX('إدخال وسجل المنتجات'!$F$5:$F$590,$I149))</f>
        <v/>
      </c>
      <c r="C149" s="8" t="str">
        <f>IF($I149=0,"",INDEX('إدخال وسجل المنتجات'!$B$5:$B$590,$I149))</f>
        <v/>
      </c>
      <c r="D149" s="10" t="str">
        <f>IF($I149=0,"",INDEX('إدخال وسجل المنتجات'!$C$5:$C$590,$I149))</f>
        <v/>
      </c>
      <c r="E149" s="11" t="str">
        <f>IF($I149=0,"",INDEX('إدخال وسجل المنتجات'!$D$5:$D$590,$I149))</f>
        <v/>
      </c>
      <c r="F149" s="2" t="str">
        <f>IF($I149=0,"",INDEX('إدخال وسجل المنتجات'!$G$5:$G$590,$I149))</f>
        <v/>
      </c>
      <c r="G149" s="12"/>
      <c r="H149" s="13"/>
      <c r="I149">
        <f>SUMPRODUCT(('إدخال وسجل المنتجات'!$I$5:$I$590="FRZ")*('إدخال وسجل المنتجات'!$M$5:$M$590=146)*(ROW('إدخال وسجل المنتجات'!$I$5:$I$590)-4))</f>
        <v>0</v>
      </c>
      <c r="J149" s="2" t="str">
        <f>IF($I149=0,"",IF($G149="","",$G149*IF(INDEX('إدخال وسجل المنتجات'!$U$5:$U$590,$I149)=0,1,INDEX('إدخال وسجل المنتجات'!$U$5:$U$590,$I149))))</f>
        <v/>
      </c>
    </row>
    <row r="150" spans="1:10" ht="16" x14ac:dyDescent="0.15">
      <c r="A150" s="2" t="str">
        <f>IF($I150=0,"",147)</f>
        <v/>
      </c>
      <c r="B150" s="9" t="str">
        <f>IF($I150=0,"",INDEX('إدخال وسجل المنتجات'!$F$5:$F$590,$I150))</f>
        <v/>
      </c>
      <c r="C150" s="8" t="str">
        <f>IF($I150=0,"",INDEX('إدخال وسجل المنتجات'!$B$5:$B$590,$I150))</f>
        <v/>
      </c>
      <c r="D150" s="10" t="str">
        <f>IF($I150=0,"",INDEX('إدخال وسجل المنتجات'!$C$5:$C$590,$I150))</f>
        <v/>
      </c>
      <c r="E150" s="11" t="str">
        <f>IF($I150=0,"",INDEX('إدخال وسجل المنتجات'!$D$5:$D$590,$I150))</f>
        <v/>
      </c>
      <c r="F150" s="2" t="str">
        <f>IF($I150=0,"",INDEX('إدخال وسجل المنتجات'!$G$5:$G$590,$I150))</f>
        <v/>
      </c>
      <c r="G150" s="12"/>
      <c r="H150" s="13"/>
      <c r="I150">
        <f>SUMPRODUCT(('إدخال وسجل المنتجات'!$I$5:$I$590="FRZ")*('إدخال وسجل المنتجات'!$M$5:$M$590=147)*(ROW('إدخال وسجل المنتجات'!$I$5:$I$590)-4))</f>
        <v>0</v>
      </c>
      <c r="J150" s="2" t="str">
        <f>IF($I150=0,"",IF($G150="","",$G150*IF(INDEX('إدخال وسجل المنتجات'!$U$5:$U$590,$I150)=0,1,INDEX('إدخال وسجل المنتجات'!$U$5:$U$590,$I150))))</f>
        <v/>
      </c>
    </row>
    <row r="151" spans="1:10" ht="16" x14ac:dyDescent="0.15">
      <c r="A151" s="2" t="str">
        <f>IF($I151=0,"",148)</f>
        <v/>
      </c>
      <c r="B151" s="9" t="str">
        <f>IF($I151=0,"",INDEX('إدخال وسجل المنتجات'!$F$5:$F$590,$I151))</f>
        <v/>
      </c>
      <c r="C151" s="8" t="str">
        <f>IF($I151=0,"",INDEX('إدخال وسجل المنتجات'!$B$5:$B$590,$I151))</f>
        <v/>
      </c>
      <c r="D151" s="10" t="str">
        <f>IF($I151=0,"",INDEX('إدخال وسجل المنتجات'!$C$5:$C$590,$I151))</f>
        <v/>
      </c>
      <c r="E151" s="11" t="str">
        <f>IF($I151=0,"",INDEX('إدخال وسجل المنتجات'!$D$5:$D$590,$I151))</f>
        <v/>
      </c>
      <c r="F151" s="2" t="str">
        <f>IF($I151=0,"",INDEX('إدخال وسجل المنتجات'!$G$5:$G$590,$I151))</f>
        <v/>
      </c>
      <c r="G151" s="12"/>
      <c r="H151" s="13"/>
      <c r="I151">
        <f>SUMPRODUCT(('إدخال وسجل المنتجات'!$I$5:$I$590="FRZ")*('إدخال وسجل المنتجات'!$M$5:$M$590=148)*(ROW('إدخال وسجل المنتجات'!$I$5:$I$590)-4))</f>
        <v>0</v>
      </c>
      <c r="J151" s="2" t="str">
        <f>IF($I151=0,"",IF($G151="","",$G151*IF(INDEX('إدخال وسجل المنتجات'!$U$5:$U$590,$I151)=0,1,INDEX('إدخال وسجل المنتجات'!$U$5:$U$590,$I151))))</f>
        <v/>
      </c>
    </row>
    <row r="152" spans="1:10" ht="16" x14ac:dyDescent="0.15">
      <c r="A152" s="2" t="str">
        <f>IF($I152=0,"",149)</f>
        <v/>
      </c>
      <c r="B152" s="9" t="str">
        <f>IF($I152=0,"",INDEX('إدخال وسجل المنتجات'!$F$5:$F$590,$I152))</f>
        <v/>
      </c>
      <c r="C152" s="8" t="str">
        <f>IF($I152=0,"",INDEX('إدخال وسجل المنتجات'!$B$5:$B$590,$I152))</f>
        <v/>
      </c>
      <c r="D152" s="10" t="str">
        <f>IF($I152=0,"",INDEX('إدخال وسجل المنتجات'!$C$5:$C$590,$I152))</f>
        <v/>
      </c>
      <c r="E152" s="11" t="str">
        <f>IF($I152=0,"",INDEX('إدخال وسجل المنتجات'!$D$5:$D$590,$I152))</f>
        <v/>
      </c>
      <c r="F152" s="2" t="str">
        <f>IF($I152=0,"",INDEX('إدخال وسجل المنتجات'!$G$5:$G$590,$I152))</f>
        <v/>
      </c>
      <c r="G152" s="12"/>
      <c r="H152" s="13"/>
      <c r="I152">
        <f>SUMPRODUCT(('إدخال وسجل المنتجات'!$I$5:$I$590="FRZ")*('إدخال وسجل المنتجات'!$M$5:$M$590=149)*(ROW('إدخال وسجل المنتجات'!$I$5:$I$590)-4))</f>
        <v>0</v>
      </c>
      <c r="J152" s="2" t="str">
        <f>IF($I152=0,"",IF($G152="","",$G152*IF(INDEX('إدخال وسجل المنتجات'!$U$5:$U$590,$I152)=0,1,INDEX('إدخال وسجل المنتجات'!$U$5:$U$590,$I152))))</f>
        <v/>
      </c>
    </row>
    <row r="153" spans="1:10" ht="16" x14ac:dyDescent="0.15">
      <c r="A153" s="2" t="str">
        <f>IF($I153=0,"",150)</f>
        <v/>
      </c>
      <c r="B153" s="9" t="str">
        <f>IF($I153=0,"",INDEX('إدخال وسجل المنتجات'!$F$5:$F$590,$I153))</f>
        <v/>
      </c>
      <c r="C153" s="8" t="str">
        <f>IF($I153=0,"",INDEX('إدخال وسجل المنتجات'!$B$5:$B$590,$I153))</f>
        <v/>
      </c>
      <c r="D153" s="10" t="str">
        <f>IF($I153=0,"",INDEX('إدخال وسجل المنتجات'!$C$5:$C$590,$I153))</f>
        <v/>
      </c>
      <c r="E153" s="11" t="str">
        <f>IF($I153=0,"",INDEX('إدخال وسجل المنتجات'!$D$5:$D$590,$I153))</f>
        <v/>
      </c>
      <c r="F153" s="2" t="str">
        <f>IF($I153=0,"",INDEX('إدخال وسجل المنتجات'!$G$5:$G$590,$I153))</f>
        <v/>
      </c>
      <c r="G153" s="12"/>
      <c r="H153" s="13"/>
      <c r="I153">
        <f>SUMPRODUCT(('إدخال وسجل المنتجات'!$I$5:$I$590="FRZ")*('إدخال وسجل المنتجات'!$M$5:$M$590=150)*(ROW('إدخال وسجل المنتجات'!$I$5:$I$590)-4))</f>
        <v>0</v>
      </c>
      <c r="J153" s="2" t="str">
        <f>IF($I153=0,"",IF($G153="","",$G153*IF(INDEX('إدخال وسجل المنتجات'!$U$5:$U$590,$I153)=0,1,INDEX('إدخال وسجل المنتجات'!$U$5:$U$590,$I153))))</f>
        <v/>
      </c>
    </row>
    <row r="154" spans="1:10" ht="16" x14ac:dyDescent="0.15">
      <c r="A154" s="2" t="str">
        <f>IF($I154=0,"",151)</f>
        <v/>
      </c>
      <c r="B154" s="9" t="str">
        <f>IF($I154=0,"",INDEX('إدخال وسجل المنتجات'!$F$5:$F$590,$I154))</f>
        <v/>
      </c>
      <c r="C154" s="8" t="str">
        <f>IF($I154=0,"",INDEX('إدخال وسجل المنتجات'!$B$5:$B$590,$I154))</f>
        <v/>
      </c>
      <c r="D154" s="10" t="str">
        <f>IF($I154=0,"",INDEX('إدخال وسجل المنتجات'!$C$5:$C$590,$I154))</f>
        <v/>
      </c>
      <c r="E154" s="11" t="str">
        <f>IF($I154=0,"",INDEX('إدخال وسجل المنتجات'!$D$5:$D$590,$I154))</f>
        <v/>
      </c>
      <c r="F154" s="2" t="str">
        <f>IF($I154=0,"",INDEX('إدخال وسجل المنتجات'!$G$5:$G$590,$I154))</f>
        <v/>
      </c>
      <c r="G154" s="12"/>
      <c r="H154" s="13"/>
      <c r="I154">
        <f>SUMPRODUCT(('إدخال وسجل المنتجات'!$I$5:$I$590="FRZ")*('إدخال وسجل المنتجات'!$M$5:$M$590=151)*(ROW('إدخال وسجل المنتجات'!$I$5:$I$590)-4))</f>
        <v>0</v>
      </c>
      <c r="J154" s="2" t="str">
        <f>IF($I154=0,"",IF($G154="","",$G154*IF(INDEX('إدخال وسجل المنتجات'!$U$5:$U$590,$I154)=0,1,INDEX('إدخال وسجل المنتجات'!$U$5:$U$590,$I154))))</f>
        <v/>
      </c>
    </row>
    <row r="155" spans="1:10" ht="16" x14ac:dyDescent="0.15">
      <c r="A155" s="2" t="str">
        <f>IF($I155=0,"",152)</f>
        <v/>
      </c>
      <c r="B155" s="9" t="str">
        <f>IF($I155=0,"",INDEX('إدخال وسجل المنتجات'!$F$5:$F$590,$I155))</f>
        <v/>
      </c>
      <c r="C155" s="8" t="str">
        <f>IF($I155=0,"",INDEX('إدخال وسجل المنتجات'!$B$5:$B$590,$I155))</f>
        <v/>
      </c>
      <c r="D155" s="10" t="str">
        <f>IF($I155=0,"",INDEX('إدخال وسجل المنتجات'!$C$5:$C$590,$I155))</f>
        <v/>
      </c>
      <c r="E155" s="11" t="str">
        <f>IF($I155=0,"",INDEX('إدخال وسجل المنتجات'!$D$5:$D$590,$I155))</f>
        <v/>
      </c>
      <c r="F155" s="2" t="str">
        <f>IF($I155=0,"",INDEX('إدخال وسجل المنتجات'!$G$5:$G$590,$I155))</f>
        <v/>
      </c>
      <c r="G155" s="12"/>
      <c r="H155" s="13"/>
      <c r="I155">
        <f>SUMPRODUCT(('إدخال وسجل المنتجات'!$I$5:$I$590="FRZ")*('إدخال وسجل المنتجات'!$M$5:$M$590=152)*(ROW('إدخال وسجل المنتجات'!$I$5:$I$590)-4))</f>
        <v>0</v>
      </c>
      <c r="J155" s="2" t="str">
        <f>IF($I155=0,"",IF($G155="","",$G155*IF(INDEX('إدخال وسجل المنتجات'!$U$5:$U$590,$I155)=0,1,INDEX('إدخال وسجل المنتجات'!$U$5:$U$590,$I155))))</f>
        <v/>
      </c>
    </row>
    <row r="156" spans="1:10" ht="16" x14ac:dyDescent="0.15">
      <c r="A156" s="2" t="str">
        <f>IF($I156=0,"",153)</f>
        <v/>
      </c>
      <c r="B156" s="9" t="str">
        <f>IF($I156=0,"",INDEX('إدخال وسجل المنتجات'!$F$5:$F$590,$I156))</f>
        <v/>
      </c>
      <c r="C156" s="8" t="str">
        <f>IF($I156=0,"",INDEX('إدخال وسجل المنتجات'!$B$5:$B$590,$I156))</f>
        <v/>
      </c>
      <c r="D156" s="10" t="str">
        <f>IF($I156=0,"",INDEX('إدخال وسجل المنتجات'!$C$5:$C$590,$I156))</f>
        <v/>
      </c>
      <c r="E156" s="11" t="str">
        <f>IF($I156=0,"",INDEX('إدخال وسجل المنتجات'!$D$5:$D$590,$I156))</f>
        <v/>
      </c>
      <c r="F156" s="2" t="str">
        <f>IF($I156=0,"",INDEX('إدخال وسجل المنتجات'!$G$5:$G$590,$I156))</f>
        <v/>
      </c>
      <c r="G156" s="12"/>
      <c r="H156" s="13"/>
      <c r="I156">
        <f>SUMPRODUCT(('إدخال وسجل المنتجات'!$I$5:$I$590="FRZ")*('إدخال وسجل المنتجات'!$M$5:$M$590=153)*(ROW('إدخال وسجل المنتجات'!$I$5:$I$590)-4))</f>
        <v>0</v>
      </c>
      <c r="J156" s="2" t="str">
        <f>IF($I156=0,"",IF($G156="","",$G156*IF(INDEX('إدخال وسجل المنتجات'!$U$5:$U$590,$I156)=0,1,INDEX('إدخال وسجل المنتجات'!$U$5:$U$590,$I156))))</f>
        <v/>
      </c>
    </row>
    <row r="157" spans="1:10" ht="16" x14ac:dyDescent="0.15">
      <c r="A157" s="2" t="str">
        <f>IF($I157=0,"",154)</f>
        <v/>
      </c>
      <c r="B157" s="9" t="str">
        <f>IF($I157=0,"",INDEX('إدخال وسجل المنتجات'!$F$5:$F$590,$I157))</f>
        <v/>
      </c>
      <c r="C157" s="8" t="str">
        <f>IF($I157=0,"",INDEX('إدخال وسجل المنتجات'!$B$5:$B$590,$I157))</f>
        <v/>
      </c>
      <c r="D157" s="10" t="str">
        <f>IF($I157=0,"",INDEX('إدخال وسجل المنتجات'!$C$5:$C$590,$I157))</f>
        <v/>
      </c>
      <c r="E157" s="11" t="str">
        <f>IF($I157=0,"",INDEX('إدخال وسجل المنتجات'!$D$5:$D$590,$I157))</f>
        <v/>
      </c>
      <c r="F157" s="2" t="str">
        <f>IF($I157=0,"",INDEX('إدخال وسجل المنتجات'!$G$5:$G$590,$I157))</f>
        <v/>
      </c>
      <c r="G157" s="12"/>
      <c r="H157" s="13"/>
      <c r="I157">
        <f>SUMPRODUCT(('إدخال وسجل المنتجات'!$I$5:$I$590="FRZ")*('إدخال وسجل المنتجات'!$M$5:$M$590=154)*(ROW('إدخال وسجل المنتجات'!$I$5:$I$590)-4))</f>
        <v>0</v>
      </c>
      <c r="J157" s="2" t="str">
        <f>IF($I157=0,"",IF($G157="","",$G157*IF(INDEX('إدخال وسجل المنتجات'!$U$5:$U$590,$I157)=0,1,INDEX('إدخال وسجل المنتجات'!$U$5:$U$590,$I157))))</f>
        <v/>
      </c>
    </row>
    <row r="158" spans="1:10" ht="16" x14ac:dyDescent="0.15">
      <c r="A158" s="2" t="str">
        <f>IF($I158=0,"",155)</f>
        <v/>
      </c>
      <c r="B158" s="9" t="str">
        <f>IF($I158=0,"",INDEX('إدخال وسجل المنتجات'!$F$5:$F$590,$I158))</f>
        <v/>
      </c>
      <c r="C158" s="8" t="str">
        <f>IF($I158=0,"",INDEX('إدخال وسجل المنتجات'!$B$5:$B$590,$I158))</f>
        <v/>
      </c>
      <c r="D158" s="10" t="str">
        <f>IF($I158=0,"",INDEX('إدخال وسجل المنتجات'!$C$5:$C$590,$I158))</f>
        <v/>
      </c>
      <c r="E158" s="11" t="str">
        <f>IF($I158=0,"",INDEX('إدخال وسجل المنتجات'!$D$5:$D$590,$I158))</f>
        <v/>
      </c>
      <c r="F158" s="2" t="str">
        <f>IF($I158=0,"",INDEX('إدخال وسجل المنتجات'!$G$5:$G$590,$I158))</f>
        <v/>
      </c>
      <c r="G158" s="12"/>
      <c r="H158" s="13"/>
      <c r="I158">
        <f>SUMPRODUCT(('إدخال وسجل المنتجات'!$I$5:$I$590="FRZ")*('إدخال وسجل المنتجات'!$M$5:$M$590=155)*(ROW('إدخال وسجل المنتجات'!$I$5:$I$590)-4))</f>
        <v>0</v>
      </c>
      <c r="J158" s="2" t="str">
        <f>IF($I158=0,"",IF($G158="","",$G158*IF(INDEX('إدخال وسجل المنتجات'!$U$5:$U$590,$I158)=0,1,INDEX('إدخال وسجل المنتجات'!$U$5:$U$590,$I158))))</f>
        <v/>
      </c>
    </row>
    <row r="159" spans="1:10" ht="16" x14ac:dyDescent="0.15">
      <c r="A159" s="2" t="str">
        <f>IF($I159=0,"",156)</f>
        <v/>
      </c>
      <c r="B159" s="9" t="str">
        <f>IF($I159=0,"",INDEX('إدخال وسجل المنتجات'!$F$5:$F$590,$I159))</f>
        <v/>
      </c>
      <c r="C159" s="8" t="str">
        <f>IF($I159=0,"",INDEX('إدخال وسجل المنتجات'!$B$5:$B$590,$I159))</f>
        <v/>
      </c>
      <c r="D159" s="10" t="str">
        <f>IF($I159=0,"",INDEX('إدخال وسجل المنتجات'!$C$5:$C$590,$I159))</f>
        <v/>
      </c>
      <c r="E159" s="11" t="str">
        <f>IF($I159=0,"",INDEX('إدخال وسجل المنتجات'!$D$5:$D$590,$I159))</f>
        <v/>
      </c>
      <c r="F159" s="2" t="str">
        <f>IF($I159=0,"",INDEX('إدخال وسجل المنتجات'!$G$5:$G$590,$I159))</f>
        <v/>
      </c>
      <c r="G159" s="12"/>
      <c r="H159" s="13"/>
      <c r="I159">
        <f>SUMPRODUCT(('إدخال وسجل المنتجات'!$I$5:$I$590="FRZ")*('إدخال وسجل المنتجات'!$M$5:$M$590=156)*(ROW('إدخال وسجل المنتجات'!$I$5:$I$590)-4))</f>
        <v>0</v>
      </c>
      <c r="J159" s="2" t="str">
        <f>IF($I159=0,"",IF($G159="","",$G159*IF(INDEX('إدخال وسجل المنتجات'!$U$5:$U$590,$I159)=0,1,INDEX('إدخال وسجل المنتجات'!$U$5:$U$590,$I159))))</f>
        <v/>
      </c>
    </row>
    <row r="160" spans="1:10" ht="16" x14ac:dyDescent="0.15">
      <c r="A160" s="2" t="str">
        <f>IF($I160=0,"",157)</f>
        <v/>
      </c>
      <c r="B160" s="9" t="str">
        <f>IF($I160=0,"",INDEX('إدخال وسجل المنتجات'!$F$5:$F$590,$I160))</f>
        <v/>
      </c>
      <c r="C160" s="8" t="str">
        <f>IF($I160=0,"",INDEX('إدخال وسجل المنتجات'!$B$5:$B$590,$I160))</f>
        <v/>
      </c>
      <c r="D160" s="10" t="str">
        <f>IF($I160=0,"",INDEX('إدخال وسجل المنتجات'!$C$5:$C$590,$I160))</f>
        <v/>
      </c>
      <c r="E160" s="11" t="str">
        <f>IF($I160=0,"",INDEX('إدخال وسجل المنتجات'!$D$5:$D$590,$I160))</f>
        <v/>
      </c>
      <c r="F160" s="2" t="str">
        <f>IF($I160=0,"",INDEX('إدخال وسجل المنتجات'!$G$5:$G$590,$I160))</f>
        <v/>
      </c>
      <c r="G160" s="12"/>
      <c r="H160" s="13"/>
      <c r="I160">
        <f>SUMPRODUCT(('إدخال وسجل المنتجات'!$I$5:$I$590="FRZ")*('إدخال وسجل المنتجات'!$M$5:$M$590=157)*(ROW('إدخال وسجل المنتجات'!$I$5:$I$590)-4))</f>
        <v>0</v>
      </c>
      <c r="J160" s="2" t="str">
        <f>IF($I160=0,"",IF($G160="","",$G160*IF(INDEX('إدخال وسجل المنتجات'!$U$5:$U$590,$I160)=0,1,INDEX('إدخال وسجل المنتجات'!$U$5:$U$590,$I160))))</f>
        <v/>
      </c>
    </row>
    <row r="161" spans="1:10" ht="16" x14ac:dyDescent="0.15">
      <c r="A161" s="2" t="str">
        <f>IF($I161=0,"",158)</f>
        <v/>
      </c>
      <c r="B161" s="9" t="str">
        <f>IF($I161=0,"",INDEX('إدخال وسجل المنتجات'!$F$5:$F$590,$I161))</f>
        <v/>
      </c>
      <c r="C161" s="8" t="str">
        <f>IF($I161=0,"",INDEX('إدخال وسجل المنتجات'!$B$5:$B$590,$I161))</f>
        <v/>
      </c>
      <c r="D161" s="10" t="str">
        <f>IF($I161=0,"",INDEX('إدخال وسجل المنتجات'!$C$5:$C$590,$I161))</f>
        <v/>
      </c>
      <c r="E161" s="11" t="str">
        <f>IF($I161=0,"",INDEX('إدخال وسجل المنتجات'!$D$5:$D$590,$I161))</f>
        <v/>
      </c>
      <c r="F161" s="2" t="str">
        <f>IF($I161=0,"",INDEX('إدخال وسجل المنتجات'!$G$5:$G$590,$I161))</f>
        <v/>
      </c>
      <c r="G161" s="12"/>
      <c r="H161" s="13"/>
      <c r="I161">
        <f>SUMPRODUCT(('إدخال وسجل المنتجات'!$I$5:$I$590="FRZ")*('إدخال وسجل المنتجات'!$M$5:$M$590=158)*(ROW('إدخال وسجل المنتجات'!$I$5:$I$590)-4))</f>
        <v>0</v>
      </c>
      <c r="J161" s="2" t="str">
        <f>IF($I161=0,"",IF($G161="","",$G161*IF(INDEX('إدخال وسجل المنتجات'!$U$5:$U$590,$I161)=0,1,INDEX('إدخال وسجل المنتجات'!$U$5:$U$590,$I161))))</f>
        <v/>
      </c>
    </row>
    <row r="162" spans="1:10" ht="16" x14ac:dyDescent="0.15">
      <c r="A162" s="2" t="str">
        <f>IF($I162=0,"",159)</f>
        <v/>
      </c>
      <c r="B162" s="9" t="str">
        <f>IF($I162=0,"",INDEX('إدخال وسجل المنتجات'!$F$5:$F$590,$I162))</f>
        <v/>
      </c>
      <c r="C162" s="8" t="str">
        <f>IF($I162=0,"",INDEX('إدخال وسجل المنتجات'!$B$5:$B$590,$I162))</f>
        <v/>
      </c>
      <c r="D162" s="10" t="str">
        <f>IF($I162=0,"",INDEX('إدخال وسجل المنتجات'!$C$5:$C$590,$I162))</f>
        <v/>
      </c>
      <c r="E162" s="11" t="str">
        <f>IF($I162=0,"",INDEX('إدخال وسجل المنتجات'!$D$5:$D$590,$I162))</f>
        <v/>
      </c>
      <c r="F162" s="2" t="str">
        <f>IF($I162=0,"",INDEX('إدخال وسجل المنتجات'!$G$5:$G$590,$I162))</f>
        <v/>
      </c>
      <c r="G162" s="12"/>
      <c r="H162" s="13"/>
      <c r="I162">
        <f>SUMPRODUCT(('إدخال وسجل المنتجات'!$I$5:$I$590="FRZ")*('إدخال وسجل المنتجات'!$M$5:$M$590=159)*(ROW('إدخال وسجل المنتجات'!$I$5:$I$590)-4))</f>
        <v>0</v>
      </c>
      <c r="J162" s="2" t="str">
        <f>IF($I162=0,"",IF($G162="","",$G162*IF(INDEX('إدخال وسجل المنتجات'!$U$5:$U$590,$I162)=0,1,INDEX('إدخال وسجل المنتجات'!$U$5:$U$590,$I162))))</f>
        <v/>
      </c>
    </row>
    <row r="163" spans="1:10" ht="16" x14ac:dyDescent="0.15">
      <c r="A163" s="2" t="str">
        <f>IF($I163=0,"",160)</f>
        <v/>
      </c>
      <c r="B163" s="9" t="str">
        <f>IF($I163=0,"",INDEX('إدخال وسجل المنتجات'!$F$5:$F$590,$I163))</f>
        <v/>
      </c>
      <c r="C163" s="8" t="str">
        <f>IF($I163=0,"",INDEX('إدخال وسجل المنتجات'!$B$5:$B$590,$I163))</f>
        <v/>
      </c>
      <c r="D163" s="10" t="str">
        <f>IF($I163=0,"",INDEX('إدخال وسجل المنتجات'!$C$5:$C$590,$I163))</f>
        <v/>
      </c>
      <c r="E163" s="11" t="str">
        <f>IF($I163=0,"",INDEX('إدخال وسجل المنتجات'!$D$5:$D$590,$I163))</f>
        <v/>
      </c>
      <c r="F163" s="2" t="str">
        <f>IF($I163=0,"",INDEX('إدخال وسجل المنتجات'!$G$5:$G$590,$I163))</f>
        <v/>
      </c>
      <c r="G163" s="12"/>
      <c r="H163" s="13"/>
      <c r="I163">
        <f>SUMPRODUCT(('إدخال وسجل المنتجات'!$I$5:$I$590="FRZ")*('إدخال وسجل المنتجات'!$M$5:$M$590=160)*(ROW('إدخال وسجل المنتجات'!$I$5:$I$590)-4))</f>
        <v>0</v>
      </c>
      <c r="J163" s="2" t="str">
        <f>IF($I163=0,"",IF($G163="","",$G163*IF(INDEX('إدخال وسجل المنتجات'!$U$5:$U$590,$I163)=0,1,INDEX('إدخال وسجل المنتجات'!$U$5:$U$590,$I163))))</f>
        <v/>
      </c>
    </row>
    <row r="164" spans="1:10" ht="16" x14ac:dyDescent="0.15">
      <c r="A164" s="2" t="str">
        <f>IF($I164=0,"",161)</f>
        <v/>
      </c>
      <c r="B164" s="9" t="str">
        <f>IF($I164=0,"",INDEX('إدخال وسجل المنتجات'!$F$5:$F$590,$I164))</f>
        <v/>
      </c>
      <c r="C164" s="8" t="str">
        <f>IF($I164=0,"",INDEX('إدخال وسجل المنتجات'!$B$5:$B$590,$I164))</f>
        <v/>
      </c>
      <c r="D164" s="10" t="str">
        <f>IF($I164=0,"",INDEX('إدخال وسجل المنتجات'!$C$5:$C$590,$I164))</f>
        <v/>
      </c>
      <c r="E164" s="11" t="str">
        <f>IF($I164=0,"",INDEX('إدخال وسجل المنتجات'!$D$5:$D$590,$I164))</f>
        <v/>
      </c>
      <c r="F164" s="2" t="str">
        <f>IF($I164=0,"",INDEX('إدخال وسجل المنتجات'!$G$5:$G$590,$I164))</f>
        <v/>
      </c>
      <c r="G164" s="12"/>
      <c r="H164" s="13"/>
      <c r="I164">
        <f>SUMPRODUCT(('إدخال وسجل المنتجات'!$I$5:$I$590="FRZ")*('إدخال وسجل المنتجات'!$M$5:$M$590=161)*(ROW('إدخال وسجل المنتجات'!$I$5:$I$590)-4))</f>
        <v>0</v>
      </c>
      <c r="J164" s="2" t="str">
        <f>IF($I164=0,"",IF($G164="","",$G164*IF(INDEX('إدخال وسجل المنتجات'!$U$5:$U$590,$I164)=0,1,INDEX('إدخال وسجل المنتجات'!$U$5:$U$590,$I164))))</f>
        <v/>
      </c>
    </row>
    <row r="165" spans="1:10" ht="16" x14ac:dyDescent="0.15">
      <c r="A165" s="2" t="str">
        <f>IF($I165=0,"",162)</f>
        <v/>
      </c>
      <c r="B165" s="9" t="str">
        <f>IF($I165=0,"",INDEX('إدخال وسجل المنتجات'!$F$5:$F$590,$I165))</f>
        <v/>
      </c>
      <c r="C165" s="8" t="str">
        <f>IF($I165=0,"",INDEX('إدخال وسجل المنتجات'!$B$5:$B$590,$I165))</f>
        <v/>
      </c>
      <c r="D165" s="10" t="str">
        <f>IF($I165=0,"",INDEX('إدخال وسجل المنتجات'!$C$5:$C$590,$I165))</f>
        <v/>
      </c>
      <c r="E165" s="11" t="str">
        <f>IF($I165=0,"",INDEX('إدخال وسجل المنتجات'!$D$5:$D$590,$I165))</f>
        <v/>
      </c>
      <c r="F165" s="2" t="str">
        <f>IF($I165=0,"",INDEX('إدخال وسجل المنتجات'!$G$5:$G$590,$I165))</f>
        <v/>
      </c>
      <c r="G165" s="12"/>
      <c r="H165" s="13"/>
      <c r="I165">
        <f>SUMPRODUCT(('إدخال وسجل المنتجات'!$I$5:$I$590="FRZ")*('إدخال وسجل المنتجات'!$M$5:$M$590=162)*(ROW('إدخال وسجل المنتجات'!$I$5:$I$590)-4))</f>
        <v>0</v>
      </c>
      <c r="J165" s="2" t="str">
        <f>IF($I165=0,"",IF($G165="","",$G165*IF(INDEX('إدخال وسجل المنتجات'!$U$5:$U$590,$I165)=0,1,INDEX('إدخال وسجل المنتجات'!$U$5:$U$590,$I165))))</f>
        <v/>
      </c>
    </row>
    <row r="166" spans="1:10" ht="16" x14ac:dyDescent="0.15">
      <c r="A166" s="2" t="str">
        <f>IF($I166=0,"",163)</f>
        <v/>
      </c>
      <c r="B166" s="9" t="str">
        <f>IF($I166=0,"",INDEX('إدخال وسجل المنتجات'!$F$5:$F$590,$I166))</f>
        <v/>
      </c>
      <c r="C166" s="8" t="str">
        <f>IF($I166=0,"",INDEX('إدخال وسجل المنتجات'!$B$5:$B$590,$I166))</f>
        <v/>
      </c>
      <c r="D166" s="10" t="str">
        <f>IF($I166=0,"",INDEX('إدخال وسجل المنتجات'!$C$5:$C$590,$I166))</f>
        <v/>
      </c>
      <c r="E166" s="11" t="str">
        <f>IF($I166=0,"",INDEX('إدخال وسجل المنتجات'!$D$5:$D$590,$I166))</f>
        <v/>
      </c>
      <c r="F166" s="2" t="str">
        <f>IF($I166=0,"",INDEX('إدخال وسجل المنتجات'!$G$5:$G$590,$I166))</f>
        <v/>
      </c>
      <c r="G166" s="12"/>
      <c r="H166" s="13"/>
      <c r="I166">
        <f>SUMPRODUCT(('إدخال وسجل المنتجات'!$I$5:$I$590="FRZ")*('إدخال وسجل المنتجات'!$M$5:$M$590=163)*(ROW('إدخال وسجل المنتجات'!$I$5:$I$590)-4))</f>
        <v>0</v>
      </c>
      <c r="J166" s="2" t="str">
        <f>IF($I166=0,"",IF($G166="","",$G166*IF(INDEX('إدخال وسجل المنتجات'!$U$5:$U$590,$I166)=0,1,INDEX('إدخال وسجل المنتجات'!$U$5:$U$590,$I166))))</f>
        <v/>
      </c>
    </row>
    <row r="167" spans="1:10" ht="16" x14ac:dyDescent="0.15">
      <c r="A167" s="2" t="str">
        <f>IF($I167=0,"",164)</f>
        <v/>
      </c>
      <c r="B167" s="9" t="str">
        <f>IF($I167=0,"",INDEX('إدخال وسجل المنتجات'!$F$5:$F$590,$I167))</f>
        <v/>
      </c>
      <c r="C167" s="8" t="str">
        <f>IF($I167=0,"",INDEX('إدخال وسجل المنتجات'!$B$5:$B$590,$I167))</f>
        <v/>
      </c>
      <c r="D167" s="10" t="str">
        <f>IF($I167=0,"",INDEX('إدخال وسجل المنتجات'!$C$5:$C$590,$I167))</f>
        <v/>
      </c>
      <c r="E167" s="11" t="str">
        <f>IF($I167=0,"",INDEX('إدخال وسجل المنتجات'!$D$5:$D$590,$I167))</f>
        <v/>
      </c>
      <c r="F167" s="2" t="str">
        <f>IF($I167=0,"",INDEX('إدخال وسجل المنتجات'!$G$5:$G$590,$I167))</f>
        <v/>
      </c>
      <c r="G167" s="12"/>
      <c r="H167" s="13"/>
      <c r="I167">
        <f>SUMPRODUCT(('إدخال وسجل المنتجات'!$I$5:$I$590="FRZ")*('إدخال وسجل المنتجات'!$M$5:$M$590=164)*(ROW('إدخال وسجل المنتجات'!$I$5:$I$590)-4))</f>
        <v>0</v>
      </c>
      <c r="J167" s="2" t="str">
        <f>IF($I167=0,"",IF($G167="","",$G167*IF(INDEX('إدخال وسجل المنتجات'!$U$5:$U$590,$I167)=0,1,INDEX('إدخال وسجل المنتجات'!$U$5:$U$590,$I167))))</f>
        <v/>
      </c>
    </row>
    <row r="168" spans="1:10" ht="16" x14ac:dyDescent="0.15">
      <c r="A168" s="2" t="str">
        <f>IF($I168=0,"",165)</f>
        <v/>
      </c>
      <c r="B168" s="9" t="str">
        <f>IF($I168=0,"",INDEX('إدخال وسجل المنتجات'!$F$5:$F$590,$I168))</f>
        <v/>
      </c>
      <c r="C168" s="8" t="str">
        <f>IF($I168=0,"",INDEX('إدخال وسجل المنتجات'!$B$5:$B$590,$I168))</f>
        <v/>
      </c>
      <c r="D168" s="10" t="str">
        <f>IF($I168=0,"",INDEX('إدخال وسجل المنتجات'!$C$5:$C$590,$I168))</f>
        <v/>
      </c>
      <c r="E168" s="11" t="str">
        <f>IF($I168=0,"",INDEX('إدخال وسجل المنتجات'!$D$5:$D$590,$I168))</f>
        <v/>
      </c>
      <c r="F168" s="2" t="str">
        <f>IF($I168=0,"",INDEX('إدخال وسجل المنتجات'!$G$5:$G$590,$I168))</f>
        <v/>
      </c>
      <c r="G168" s="12"/>
      <c r="H168" s="13"/>
      <c r="I168">
        <f>SUMPRODUCT(('إدخال وسجل المنتجات'!$I$5:$I$590="FRZ")*('إدخال وسجل المنتجات'!$M$5:$M$590=165)*(ROW('إدخال وسجل المنتجات'!$I$5:$I$590)-4))</f>
        <v>0</v>
      </c>
      <c r="J168" s="2" t="str">
        <f>IF($I168=0,"",IF($G168="","",$G168*IF(INDEX('إدخال وسجل المنتجات'!$U$5:$U$590,$I168)=0,1,INDEX('إدخال وسجل المنتجات'!$U$5:$U$590,$I168))))</f>
        <v/>
      </c>
    </row>
    <row r="169" spans="1:10" ht="16" x14ac:dyDescent="0.15">
      <c r="A169" s="2" t="str">
        <f>IF($I169=0,"",166)</f>
        <v/>
      </c>
      <c r="B169" s="9" t="str">
        <f>IF($I169=0,"",INDEX('إدخال وسجل المنتجات'!$F$5:$F$590,$I169))</f>
        <v/>
      </c>
      <c r="C169" s="8" t="str">
        <f>IF($I169=0,"",INDEX('إدخال وسجل المنتجات'!$B$5:$B$590,$I169))</f>
        <v/>
      </c>
      <c r="D169" s="10" t="str">
        <f>IF($I169=0,"",INDEX('إدخال وسجل المنتجات'!$C$5:$C$590,$I169))</f>
        <v/>
      </c>
      <c r="E169" s="11" t="str">
        <f>IF($I169=0,"",INDEX('إدخال وسجل المنتجات'!$D$5:$D$590,$I169))</f>
        <v/>
      </c>
      <c r="F169" s="2" t="str">
        <f>IF($I169=0,"",INDEX('إدخال وسجل المنتجات'!$G$5:$G$590,$I169))</f>
        <v/>
      </c>
      <c r="G169" s="12"/>
      <c r="H169" s="13"/>
      <c r="I169">
        <f>SUMPRODUCT(('إدخال وسجل المنتجات'!$I$5:$I$590="FRZ")*('إدخال وسجل المنتجات'!$M$5:$M$590=166)*(ROW('إدخال وسجل المنتجات'!$I$5:$I$590)-4))</f>
        <v>0</v>
      </c>
      <c r="J169" s="2" t="str">
        <f>IF($I169=0,"",IF($G169="","",$G169*IF(INDEX('إدخال وسجل المنتجات'!$U$5:$U$590,$I169)=0,1,INDEX('إدخال وسجل المنتجات'!$U$5:$U$590,$I169))))</f>
        <v/>
      </c>
    </row>
    <row r="170" spans="1:10" ht="16" x14ac:dyDescent="0.15">
      <c r="A170" s="2" t="str">
        <f>IF($I170=0,"",167)</f>
        <v/>
      </c>
      <c r="B170" s="9" t="str">
        <f>IF($I170=0,"",INDEX('إدخال وسجل المنتجات'!$F$5:$F$590,$I170))</f>
        <v/>
      </c>
      <c r="C170" s="8" t="str">
        <f>IF($I170=0,"",INDEX('إدخال وسجل المنتجات'!$B$5:$B$590,$I170))</f>
        <v/>
      </c>
      <c r="D170" s="10" t="str">
        <f>IF($I170=0,"",INDEX('إدخال وسجل المنتجات'!$C$5:$C$590,$I170))</f>
        <v/>
      </c>
      <c r="E170" s="11" t="str">
        <f>IF($I170=0,"",INDEX('إدخال وسجل المنتجات'!$D$5:$D$590,$I170))</f>
        <v/>
      </c>
      <c r="F170" s="2" t="str">
        <f>IF($I170=0,"",INDEX('إدخال وسجل المنتجات'!$G$5:$G$590,$I170))</f>
        <v/>
      </c>
      <c r="G170" s="12"/>
      <c r="H170" s="13"/>
      <c r="I170">
        <f>SUMPRODUCT(('إدخال وسجل المنتجات'!$I$5:$I$590="FRZ")*('إدخال وسجل المنتجات'!$M$5:$M$590=167)*(ROW('إدخال وسجل المنتجات'!$I$5:$I$590)-4))</f>
        <v>0</v>
      </c>
      <c r="J170" s="2" t="str">
        <f>IF($I170=0,"",IF($G170="","",$G170*IF(INDEX('إدخال وسجل المنتجات'!$U$5:$U$590,$I170)=0,1,INDEX('إدخال وسجل المنتجات'!$U$5:$U$590,$I170))))</f>
        <v/>
      </c>
    </row>
    <row r="171" spans="1:10" ht="16" x14ac:dyDescent="0.15">
      <c r="A171" s="2" t="str">
        <f>IF($I171=0,"",168)</f>
        <v/>
      </c>
      <c r="B171" s="9" t="str">
        <f>IF($I171=0,"",INDEX('إدخال وسجل المنتجات'!$F$5:$F$590,$I171))</f>
        <v/>
      </c>
      <c r="C171" s="8" t="str">
        <f>IF($I171=0,"",INDEX('إدخال وسجل المنتجات'!$B$5:$B$590,$I171))</f>
        <v/>
      </c>
      <c r="D171" s="10" t="str">
        <f>IF($I171=0,"",INDEX('إدخال وسجل المنتجات'!$C$5:$C$590,$I171))</f>
        <v/>
      </c>
      <c r="E171" s="11" t="str">
        <f>IF($I171=0,"",INDEX('إدخال وسجل المنتجات'!$D$5:$D$590,$I171))</f>
        <v/>
      </c>
      <c r="F171" s="2" t="str">
        <f>IF($I171=0,"",INDEX('إدخال وسجل المنتجات'!$G$5:$G$590,$I171))</f>
        <v/>
      </c>
      <c r="G171" s="12"/>
      <c r="H171" s="13"/>
      <c r="I171">
        <f>SUMPRODUCT(('إدخال وسجل المنتجات'!$I$5:$I$590="FRZ")*('إدخال وسجل المنتجات'!$M$5:$M$590=168)*(ROW('إدخال وسجل المنتجات'!$I$5:$I$590)-4))</f>
        <v>0</v>
      </c>
      <c r="J171" s="2" t="str">
        <f>IF($I171=0,"",IF($G171="","",$G171*IF(INDEX('إدخال وسجل المنتجات'!$U$5:$U$590,$I171)=0,1,INDEX('إدخال وسجل المنتجات'!$U$5:$U$590,$I171))))</f>
        <v/>
      </c>
    </row>
    <row r="172" spans="1:10" ht="16" x14ac:dyDescent="0.15">
      <c r="A172" s="2" t="str">
        <f>IF($I172=0,"",169)</f>
        <v/>
      </c>
      <c r="B172" s="9" t="str">
        <f>IF($I172=0,"",INDEX('إدخال وسجل المنتجات'!$F$5:$F$590,$I172))</f>
        <v/>
      </c>
      <c r="C172" s="8" t="str">
        <f>IF($I172=0,"",INDEX('إدخال وسجل المنتجات'!$B$5:$B$590,$I172))</f>
        <v/>
      </c>
      <c r="D172" s="10" t="str">
        <f>IF($I172=0,"",INDEX('إدخال وسجل المنتجات'!$C$5:$C$590,$I172))</f>
        <v/>
      </c>
      <c r="E172" s="11" t="str">
        <f>IF($I172=0,"",INDEX('إدخال وسجل المنتجات'!$D$5:$D$590,$I172))</f>
        <v/>
      </c>
      <c r="F172" s="2" t="str">
        <f>IF($I172=0,"",INDEX('إدخال وسجل المنتجات'!$G$5:$G$590,$I172))</f>
        <v/>
      </c>
      <c r="G172" s="12"/>
      <c r="H172" s="13"/>
      <c r="I172">
        <f>SUMPRODUCT(('إدخال وسجل المنتجات'!$I$5:$I$590="FRZ")*('إدخال وسجل المنتجات'!$M$5:$M$590=169)*(ROW('إدخال وسجل المنتجات'!$I$5:$I$590)-4))</f>
        <v>0</v>
      </c>
      <c r="J172" s="2" t="str">
        <f>IF($I172=0,"",IF($G172="","",$G172*IF(INDEX('إدخال وسجل المنتجات'!$U$5:$U$590,$I172)=0,1,INDEX('إدخال وسجل المنتجات'!$U$5:$U$590,$I172))))</f>
        <v/>
      </c>
    </row>
    <row r="173" spans="1:10" ht="16" x14ac:dyDescent="0.15">
      <c r="A173" s="2" t="str">
        <f>IF($I173=0,"",170)</f>
        <v/>
      </c>
      <c r="B173" s="9" t="str">
        <f>IF($I173=0,"",INDEX('إدخال وسجل المنتجات'!$F$5:$F$590,$I173))</f>
        <v/>
      </c>
      <c r="C173" s="8" t="str">
        <f>IF($I173=0,"",INDEX('إدخال وسجل المنتجات'!$B$5:$B$590,$I173))</f>
        <v/>
      </c>
      <c r="D173" s="10" t="str">
        <f>IF($I173=0,"",INDEX('إدخال وسجل المنتجات'!$C$5:$C$590,$I173))</f>
        <v/>
      </c>
      <c r="E173" s="11" t="str">
        <f>IF($I173=0,"",INDEX('إدخال وسجل المنتجات'!$D$5:$D$590,$I173))</f>
        <v/>
      </c>
      <c r="F173" s="2" t="str">
        <f>IF($I173=0,"",INDEX('إدخال وسجل المنتجات'!$G$5:$G$590,$I173))</f>
        <v/>
      </c>
      <c r="G173" s="12"/>
      <c r="H173" s="13"/>
      <c r="I173">
        <f>SUMPRODUCT(('إدخال وسجل المنتجات'!$I$5:$I$590="FRZ")*('إدخال وسجل المنتجات'!$M$5:$M$590=170)*(ROW('إدخال وسجل المنتجات'!$I$5:$I$590)-4))</f>
        <v>0</v>
      </c>
      <c r="J173" s="2" t="str">
        <f>IF($I173=0,"",IF($G173="","",$G173*IF(INDEX('إدخال وسجل المنتجات'!$U$5:$U$590,$I173)=0,1,INDEX('إدخال وسجل المنتجات'!$U$5:$U$590,$I173))))</f>
        <v/>
      </c>
    </row>
    <row r="174" spans="1:10" ht="16" x14ac:dyDescent="0.15">
      <c r="A174" s="2" t="str">
        <f>IF($I174=0,"",171)</f>
        <v/>
      </c>
      <c r="B174" s="9" t="str">
        <f>IF($I174=0,"",INDEX('إدخال وسجل المنتجات'!$F$5:$F$590,$I174))</f>
        <v/>
      </c>
      <c r="C174" s="8" t="str">
        <f>IF($I174=0,"",INDEX('إدخال وسجل المنتجات'!$B$5:$B$590,$I174))</f>
        <v/>
      </c>
      <c r="D174" s="10" t="str">
        <f>IF($I174=0,"",INDEX('إدخال وسجل المنتجات'!$C$5:$C$590,$I174))</f>
        <v/>
      </c>
      <c r="E174" s="11" t="str">
        <f>IF($I174=0,"",INDEX('إدخال وسجل المنتجات'!$D$5:$D$590,$I174))</f>
        <v/>
      </c>
      <c r="F174" s="2" t="str">
        <f>IF($I174=0,"",INDEX('إدخال وسجل المنتجات'!$G$5:$G$590,$I174))</f>
        <v/>
      </c>
      <c r="G174" s="12"/>
      <c r="H174" s="13"/>
      <c r="I174">
        <f>SUMPRODUCT(('إدخال وسجل المنتجات'!$I$5:$I$590="FRZ")*('إدخال وسجل المنتجات'!$M$5:$M$590=171)*(ROW('إدخال وسجل المنتجات'!$I$5:$I$590)-4))</f>
        <v>0</v>
      </c>
      <c r="J174" s="2" t="str">
        <f>IF($I174=0,"",IF($G174="","",$G174*IF(INDEX('إدخال وسجل المنتجات'!$U$5:$U$590,$I174)=0,1,INDEX('إدخال وسجل المنتجات'!$U$5:$U$590,$I174))))</f>
        <v/>
      </c>
    </row>
    <row r="175" spans="1:10" ht="16" x14ac:dyDescent="0.15">
      <c r="A175" s="2" t="str">
        <f>IF($I175=0,"",172)</f>
        <v/>
      </c>
      <c r="B175" s="9" t="str">
        <f>IF($I175=0,"",INDEX('إدخال وسجل المنتجات'!$F$5:$F$590,$I175))</f>
        <v/>
      </c>
      <c r="C175" s="8" t="str">
        <f>IF($I175=0,"",INDEX('إدخال وسجل المنتجات'!$B$5:$B$590,$I175))</f>
        <v/>
      </c>
      <c r="D175" s="10" t="str">
        <f>IF($I175=0,"",INDEX('إدخال وسجل المنتجات'!$C$5:$C$590,$I175))</f>
        <v/>
      </c>
      <c r="E175" s="11" t="str">
        <f>IF($I175=0,"",INDEX('إدخال وسجل المنتجات'!$D$5:$D$590,$I175))</f>
        <v/>
      </c>
      <c r="F175" s="2" t="str">
        <f>IF($I175=0,"",INDEX('إدخال وسجل المنتجات'!$G$5:$G$590,$I175))</f>
        <v/>
      </c>
      <c r="G175" s="12"/>
      <c r="H175" s="13"/>
      <c r="I175">
        <f>SUMPRODUCT(('إدخال وسجل المنتجات'!$I$5:$I$590="FRZ")*('إدخال وسجل المنتجات'!$M$5:$M$590=172)*(ROW('إدخال وسجل المنتجات'!$I$5:$I$590)-4))</f>
        <v>0</v>
      </c>
      <c r="J175" s="2" t="str">
        <f>IF($I175=0,"",IF($G175="","",$G175*IF(INDEX('إدخال وسجل المنتجات'!$U$5:$U$590,$I175)=0,1,INDEX('إدخال وسجل المنتجات'!$U$5:$U$590,$I175))))</f>
        <v/>
      </c>
    </row>
    <row r="176" spans="1:10" ht="16" x14ac:dyDescent="0.15">
      <c r="A176" s="2" t="str">
        <f>IF($I176=0,"",173)</f>
        <v/>
      </c>
      <c r="B176" s="9" t="str">
        <f>IF($I176=0,"",INDEX('إدخال وسجل المنتجات'!$F$5:$F$590,$I176))</f>
        <v/>
      </c>
      <c r="C176" s="8" t="str">
        <f>IF($I176=0,"",INDEX('إدخال وسجل المنتجات'!$B$5:$B$590,$I176))</f>
        <v/>
      </c>
      <c r="D176" s="10" t="str">
        <f>IF($I176=0,"",INDEX('إدخال وسجل المنتجات'!$C$5:$C$590,$I176))</f>
        <v/>
      </c>
      <c r="E176" s="11" t="str">
        <f>IF($I176=0,"",INDEX('إدخال وسجل المنتجات'!$D$5:$D$590,$I176))</f>
        <v/>
      </c>
      <c r="F176" s="2" t="str">
        <f>IF($I176=0,"",INDEX('إدخال وسجل المنتجات'!$G$5:$G$590,$I176))</f>
        <v/>
      </c>
      <c r="G176" s="12"/>
      <c r="H176" s="13"/>
      <c r="I176">
        <f>SUMPRODUCT(('إدخال وسجل المنتجات'!$I$5:$I$590="FRZ")*('إدخال وسجل المنتجات'!$M$5:$M$590=173)*(ROW('إدخال وسجل المنتجات'!$I$5:$I$590)-4))</f>
        <v>0</v>
      </c>
      <c r="J176" s="2" t="str">
        <f>IF($I176=0,"",IF($G176="","",$G176*IF(INDEX('إدخال وسجل المنتجات'!$U$5:$U$590,$I176)=0,1,INDEX('إدخال وسجل المنتجات'!$U$5:$U$590,$I176))))</f>
        <v/>
      </c>
    </row>
    <row r="177" spans="1:10" ht="16" x14ac:dyDescent="0.15">
      <c r="A177" s="2" t="str">
        <f>IF($I177=0,"",174)</f>
        <v/>
      </c>
      <c r="B177" s="9" t="str">
        <f>IF($I177=0,"",INDEX('إدخال وسجل المنتجات'!$F$5:$F$590,$I177))</f>
        <v/>
      </c>
      <c r="C177" s="8" t="str">
        <f>IF($I177=0,"",INDEX('إدخال وسجل المنتجات'!$B$5:$B$590,$I177))</f>
        <v/>
      </c>
      <c r="D177" s="10" t="str">
        <f>IF($I177=0,"",INDEX('إدخال وسجل المنتجات'!$C$5:$C$590,$I177))</f>
        <v/>
      </c>
      <c r="E177" s="11" t="str">
        <f>IF($I177=0,"",INDEX('إدخال وسجل المنتجات'!$D$5:$D$590,$I177))</f>
        <v/>
      </c>
      <c r="F177" s="2" t="str">
        <f>IF($I177=0,"",INDEX('إدخال وسجل المنتجات'!$G$5:$G$590,$I177))</f>
        <v/>
      </c>
      <c r="G177" s="12"/>
      <c r="H177" s="13"/>
      <c r="I177">
        <f>SUMPRODUCT(('إدخال وسجل المنتجات'!$I$5:$I$590="FRZ")*('إدخال وسجل المنتجات'!$M$5:$M$590=174)*(ROW('إدخال وسجل المنتجات'!$I$5:$I$590)-4))</f>
        <v>0</v>
      </c>
      <c r="J177" s="2" t="str">
        <f>IF($I177=0,"",IF($G177="","",$G177*IF(INDEX('إدخال وسجل المنتجات'!$U$5:$U$590,$I177)=0,1,INDEX('إدخال وسجل المنتجات'!$U$5:$U$590,$I177))))</f>
        <v/>
      </c>
    </row>
    <row r="178" spans="1:10" ht="16" x14ac:dyDescent="0.15">
      <c r="A178" s="2" t="str">
        <f>IF($I178=0,"",175)</f>
        <v/>
      </c>
      <c r="B178" s="9" t="str">
        <f>IF($I178=0,"",INDEX('إدخال وسجل المنتجات'!$F$5:$F$590,$I178))</f>
        <v/>
      </c>
      <c r="C178" s="8" t="str">
        <f>IF($I178=0,"",INDEX('إدخال وسجل المنتجات'!$B$5:$B$590,$I178))</f>
        <v/>
      </c>
      <c r="D178" s="10" t="str">
        <f>IF($I178=0,"",INDEX('إدخال وسجل المنتجات'!$C$5:$C$590,$I178))</f>
        <v/>
      </c>
      <c r="E178" s="11" t="str">
        <f>IF($I178=0,"",INDEX('إدخال وسجل المنتجات'!$D$5:$D$590,$I178))</f>
        <v/>
      </c>
      <c r="F178" s="2" t="str">
        <f>IF($I178=0,"",INDEX('إدخال وسجل المنتجات'!$G$5:$G$590,$I178))</f>
        <v/>
      </c>
      <c r="G178" s="12"/>
      <c r="H178" s="13"/>
      <c r="I178">
        <f>SUMPRODUCT(('إدخال وسجل المنتجات'!$I$5:$I$590="FRZ")*('إدخال وسجل المنتجات'!$M$5:$M$590=175)*(ROW('إدخال وسجل المنتجات'!$I$5:$I$590)-4))</f>
        <v>0</v>
      </c>
      <c r="J178" s="2" t="str">
        <f>IF($I178=0,"",IF($G178="","",$G178*IF(INDEX('إدخال وسجل المنتجات'!$U$5:$U$590,$I178)=0,1,INDEX('إدخال وسجل المنتجات'!$U$5:$U$590,$I178))))</f>
        <v/>
      </c>
    </row>
    <row r="179" spans="1:10" ht="16" x14ac:dyDescent="0.15">
      <c r="A179" s="2" t="str">
        <f>IF($I179=0,"",176)</f>
        <v/>
      </c>
      <c r="B179" s="9" t="str">
        <f>IF($I179=0,"",INDEX('إدخال وسجل المنتجات'!$F$5:$F$590,$I179))</f>
        <v/>
      </c>
      <c r="C179" s="8" t="str">
        <f>IF($I179=0,"",INDEX('إدخال وسجل المنتجات'!$B$5:$B$590,$I179))</f>
        <v/>
      </c>
      <c r="D179" s="10" t="str">
        <f>IF($I179=0,"",INDEX('إدخال وسجل المنتجات'!$C$5:$C$590,$I179))</f>
        <v/>
      </c>
      <c r="E179" s="11" t="str">
        <f>IF($I179=0,"",INDEX('إدخال وسجل المنتجات'!$D$5:$D$590,$I179))</f>
        <v/>
      </c>
      <c r="F179" s="2" t="str">
        <f>IF($I179=0,"",INDEX('إدخال وسجل المنتجات'!$G$5:$G$590,$I179))</f>
        <v/>
      </c>
      <c r="G179" s="12"/>
      <c r="H179" s="13"/>
      <c r="I179">
        <f>SUMPRODUCT(('إدخال وسجل المنتجات'!$I$5:$I$590="FRZ")*('إدخال وسجل المنتجات'!$M$5:$M$590=176)*(ROW('إدخال وسجل المنتجات'!$I$5:$I$590)-4))</f>
        <v>0</v>
      </c>
      <c r="J179" s="2" t="str">
        <f>IF($I179=0,"",IF($G179="","",$G179*IF(INDEX('إدخال وسجل المنتجات'!$U$5:$U$590,$I179)=0,1,INDEX('إدخال وسجل المنتجات'!$U$5:$U$590,$I179))))</f>
        <v/>
      </c>
    </row>
    <row r="180" spans="1:10" ht="16" x14ac:dyDescent="0.15">
      <c r="A180" s="2" t="str">
        <f>IF($I180=0,"",177)</f>
        <v/>
      </c>
      <c r="B180" s="9" t="str">
        <f>IF($I180=0,"",INDEX('إدخال وسجل المنتجات'!$F$5:$F$590,$I180))</f>
        <v/>
      </c>
      <c r="C180" s="8" t="str">
        <f>IF($I180=0,"",INDEX('إدخال وسجل المنتجات'!$B$5:$B$590,$I180))</f>
        <v/>
      </c>
      <c r="D180" s="10" t="str">
        <f>IF($I180=0,"",INDEX('إدخال وسجل المنتجات'!$C$5:$C$590,$I180))</f>
        <v/>
      </c>
      <c r="E180" s="11" t="str">
        <f>IF($I180=0,"",INDEX('إدخال وسجل المنتجات'!$D$5:$D$590,$I180))</f>
        <v/>
      </c>
      <c r="F180" s="2" t="str">
        <f>IF($I180=0,"",INDEX('إدخال وسجل المنتجات'!$G$5:$G$590,$I180))</f>
        <v/>
      </c>
      <c r="G180" s="12"/>
      <c r="H180" s="13"/>
      <c r="I180">
        <f>SUMPRODUCT(('إدخال وسجل المنتجات'!$I$5:$I$590="FRZ")*('إدخال وسجل المنتجات'!$M$5:$M$590=177)*(ROW('إدخال وسجل المنتجات'!$I$5:$I$590)-4))</f>
        <v>0</v>
      </c>
      <c r="J180" s="2" t="str">
        <f>IF($I180=0,"",IF($G180="","",$G180*IF(INDEX('إدخال وسجل المنتجات'!$U$5:$U$590,$I180)=0,1,INDEX('إدخال وسجل المنتجات'!$U$5:$U$590,$I180))))</f>
        <v/>
      </c>
    </row>
    <row r="181" spans="1:10" ht="16" x14ac:dyDescent="0.15">
      <c r="A181" s="2" t="str">
        <f>IF($I181=0,"",178)</f>
        <v/>
      </c>
      <c r="B181" s="9" t="str">
        <f>IF($I181=0,"",INDEX('إدخال وسجل المنتجات'!$F$5:$F$590,$I181))</f>
        <v/>
      </c>
      <c r="C181" s="8" t="str">
        <f>IF($I181=0,"",INDEX('إدخال وسجل المنتجات'!$B$5:$B$590,$I181))</f>
        <v/>
      </c>
      <c r="D181" s="10" t="str">
        <f>IF($I181=0,"",INDEX('إدخال وسجل المنتجات'!$C$5:$C$590,$I181))</f>
        <v/>
      </c>
      <c r="E181" s="11" t="str">
        <f>IF($I181=0,"",INDEX('إدخال وسجل المنتجات'!$D$5:$D$590,$I181))</f>
        <v/>
      </c>
      <c r="F181" s="2" t="str">
        <f>IF($I181=0,"",INDEX('إدخال وسجل المنتجات'!$G$5:$G$590,$I181))</f>
        <v/>
      </c>
      <c r="G181" s="12"/>
      <c r="H181" s="13"/>
      <c r="I181">
        <f>SUMPRODUCT(('إدخال وسجل المنتجات'!$I$5:$I$590="FRZ")*('إدخال وسجل المنتجات'!$M$5:$M$590=178)*(ROW('إدخال وسجل المنتجات'!$I$5:$I$590)-4))</f>
        <v>0</v>
      </c>
      <c r="J181" s="2" t="str">
        <f>IF($I181=0,"",IF($G181="","",$G181*IF(INDEX('إدخال وسجل المنتجات'!$U$5:$U$590,$I181)=0,1,INDEX('إدخال وسجل المنتجات'!$U$5:$U$590,$I181))))</f>
        <v/>
      </c>
    </row>
    <row r="182" spans="1:10" ht="16" x14ac:dyDescent="0.15">
      <c r="A182" s="2" t="str">
        <f>IF($I182=0,"",179)</f>
        <v/>
      </c>
      <c r="B182" s="9" t="str">
        <f>IF($I182=0,"",INDEX('إدخال وسجل المنتجات'!$F$5:$F$590,$I182))</f>
        <v/>
      </c>
      <c r="C182" s="8" t="str">
        <f>IF($I182=0,"",INDEX('إدخال وسجل المنتجات'!$B$5:$B$590,$I182))</f>
        <v/>
      </c>
      <c r="D182" s="10" t="str">
        <f>IF($I182=0,"",INDEX('إدخال وسجل المنتجات'!$C$5:$C$590,$I182))</f>
        <v/>
      </c>
      <c r="E182" s="11" t="str">
        <f>IF($I182=0,"",INDEX('إدخال وسجل المنتجات'!$D$5:$D$590,$I182))</f>
        <v/>
      </c>
      <c r="F182" s="2" t="str">
        <f>IF($I182=0,"",INDEX('إدخال وسجل المنتجات'!$G$5:$G$590,$I182))</f>
        <v/>
      </c>
      <c r="G182" s="12"/>
      <c r="H182" s="13"/>
      <c r="I182">
        <f>SUMPRODUCT(('إدخال وسجل المنتجات'!$I$5:$I$590="FRZ")*('إدخال وسجل المنتجات'!$M$5:$M$590=179)*(ROW('إدخال وسجل المنتجات'!$I$5:$I$590)-4))</f>
        <v>0</v>
      </c>
      <c r="J182" s="2" t="str">
        <f>IF($I182=0,"",IF($G182="","",$G182*IF(INDEX('إدخال وسجل المنتجات'!$U$5:$U$590,$I182)=0,1,INDEX('إدخال وسجل المنتجات'!$U$5:$U$590,$I182))))</f>
        <v/>
      </c>
    </row>
    <row r="183" spans="1:10" ht="16" x14ac:dyDescent="0.15">
      <c r="A183" s="2" t="str">
        <f>IF($I183=0,"",180)</f>
        <v/>
      </c>
      <c r="B183" s="9" t="str">
        <f>IF($I183=0,"",INDEX('إدخال وسجل المنتجات'!$F$5:$F$590,$I183))</f>
        <v/>
      </c>
      <c r="C183" s="8" t="str">
        <f>IF($I183=0,"",INDEX('إدخال وسجل المنتجات'!$B$5:$B$590,$I183))</f>
        <v/>
      </c>
      <c r="D183" s="10" t="str">
        <f>IF($I183=0,"",INDEX('إدخال وسجل المنتجات'!$C$5:$C$590,$I183))</f>
        <v/>
      </c>
      <c r="E183" s="11" t="str">
        <f>IF($I183=0,"",INDEX('إدخال وسجل المنتجات'!$D$5:$D$590,$I183))</f>
        <v/>
      </c>
      <c r="F183" s="2" t="str">
        <f>IF($I183=0,"",INDEX('إدخال وسجل المنتجات'!$G$5:$G$590,$I183))</f>
        <v/>
      </c>
      <c r="G183" s="12"/>
      <c r="H183" s="13"/>
      <c r="I183">
        <f>SUMPRODUCT(('إدخال وسجل المنتجات'!$I$5:$I$590="FRZ")*('إدخال وسجل المنتجات'!$M$5:$M$590=180)*(ROW('إدخال وسجل المنتجات'!$I$5:$I$590)-4))</f>
        <v>0</v>
      </c>
      <c r="J183" s="2" t="str">
        <f>IF($I183=0,"",IF($G183="","",$G183*IF(INDEX('إدخال وسجل المنتجات'!$U$5:$U$590,$I183)=0,1,INDEX('إدخال وسجل المنتجات'!$U$5:$U$590,$I183))))</f>
        <v/>
      </c>
    </row>
    <row r="184" spans="1:10" ht="16" x14ac:dyDescent="0.15">
      <c r="A184" s="2" t="str">
        <f>IF($I184=0,"",181)</f>
        <v/>
      </c>
      <c r="B184" s="9" t="str">
        <f>IF($I184=0,"",INDEX('إدخال وسجل المنتجات'!$F$5:$F$590,$I184))</f>
        <v/>
      </c>
      <c r="C184" s="8" t="str">
        <f>IF($I184=0,"",INDEX('إدخال وسجل المنتجات'!$B$5:$B$590,$I184))</f>
        <v/>
      </c>
      <c r="D184" s="10" t="str">
        <f>IF($I184=0,"",INDEX('إدخال وسجل المنتجات'!$C$5:$C$590,$I184))</f>
        <v/>
      </c>
      <c r="E184" s="11" t="str">
        <f>IF($I184=0,"",INDEX('إدخال وسجل المنتجات'!$D$5:$D$590,$I184))</f>
        <v/>
      </c>
      <c r="F184" s="2" t="str">
        <f>IF($I184=0,"",INDEX('إدخال وسجل المنتجات'!$G$5:$G$590,$I184))</f>
        <v/>
      </c>
      <c r="G184" s="12"/>
      <c r="H184" s="13"/>
      <c r="I184">
        <f>SUMPRODUCT(('إدخال وسجل المنتجات'!$I$5:$I$590="FRZ")*('إدخال وسجل المنتجات'!$M$5:$M$590=181)*(ROW('إدخال وسجل المنتجات'!$I$5:$I$590)-4))</f>
        <v>0</v>
      </c>
      <c r="J184" s="2" t="str">
        <f>IF($I184=0,"",IF($G184="","",$G184*IF(INDEX('إدخال وسجل المنتجات'!$U$5:$U$590,$I184)=0,1,INDEX('إدخال وسجل المنتجات'!$U$5:$U$590,$I184))))</f>
        <v/>
      </c>
    </row>
    <row r="185" spans="1:10" ht="16" x14ac:dyDescent="0.15">
      <c r="A185" s="2" t="str">
        <f>IF($I185=0,"",182)</f>
        <v/>
      </c>
      <c r="B185" s="9" t="str">
        <f>IF($I185=0,"",INDEX('إدخال وسجل المنتجات'!$F$5:$F$590,$I185))</f>
        <v/>
      </c>
      <c r="C185" s="8" t="str">
        <f>IF($I185=0,"",INDEX('إدخال وسجل المنتجات'!$B$5:$B$590,$I185))</f>
        <v/>
      </c>
      <c r="D185" s="10" t="str">
        <f>IF($I185=0,"",INDEX('إدخال وسجل المنتجات'!$C$5:$C$590,$I185))</f>
        <v/>
      </c>
      <c r="E185" s="11" t="str">
        <f>IF($I185=0,"",INDEX('إدخال وسجل المنتجات'!$D$5:$D$590,$I185))</f>
        <v/>
      </c>
      <c r="F185" s="2" t="str">
        <f>IF($I185=0,"",INDEX('إدخال وسجل المنتجات'!$G$5:$G$590,$I185))</f>
        <v/>
      </c>
      <c r="G185" s="12"/>
      <c r="H185" s="13"/>
      <c r="I185">
        <f>SUMPRODUCT(('إدخال وسجل المنتجات'!$I$5:$I$590="FRZ")*('إدخال وسجل المنتجات'!$M$5:$M$590=182)*(ROW('إدخال وسجل المنتجات'!$I$5:$I$590)-4))</f>
        <v>0</v>
      </c>
      <c r="J185" s="2" t="str">
        <f>IF($I185=0,"",IF($G185="","",$G185*IF(INDEX('إدخال وسجل المنتجات'!$U$5:$U$590,$I185)=0,1,INDEX('إدخال وسجل المنتجات'!$U$5:$U$590,$I185))))</f>
        <v/>
      </c>
    </row>
    <row r="186" spans="1:10" ht="16" x14ac:dyDescent="0.15">
      <c r="A186" s="2" t="str">
        <f>IF($I186=0,"",183)</f>
        <v/>
      </c>
      <c r="B186" s="9" t="str">
        <f>IF($I186=0,"",INDEX('إدخال وسجل المنتجات'!$F$5:$F$590,$I186))</f>
        <v/>
      </c>
      <c r="C186" s="8" t="str">
        <f>IF($I186=0,"",INDEX('إدخال وسجل المنتجات'!$B$5:$B$590,$I186))</f>
        <v/>
      </c>
      <c r="D186" s="10" t="str">
        <f>IF($I186=0,"",INDEX('إدخال وسجل المنتجات'!$C$5:$C$590,$I186))</f>
        <v/>
      </c>
      <c r="E186" s="11" t="str">
        <f>IF($I186=0,"",INDEX('إدخال وسجل المنتجات'!$D$5:$D$590,$I186))</f>
        <v/>
      </c>
      <c r="F186" s="2" t="str">
        <f>IF($I186=0,"",INDEX('إدخال وسجل المنتجات'!$G$5:$G$590,$I186))</f>
        <v/>
      </c>
      <c r="G186" s="12"/>
      <c r="H186" s="13"/>
      <c r="I186">
        <f>SUMPRODUCT(('إدخال وسجل المنتجات'!$I$5:$I$590="FRZ")*('إدخال وسجل المنتجات'!$M$5:$M$590=183)*(ROW('إدخال وسجل المنتجات'!$I$5:$I$590)-4))</f>
        <v>0</v>
      </c>
      <c r="J186" s="2" t="str">
        <f>IF($I186=0,"",IF($G186="","",$G186*IF(INDEX('إدخال وسجل المنتجات'!$U$5:$U$590,$I186)=0,1,INDEX('إدخال وسجل المنتجات'!$U$5:$U$590,$I186))))</f>
        <v/>
      </c>
    </row>
    <row r="187" spans="1:10" ht="16" x14ac:dyDescent="0.15">
      <c r="A187" s="2" t="str">
        <f>IF($I187=0,"",184)</f>
        <v/>
      </c>
      <c r="B187" s="9" t="str">
        <f>IF($I187=0,"",INDEX('إدخال وسجل المنتجات'!$F$5:$F$590,$I187))</f>
        <v/>
      </c>
      <c r="C187" s="8" t="str">
        <f>IF($I187=0,"",INDEX('إدخال وسجل المنتجات'!$B$5:$B$590,$I187))</f>
        <v/>
      </c>
      <c r="D187" s="10" t="str">
        <f>IF($I187=0,"",INDEX('إدخال وسجل المنتجات'!$C$5:$C$590,$I187))</f>
        <v/>
      </c>
      <c r="E187" s="11" t="str">
        <f>IF($I187=0,"",INDEX('إدخال وسجل المنتجات'!$D$5:$D$590,$I187))</f>
        <v/>
      </c>
      <c r="F187" s="2" t="str">
        <f>IF($I187=0,"",INDEX('إدخال وسجل المنتجات'!$G$5:$G$590,$I187))</f>
        <v/>
      </c>
      <c r="G187" s="12"/>
      <c r="H187" s="13"/>
      <c r="I187">
        <f>SUMPRODUCT(('إدخال وسجل المنتجات'!$I$5:$I$590="FRZ")*('إدخال وسجل المنتجات'!$M$5:$M$590=184)*(ROW('إدخال وسجل المنتجات'!$I$5:$I$590)-4))</f>
        <v>0</v>
      </c>
      <c r="J187" s="2" t="str">
        <f>IF($I187=0,"",IF($G187="","",$G187*IF(INDEX('إدخال وسجل المنتجات'!$U$5:$U$590,$I187)=0,1,INDEX('إدخال وسجل المنتجات'!$U$5:$U$590,$I187))))</f>
        <v/>
      </c>
    </row>
    <row r="188" spans="1:10" ht="16" x14ac:dyDescent="0.15">
      <c r="A188" s="2" t="str">
        <f>IF($I188=0,"",185)</f>
        <v/>
      </c>
      <c r="B188" s="9" t="str">
        <f>IF($I188=0,"",INDEX('إدخال وسجل المنتجات'!$F$5:$F$590,$I188))</f>
        <v/>
      </c>
      <c r="C188" s="8" t="str">
        <f>IF($I188=0,"",INDEX('إدخال وسجل المنتجات'!$B$5:$B$590,$I188))</f>
        <v/>
      </c>
      <c r="D188" s="10" t="str">
        <f>IF($I188=0,"",INDEX('إدخال وسجل المنتجات'!$C$5:$C$590,$I188))</f>
        <v/>
      </c>
      <c r="E188" s="11" t="str">
        <f>IF($I188=0,"",INDEX('إدخال وسجل المنتجات'!$D$5:$D$590,$I188))</f>
        <v/>
      </c>
      <c r="F188" s="2" t="str">
        <f>IF($I188=0,"",INDEX('إدخال وسجل المنتجات'!$G$5:$G$590,$I188))</f>
        <v/>
      </c>
      <c r="G188" s="12"/>
      <c r="H188" s="13"/>
      <c r="I188">
        <f>SUMPRODUCT(('إدخال وسجل المنتجات'!$I$5:$I$590="FRZ")*('إدخال وسجل المنتجات'!$M$5:$M$590=185)*(ROW('إدخال وسجل المنتجات'!$I$5:$I$590)-4))</f>
        <v>0</v>
      </c>
      <c r="J188" s="2" t="str">
        <f>IF($I188=0,"",IF($G188="","",$G188*IF(INDEX('إدخال وسجل المنتجات'!$U$5:$U$590,$I188)=0,1,INDEX('إدخال وسجل المنتجات'!$U$5:$U$590,$I188))))</f>
        <v/>
      </c>
    </row>
    <row r="189" spans="1:10" ht="16" x14ac:dyDescent="0.15">
      <c r="A189" s="2" t="str">
        <f>IF($I189=0,"",186)</f>
        <v/>
      </c>
      <c r="B189" s="9" t="str">
        <f>IF($I189=0,"",INDEX('إدخال وسجل المنتجات'!$F$5:$F$590,$I189))</f>
        <v/>
      </c>
      <c r="C189" s="8" t="str">
        <f>IF($I189=0,"",INDEX('إدخال وسجل المنتجات'!$B$5:$B$590,$I189))</f>
        <v/>
      </c>
      <c r="D189" s="10" t="str">
        <f>IF($I189=0,"",INDEX('إدخال وسجل المنتجات'!$C$5:$C$590,$I189))</f>
        <v/>
      </c>
      <c r="E189" s="11" t="str">
        <f>IF($I189=0,"",INDEX('إدخال وسجل المنتجات'!$D$5:$D$590,$I189))</f>
        <v/>
      </c>
      <c r="F189" s="2" t="str">
        <f>IF($I189=0,"",INDEX('إدخال وسجل المنتجات'!$G$5:$G$590,$I189))</f>
        <v/>
      </c>
      <c r="G189" s="12"/>
      <c r="H189" s="13"/>
      <c r="I189">
        <f>SUMPRODUCT(('إدخال وسجل المنتجات'!$I$5:$I$590="FRZ")*('إدخال وسجل المنتجات'!$M$5:$M$590=186)*(ROW('إدخال وسجل المنتجات'!$I$5:$I$590)-4))</f>
        <v>0</v>
      </c>
      <c r="J189" s="2" t="str">
        <f>IF($I189=0,"",IF($G189="","",$G189*IF(INDEX('إدخال وسجل المنتجات'!$U$5:$U$590,$I189)=0,1,INDEX('إدخال وسجل المنتجات'!$U$5:$U$590,$I189))))</f>
        <v/>
      </c>
    </row>
    <row r="190" spans="1:10" ht="16" x14ac:dyDescent="0.15">
      <c r="A190" s="2" t="str">
        <f>IF($I190=0,"",187)</f>
        <v/>
      </c>
      <c r="B190" s="9" t="str">
        <f>IF($I190=0,"",INDEX('إدخال وسجل المنتجات'!$F$5:$F$590,$I190))</f>
        <v/>
      </c>
      <c r="C190" s="8" t="str">
        <f>IF($I190=0,"",INDEX('إدخال وسجل المنتجات'!$B$5:$B$590,$I190))</f>
        <v/>
      </c>
      <c r="D190" s="10" t="str">
        <f>IF($I190=0,"",INDEX('إدخال وسجل المنتجات'!$C$5:$C$590,$I190))</f>
        <v/>
      </c>
      <c r="E190" s="11" t="str">
        <f>IF($I190=0,"",INDEX('إدخال وسجل المنتجات'!$D$5:$D$590,$I190))</f>
        <v/>
      </c>
      <c r="F190" s="2" t="str">
        <f>IF($I190=0,"",INDEX('إدخال وسجل المنتجات'!$G$5:$G$590,$I190))</f>
        <v/>
      </c>
      <c r="G190" s="12"/>
      <c r="H190" s="13"/>
      <c r="I190">
        <f>SUMPRODUCT(('إدخال وسجل المنتجات'!$I$5:$I$590="FRZ")*('إدخال وسجل المنتجات'!$M$5:$M$590=187)*(ROW('إدخال وسجل المنتجات'!$I$5:$I$590)-4))</f>
        <v>0</v>
      </c>
      <c r="J190" s="2" t="str">
        <f>IF($I190=0,"",IF($G190="","",$G190*IF(INDEX('إدخال وسجل المنتجات'!$U$5:$U$590,$I190)=0,1,INDEX('إدخال وسجل المنتجات'!$U$5:$U$590,$I190))))</f>
        <v/>
      </c>
    </row>
    <row r="191" spans="1:10" ht="16" x14ac:dyDescent="0.15">
      <c r="A191" s="2" t="str">
        <f>IF($I191=0,"",188)</f>
        <v/>
      </c>
      <c r="B191" s="9" t="str">
        <f>IF($I191=0,"",INDEX('إدخال وسجل المنتجات'!$F$5:$F$590,$I191))</f>
        <v/>
      </c>
      <c r="C191" s="8" t="str">
        <f>IF($I191=0,"",INDEX('إدخال وسجل المنتجات'!$B$5:$B$590,$I191))</f>
        <v/>
      </c>
      <c r="D191" s="10" t="str">
        <f>IF($I191=0,"",INDEX('إدخال وسجل المنتجات'!$C$5:$C$590,$I191))</f>
        <v/>
      </c>
      <c r="E191" s="11" t="str">
        <f>IF($I191=0,"",INDEX('إدخال وسجل المنتجات'!$D$5:$D$590,$I191))</f>
        <v/>
      </c>
      <c r="F191" s="2" t="str">
        <f>IF($I191=0,"",INDEX('إدخال وسجل المنتجات'!$G$5:$G$590,$I191))</f>
        <v/>
      </c>
      <c r="G191" s="12"/>
      <c r="H191" s="13"/>
      <c r="I191">
        <f>SUMPRODUCT(('إدخال وسجل المنتجات'!$I$5:$I$590="FRZ")*('إدخال وسجل المنتجات'!$M$5:$M$590=188)*(ROW('إدخال وسجل المنتجات'!$I$5:$I$590)-4))</f>
        <v>0</v>
      </c>
      <c r="J191" s="2" t="str">
        <f>IF($I191=0,"",IF($G191="","",$G191*IF(INDEX('إدخال وسجل المنتجات'!$U$5:$U$590,$I191)=0,1,INDEX('إدخال وسجل المنتجات'!$U$5:$U$590,$I191))))</f>
        <v/>
      </c>
    </row>
    <row r="192" spans="1:10" ht="16" x14ac:dyDescent="0.15">
      <c r="A192" s="2" t="str">
        <f>IF($I192=0,"",189)</f>
        <v/>
      </c>
      <c r="B192" s="9" t="str">
        <f>IF($I192=0,"",INDEX('إدخال وسجل المنتجات'!$F$5:$F$590,$I192))</f>
        <v/>
      </c>
      <c r="C192" s="8" t="str">
        <f>IF($I192=0,"",INDEX('إدخال وسجل المنتجات'!$B$5:$B$590,$I192))</f>
        <v/>
      </c>
      <c r="D192" s="10" t="str">
        <f>IF($I192=0,"",INDEX('إدخال وسجل المنتجات'!$C$5:$C$590,$I192))</f>
        <v/>
      </c>
      <c r="E192" s="11" t="str">
        <f>IF($I192=0,"",INDEX('إدخال وسجل المنتجات'!$D$5:$D$590,$I192))</f>
        <v/>
      </c>
      <c r="F192" s="2" t="str">
        <f>IF($I192=0,"",INDEX('إدخال وسجل المنتجات'!$G$5:$G$590,$I192))</f>
        <v/>
      </c>
      <c r="G192" s="12"/>
      <c r="H192" s="13"/>
      <c r="I192">
        <f>SUMPRODUCT(('إدخال وسجل المنتجات'!$I$5:$I$590="FRZ")*('إدخال وسجل المنتجات'!$M$5:$M$590=189)*(ROW('إدخال وسجل المنتجات'!$I$5:$I$590)-4))</f>
        <v>0</v>
      </c>
      <c r="J192" s="2" t="str">
        <f>IF($I192=0,"",IF($G192="","",$G192*IF(INDEX('إدخال وسجل المنتجات'!$U$5:$U$590,$I192)=0,1,INDEX('إدخال وسجل المنتجات'!$U$5:$U$590,$I192))))</f>
        <v/>
      </c>
    </row>
    <row r="193" spans="1:10" ht="16" x14ac:dyDescent="0.15">
      <c r="A193" s="2" t="str">
        <f>IF($I193=0,"",190)</f>
        <v/>
      </c>
      <c r="B193" s="9" t="str">
        <f>IF($I193=0,"",INDEX('إدخال وسجل المنتجات'!$F$5:$F$590,$I193))</f>
        <v/>
      </c>
      <c r="C193" s="8" t="str">
        <f>IF($I193=0,"",INDEX('إدخال وسجل المنتجات'!$B$5:$B$590,$I193))</f>
        <v/>
      </c>
      <c r="D193" s="10" t="str">
        <f>IF($I193=0,"",INDEX('إدخال وسجل المنتجات'!$C$5:$C$590,$I193))</f>
        <v/>
      </c>
      <c r="E193" s="11" t="str">
        <f>IF($I193=0,"",INDEX('إدخال وسجل المنتجات'!$D$5:$D$590,$I193))</f>
        <v/>
      </c>
      <c r="F193" s="2" t="str">
        <f>IF($I193=0,"",INDEX('إدخال وسجل المنتجات'!$G$5:$G$590,$I193))</f>
        <v/>
      </c>
      <c r="G193" s="12"/>
      <c r="H193" s="13"/>
      <c r="I193">
        <f>SUMPRODUCT(('إدخال وسجل المنتجات'!$I$5:$I$590="FRZ")*('إدخال وسجل المنتجات'!$M$5:$M$590=190)*(ROW('إدخال وسجل المنتجات'!$I$5:$I$590)-4))</f>
        <v>0</v>
      </c>
      <c r="J193" s="2" t="str">
        <f>IF($I193=0,"",IF($G193="","",$G193*IF(INDEX('إدخال وسجل المنتجات'!$U$5:$U$590,$I193)=0,1,INDEX('إدخال وسجل المنتجات'!$U$5:$U$590,$I193))))</f>
        <v/>
      </c>
    </row>
    <row r="194" spans="1:10" ht="16" x14ac:dyDescent="0.15">
      <c r="A194" s="2" t="str">
        <f>IF($I194=0,"",191)</f>
        <v/>
      </c>
      <c r="B194" s="9" t="str">
        <f>IF($I194=0,"",INDEX('إدخال وسجل المنتجات'!$F$5:$F$590,$I194))</f>
        <v/>
      </c>
      <c r="C194" s="8" t="str">
        <f>IF($I194=0,"",INDEX('إدخال وسجل المنتجات'!$B$5:$B$590,$I194))</f>
        <v/>
      </c>
      <c r="D194" s="10" t="str">
        <f>IF($I194=0,"",INDEX('إدخال وسجل المنتجات'!$C$5:$C$590,$I194))</f>
        <v/>
      </c>
      <c r="E194" s="11" t="str">
        <f>IF($I194=0,"",INDEX('إدخال وسجل المنتجات'!$D$5:$D$590,$I194))</f>
        <v/>
      </c>
      <c r="F194" s="2" t="str">
        <f>IF($I194=0,"",INDEX('إدخال وسجل المنتجات'!$G$5:$G$590,$I194))</f>
        <v/>
      </c>
      <c r="G194" s="12"/>
      <c r="H194" s="13"/>
      <c r="I194">
        <f>SUMPRODUCT(('إدخال وسجل المنتجات'!$I$5:$I$590="FRZ")*('إدخال وسجل المنتجات'!$M$5:$M$590=191)*(ROW('إدخال وسجل المنتجات'!$I$5:$I$590)-4))</f>
        <v>0</v>
      </c>
      <c r="J194" s="2" t="str">
        <f>IF($I194=0,"",IF($G194="","",$G194*IF(INDEX('إدخال وسجل المنتجات'!$U$5:$U$590,$I194)=0,1,INDEX('إدخال وسجل المنتجات'!$U$5:$U$590,$I194))))</f>
        <v/>
      </c>
    </row>
    <row r="195" spans="1:10" ht="16" x14ac:dyDescent="0.15">
      <c r="A195" s="2" t="str">
        <f>IF($I195=0,"",192)</f>
        <v/>
      </c>
      <c r="B195" s="9" t="str">
        <f>IF($I195=0,"",INDEX('إدخال وسجل المنتجات'!$F$5:$F$590,$I195))</f>
        <v/>
      </c>
      <c r="C195" s="8" t="str">
        <f>IF($I195=0,"",INDEX('إدخال وسجل المنتجات'!$B$5:$B$590,$I195))</f>
        <v/>
      </c>
      <c r="D195" s="10" t="str">
        <f>IF($I195=0,"",INDEX('إدخال وسجل المنتجات'!$C$5:$C$590,$I195))</f>
        <v/>
      </c>
      <c r="E195" s="11" t="str">
        <f>IF($I195=0,"",INDEX('إدخال وسجل المنتجات'!$D$5:$D$590,$I195))</f>
        <v/>
      </c>
      <c r="F195" s="2" t="str">
        <f>IF($I195=0,"",INDEX('إدخال وسجل المنتجات'!$G$5:$G$590,$I195))</f>
        <v/>
      </c>
      <c r="G195" s="12"/>
      <c r="H195" s="13"/>
      <c r="I195">
        <f>SUMPRODUCT(('إدخال وسجل المنتجات'!$I$5:$I$590="FRZ")*('إدخال وسجل المنتجات'!$M$5:$M$590=192)*(ROW('إدخال وسجل المنتجات'!$I$5:$I$590)-4))</f>
        <v>0</v>
      </c>
      <c r="J195" s="2" t="str">
        <f>IF($I195=0,"",IF($G195="","",$G195*IF(INDEX('إدخال وسجل المنتجات'!$U$5:$U$590,$I195)=0,1,INDEX('إدخال وسجل المنتجات'!$U$5:$U$590,$I195))))</f>
        <v/>
      </c>
    </row>
    <row r="196" spans="1:10" ht="16" x14ac:dyDescent="0.15">
      <c r="A196" s="2" t="str">
        <f>IF($I196=0,"",193)</f>
        <v/>
      </c>
      <c r="B196" s="9" t="str">
        <f>IF($I196=0,"",INDEX('إدخال وسجل المنتجات'!$F$5:$F$590,$I196))</f>
        <v/>
      </c>
      <c r="C196" s="8" t="str">
        <f>IF($I196=0,"",INDEX('إدخال وسجل المنتجات'!$B$5:$B$590,$I196))</f>
        <v/>
      </c>
      <c r="D196" s="10" t="str">
        <f>IF($I196=0,"",INDEX('إدخال وسجل المنتجات'!$C$5:$C$590,$I196))</f>
        <v/>
      </c>
      <c r="E196" s="11" t="str">
        <f>IF($I196=0,"",INDEX('إدخال وسجل المنتجات'!$D$5:$D$590,$I196))</f>
        <v/>
      </c>
      <c r="F196" s="2" t="str">
        <f>IF($I196=0,"",INDEX('إدخال وسجل المنتجات'!$G$5:$G$590,$I196))</f>
        <v/>
      </c>
      <c r="G196" s="12"/>
      <c r="H196" s="13"/>
      <c r="I196">
        <f>SUMPRODUCT(('إدخال وسجل المنتجات'!$I$5:$I$590="FRZ")*('إدخال وسجل المنتجات'!$M$5:$M$590=193)*(ROW('إدخال وسجل المنتجات'!$I$5:$I$590)-4))</f>
        <v>0</v>
      </c>
      <c r="J196" s="2" t="str">
        <f>IF($I196=0,"",IF($G196="","",$G196*IF(INDEX('إدخال وسجل المنتجات'!$U$5:$U$590,$I196)=0,1,INDEX('إدخال وسجل المنتجات'!$U$5:$U$590,$I196))))</f>
        <v/>
      </c>
    </row>
    <row r="197" spans="1:10" ht="16" x14ac:dyDescent="0.15">
      <c r="A197" s="2" t="str">
        <f>IF($I197=0,"",194)</f>
        <v/>
      </c>
      <c r="B197" s="9" t="str">
        <f>IF($I197=0,"",INDEX('إدخال وسجل المنتجات'!$F$5:$F$590,$I197))</f>
        <v/>
      </c>
      <c r="C197" s="8" t="str">
        <f>IF($I197=0,"",INDEX('إدخال وسجل المنتجات'!$B$5:$B$590,$I197))</f>
        <v/>
      </c>
      <c r="D197" s="10" t="str">
        <f>IF($I197=0,"",INDEX('إدخال وسجل المنتجات'!$C$5:$C$590,$I197))</f>
        <v/>
      </c>
      <c r="E197" s="11" t="str">
        <f>IF($I197=0,"",INDEX('إدخال وسجل المنتجات'!$D$5:$D$590,$I197))</f>
        <v/>
      </c>
      <c r="F197" s="2" t="str">
        <f>IF($I197=0,"",INDEX('إدخال وسجل المنتجات'!$G$5:$G$590,$I197))</f>
        <v/>
      </c>
      <c r="G197" s="12"/>
      <c r="H197" s="13"/>
      <c r="I197">
        <f>SUMPRODUCT(('إدخال وسجل المنتجات'!$I$5:$I$590="FRZ")*('إدخال وسجل المنتجات'!$M$5:$M$590=194)*(ROW('إدخال وسجل المنتجات'!$I$5:$I$590)-4))</f>
        <v>0</v>
      </c>
      <c r="J197" s="2" t="str">
        <f>IF($I197=0,"",IF($G197="","",$G197*IF(INDEX('إدخال وسجل المنتجات'!$U$5:$U$590,$I197)=0,1,INDEX('إدخال وسجل المنتجات'!$U$5:$U$590,$I197))))</f>
        <v/>
      </c>
    </row>
    <row r="198" spans="1:10" ht="16" x14ac:dyDescent="0.15">
      <c r="A198" s="2" t="str">
        <f>IF($I198=0,"",195)</f>
        <v/>
      </c>
      <c r="B198" s="9" t="str">
        <f>IF($I198=0,"",INDEX('إدخال وسجل المنتجات'!$F$5:$F$590,$I198))</f>
        <v/>
      </c>
      <c r="C198" s="8" t="str">
        <f>IF($I198=0,"",INDEX('إدخال وسجل المنتجات'!$B$5:$B$590,$I198))</f>
        <v/>
      </c>
      <c r="D198" s="10" t="str">
        <f>IF($I198=0,"",INDEX('إدخال وسجل المنتجات'!$C$5:$C$590,$I198))</f>
        <v/>
      </c>
      <c r="E198" s="11" t="str">
        <f>IF($I198=0,"",INDEX('إدخال وسجل المنتجات'!$D$5:$D$590,$I198))</f>
        <v/>
      </c>
      <c r="F198" s="2" t="str">
        <f>IF($I198=0,"",INDEX('إدخال وسجل المنتجات'!$G$5:$G$590,$I198))</f>
        <v/>
      </c>
      <c r="G198" s="12"/>
      <c r="H198" s="13"/>
      <c r="I198">
        <f>SUMPRODUCT(('إدخال وسجل المنتجات'!$I$5:$I$590="FRZ")*('إدخال وسجل المنتجات'!$M$5:$M$590=195)*(ROW('إدخال وسجل المنتجات'!$I$5:$I$590)-4))</f>
        <v>0</v>
      </c>
      <c r="J198" s="2" t="str">
        <f>IF($I198=0,"",IF($G198="","",$G198*IF(INDEX('إدخال وسجل المنتجات'!$U$5:$U$590,$I198)=0,1,INDEX('إدخال وسجل المنتجات'!$U$5:$U$590,$I198))))</f>
        <v/>
      </c>
    </row>
    <row r="199" spans="1:10" ht="16" x14ac:dyDescent="0.15">
      <c r="A199" s="2" t="str">
        <f>IF($I199=0,"",196)</f>
        <v/>
      </c>
      <c r="B199" s="9" t="str">
        <f>IF($I199=0,"",INDEX('إدخال وسجل المنتجات'!$F$5:$F$590,$I199))</f>
        <v/>
      </c>
      <c r="C199" s="8" t="str">
        <f>IF($I199=0,"",INDEX('إدخال وسجل المنتجات'!$B$5:$B$590,$I199))</f>
        <v/>
      </c>
      <c r="D199" s="10" t="str">
        <f>IF($I199=0,"",INDEX('إدخال وسجل المنتجات'!$C$5:$C$590,$I199))</f>
        <v/>
      </c>
      <c r="E199" s="11" t="str">
        <f>IF($I199=0,"",INDEX('إدخال وسجل المنتجات'!$D$5:$D$590,$I199))</f>
        <v/>
      </c>
      <c r="F199" s="2" t="str">
        <f>IF($I199=0,"",INDEX('إدخال وسجل المنتجات'!$G$5:$G$590,$I199))</f>
        <v/>
      </c>
      <c r="G199" s="12"/>
      <c r="H199" s="13"/>
      <c r="I199">
        <f>SUMPRODUCT(('إدخال وسجل المنتجات'!$I$5:$I$590="FRZ")*('إدخال وسجل المنتجات'!$M$5:$M$590=196)*(ROW('إدخال وسجل المنتجات'!$I$5:$I$590)-4))</f>
        <v>0</v>
      </c>
      <c r="J199" s="2" t="str">
        <f>IF($I199=0,"",IF($G199="","",$G199*IF(INDEX('إدخال وسجل المنتجات'!$U$5:$U$590,$I199)=0,1,INDEX('إدخال وسجل المنتجات'!$U$5:$U$590,$I199))))</f>
        <v/>
      </c>
    </row>
    <row r="200" spans="1:10" ht="16" x14ac:dyDescent="0.15">
      <c r="A200" s="2" t="str">
        <f>IF($I200=0,"",197)</f>
        <v/>
      </c>
      <c r="B200" s="9" t="str">
        <f>IF($I200=0,"",INDEX('إدخال وسجل المنتجات'!$F$5:$F$590,$I200))</f>
        <v/>
      </c>
      <c r="C200" s="8" t="str">
        <f>IF($I200=0,"",INDEX('إدخال وسجل المنتجات'!$B$5:$B$590,$I200))</f>
        <v/>
      </c>
      <c r="D200" s="10" t="str">
        <f>IF($I200=0,"",INDEX('إدخال وسجل المنتجات'!$C$5:$C$590,$I200))</f>
        <v/>
      </c>
      <c r="E200" s="11" t="str">
        <f>IF($I200=0,"",INDEX('إدخال وسجل المنتجات'!$D$5:$D$590,$I200))</f>
        <v/>
      </c>
      <c r="F200" s="2" t="str">
        <f>IF($I200=0,"",INDEX('إدخال وسجل المنتجات'!$G$5:$G$590,$I200))</f>
        <v/>
      </c>
      <c r="G200" s="12"/>
      <c r="H200" s="13"/>
      <c r="I200">
        <f>SUMPRODUCT(('إدخال وسجل المنتجات'!$I$5:$I$590="FRZ")*('إدخال وسجل المنتجات'!$M$5:$M$590=197)*(ROW('إدخال وسجل المنتجات'!$I$5:$I$590)-4))</f>
        <v>0</v>
      </c>
      <c r="J200" s="2" t="str">
        <f>IF($I200=0,"",IF($G200="","",$G200*IF(INDEX('إدخال وسجل المنتجات'!$U$5:$U$590,$I200)=0,1,INDEX('إدخال وسجل المنتجات'!$U$5:$U$590,$I200))))</f>
        <v/>
      </c>
    </row>
    <row r="201" spans="1:10" ht="16" x14ac:dyDescent="0.15">
      <c r="A201" s="2" t="str">
        <f>IF($I201=0,"",198)</f>
        <v/>
      </c>
      <c r="B201" s="9" t="str">
        <f>IF($I201=0,"",INDEX('إدخال وسجل المنتجات'!$F$5:$F$590,$I201))</f>
        <v/>
      </c>
      <c r="C201" s="8" t="str">
        <f>IF($I201=0,"",INDEX('إدخال وسجل المنتجات'!$B$5:$B$590,$I201))</f>
        <v/>
      </c>
      <c r="D201" s="10" t="str">
        <f>IF($I201=0,"",INDEX('إدخال وسجل المنتجات'!$C$5:$C$590,$I201))</f>
        <v/>
      </c>
      <c r="E201" s="11" t="str">
        <f>IF($I201=0,"",INDEX('إدخال وسجل المنتجات'!$D$5:$D$590,$I201))</f>
        <v/>
      </c>
      <c r="F201" s="2" t="str">
        <f>IF($I201=0,"",INDEX('إدخال وسجل المنتجات'!$G$5:$G$590,$I201))</f>
        <v/>
      </c>
      <c r="G201" s="12"/>
      <c r="H201" s="13"/>
      <c r="I201">
        <f>SUMPRODUCT(('إدخال وسجل المنتجات'!$I$5:$I$590="FRZ")*('إدخال وسجل المنتجات'!$M$5:$M$590=198)*(ROW('إدخال وسجل المنتجات'!$I$5:$I$590)-4))</f>
        <v>0</v>
      </c>
      <c r="J201" s="2" t="str">
        <f>IF($I201=0,"",IF($G201="","",$G201*IF(INDEX('إدخال وسجل المنتجات'!$U$5:$U$590,$I201)=0,1,INDEX('إدخال وسجل المنتجات'!$U$5:$U$590,$I201))))</f>
        <v/>
      </c>
    </row>
    <row r="202" spans="1:10" ht="16" x14ac:dyDescent="0.15">
      <c r="A202" s="2" t="str">
        <f>IF($I202=0,"",199)</f>
        <v/>
      </c>
      <c r="B202" s="9" t="str">
        <f>IF($I202=0,"",INDEX('إدخال وسجل المنتجات'!$F$5:$F$590,$I202))</f>
        <v/>
      </c>
      <c r="C202" s="8" t="str">
        <f>IF($I202=0,"",INDEX('إدخال وسجل المنتجات'!$B$5:$B$590,$I202))</f>
        <v/>
      </c>
      <c r="D202" s="10" t="str">
        <f>IF($I202=0,"",INDEX('إدخال وسجل المنتجات'!$C$5:$C$590,$I202))</f>
        <v/>
      </c>
      <c r="E202" s="11" t="str">
        <f>IF($I202=0,"",INDEX('إدخال وسجل المنتجات'!$D$5:$D$590,$I202))</f>
        <v/>
      </c>
      <c r="F202" s="2" t="str">
        <f>IF($I202=0,"",INDEX('إدخال وسجل المنتجات'!$G$5:$G$590,$I202))</f>
        <v/>
      </c>
      <c r="G202" s="12"/>
      <c r="H202" s="13"/>
      <c r="I202">
        <f>SUMPRODUCT(('إدخال وسجل المنتجات'!$I$5:$I$590="FRZ")*('إدخال وسجل المنتجات'!$M$5:$M$590=199)*(ROW('إدخال وسجل المنتجات'!$I$5:$I$590)-4))</f>
        <v>0</v>
      </c>
      <c r="J202" s="2" t="str">
        <f>IF($I202=0,"",IF($G202="","",$G202*IF(INDEX('إدخال وسجل المنتجات'!$U$5:$U$590,$I202)=0,1,INDEX('إدخال وسجل المنتجات'!$U$5:$U$590,$I202))))</f>
        <v/>
      </c>
    </row>
    <row r="203" spans="1:10" ht="16" x14ac:dyDescent="0.15">
      <c r="A203" s="2" t="str">
        <f>IF($I203=0,"",200)</f>
        <v/>
      </c>
      <c r="B203" s="9" t="str">
        <f>IF($I203=0,"",INDEX('إدخال وسجل المنتجات'!$F$5:$F$590,$I203))</f>
        <v/>
      </c>
      <c r="C203" s="8" t="str">
        <f>IF($I203=0,"",INDEX('إدخال وسجل المنتجات'!$B$5:$B$590,$I203))</f>
        <v/>
      </c>
      <c r="D203" s="10" t="str">
        <f>IF($I203=0,"",INDEX('إدخال وسجل المنتجات'!$C$5:$C$590,$I203))</f>
        <v/>
      </c>
      <c r="E203" s="11" t="str">
        <f>IF($I203=0,"",INDEX('إدخال وسجل المنتجات'!$D$5:$D$590,$I203))</f>
        <v/>
      </c>
      <c r="F203" s="2" t="str">
        <f>IF($I203=0,"",INDEX('إدخال وسجل المنتجات'!$G$5:$G$590,$I203))</f>
        <v/>
      </c>
      <c r="G203" s="12"/>
      <c r="H203" s="13"/>
      <c r="I203">
        <f>SUMPRODUCT(('إدخال وسجل المنتجات'!$I$5:$I$590="FRZ")*('إدخال وسجل المنتجات'!$M$5:$M$590=200)*(ROW('إدخال وسجل المنتجات'!$I$5:$I$590)-4))</f>
        <v>0</v>
      </c>
      <c r="J203" s="2" t="str">
        <f>IF($I203=0,"",IF($G203="","",$G203*IF(INDEX('إدخال وسجل المنتجات'!$U$5:$U$590,$I203)=0,1,INDEX('إدخال وسجل المنتجات'!$U$5:$U$590,$I203))))</f>
        <v/>
      </c>
    </row>
  </sheetData>
  <mergeCells count="3">
    <mergeCell ref="A2:E2"/>
    <mergeCell ref="F2:H2"/>
    <mergeCell ref="A1:H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03"/>
  <sheetViews>
    <sheetView rightToLeft="1" workbookViewId="0">
      <pane ySplit="3" topLeftCell="A90" activePane="bottomLeft" state="frozen"/>
      <selection pane="bottomLeft" activeCell="E41" sqref="E41"/>
    </sheetView>
  </sheetViews>
  <sheetFormatPr baseColWidth="10" defaultColWidth="8.83203125" defaultRowHeight="14" x14ac:dyDescent="0.15"/>
  <cols>
    <col min="1" max="1" width="5" customWidth="1"/>
    <col min="2" max="2" width="14" customWidth="1"/>
    <col min="3" max="3" width="34" customWidth="1"/>
    <col min="4" max="4" width="28" customWidth="1"/>
    <col min="5" max="5" width="13" customWidth="1"/>
    <col min="6" max="6" width="11" customWidth="1"/>
    <col min="7" max="7" width="13" customWidth="1"/>
    <col min="8" max="8" width="20" customWidth="1"/>
    <col min="9" max="9" width="13" hidden="1" customWidth="1"/>
    <col min="10" max="10" width="15" customWidth="1"/>
  </cols>
  <sheetData>
    <row r="1" spans="1:10" ht="28" customHeight="1" x14ac:dyDescent="0.15">
      <c r="A1" s="32" t="s">
        <v>868</v>
      </c>
      <c r="B1" s="33"/>
      <c r="C1" s="33"/>
      <c r="D1" s="33"/>
      <c r="E1" s="33"/>
      <c r="F1" s="33"/>
      <c r="G1" s="33"/>
      <c r="H1" s="33"/>
    </row>
    <row r="2" spans="1:10" x14ac:dyDescent="0.15">
      <c r="A2" s="40" t="s">
        <v>861</v>
      </c>
      <c r="B2" s="33"/>
      <c r="C2" s="33"/>
      <c r="D2" s="33"/>
      <c r="E2" s="33"/>
      <c r="F2" s="41" t="str">
        <f>"عدد الأصناف: "&amp;COUNTIF('إدخال وسجل المنتجات'!$I$5:$I$590,"CHL")</f>
        <v>عدد الأصناف: 104</v>
      </c>
      <c r="G2" s="33"/>
      <c r="H2" s="33"/>
    </row>
    <row r="3" spans="1:10" ht="15" x14ac:dyDescent="0.15">
      <c r="A3" s="1" t="s">
        <v>2</v>
      </c>
      <c r="B3" s="1" t="s">
        <v>19</v>
      </c>
      <c r="C3" s="1" t="s">
        <v>862</v>
      </c>
      <c r="D3" s="1" t="s">
        <v>863</v>
      </c>
      <c r="E3" s="1" t="s">
        <v>864</v>
      </c>
      <c r="F3" s="1" t="s">
        <v>865</v>
      </c>
      <c r="G3" s="1" t="s">
        <v>866</v>
      </c>
      <c r="H3" s="1" t="s">
        <v>867</v>
      </c>
      <c r="J3" s="1" t="s">
        <v>882</v>
      </c>
    </row>
    <row r="4" spans="1:10" ht="16" x14ac:dyDescent="0.15">
      <c r="A4" s="2">
        <f>IF($I4=0,"",1)</f>
        <v>1</v>
      </c>
      <c r="B4" s="9" t="str">
        <f>IF($I4=0,"",INDEX('إدخال وسجل المنتجات'!$F$5:$F$590,$I4))</f>
        <v>TRN-CHL-001</v>
      </c>
      <c r="C4" s="8" t="str">
        <f>IF($I4=0,"",INDEX('إدخال وسجل المنتجات'!$B$5:$B$590,$I4))</f>
        <v>بيستو الريحان</v>
      </c>
      <c r="D4" s="10" t="str">
        <f>IF($I4=0,"",INDEX('إدخال وسجل المنتجات'!$C$5:$C$590,$I4))</f>
        <v>Basil Pesto</v>
      </c>
      <c r="E4" s="11" t="str">
        <f>IF($I4=0,"",INDEX('إدخال وسجل المنتجات'!$D$5:$D$590,$I4))</f>
        <v>مواد تحويلية</v>
      </c>
      <c r="F4" s="2" t="str">
        <f>IF($I4=0,"",INDEX('إدخال وسجل المنتجات'!$G$5:$G$590,$I4))</f>
        <v>كيلو</v>
      </c>
      <c r="G4" s="12"/>
      <c r="H4" s="13"/>
      <c r="I4">
        <f>SUMPRODUCT(('إدخال وسجل المنتجات'!$I$5:$I$590="CHL")*('إدخال وسجل المنتجات'!$M$5:$M$590=1)*(ROW('إدخال وسجل المنتجات'!$I$5:$I$590)-4))</f>
        <v>209</v>
      </c>
      <c r="J4" s="2" t="str">
        <f>IF($I4=0,"",IF($G4="","",$G4*IF(INDEX('إدخال وسجل المنتجات'!$U$5:$U$590,$I4)=0,1,INDEX('إدخال وسجل المنتجات'!$U$5:$U$590,$I4))))</f>
        <v/>
      </c>
    </row>
    <row r="5" spans="1:10" ht="16" x14ac:dyDescent="0.15">
      <c r="A5" s="2">
        <f>IF($I5=0,"",2)</f>
        <v>2</v>
      </c>
      <c r="B5" s="9" t="str">
        <f>IF($I5=0,"",INDEX('إدخال وسجل المنتجات'!$F$5:$F$590,$I5))</f>
        <v>TRN-CHL-002</v>
      </c>
      <c r="C5" s="8" t="str">
        <f>IF($I5=0,"",INDEX('إدخال وسجل المنتجات'!$B$5:$B$590,$I5))</f>
        <v>بيستو الطماطم المجففة</v>
      </c>
      <c r="D5" s="10" t="str">
        <f>IF($I5=0,"",INDEX('إدخال وسجل المنتجات'!$C$5:$C$590,$I5))</f>
        <v>Tomato Pesto</v>
      </c>
      <c r="E5" s="11" t="str">
        <f>IF($I5=0,"",INDEX('إدخال وسجل المنتجات'!$D$5:$D$590,$I5))</f>
        <v>مواد تحويلية</v>
      </c>
      <c r="F5" s="2" t="str">
        <f>IF($I5=0,"",INDEX('إدخال وسجل المنتجات'!$G$5:$G$590,$I5))</f>
        <v>كيلو</v>
      </c>
      <c r="G5" s="12"/>
      <c r="H5" s="13"/>
      <c r="I5">
        <f>SUMPRODUCT(('إدخال وسجل المنتجات'!$I$5:$I$590="CHL")*('إدخال وسجل المنتجات'!$M$5:$M$590=2)*(ROW('إدخال وسجل المنتجات'!$I$5:$I$590)-4))</f>
        <v>210</v>
      </c>
      <c r="J5" s="2" t="str">
        <f>IF($I5=0,"",IF($G5="","",$G5*IF(INDEX('إدخال وسجل المنتجات'!$U$5:$U$590,$I5)=0,1,INDEX('إدخال وسجل المنتجات'!$U$5:$U$590,$I5))))</f>
        <v/>
      </c>
    </row>
    <row r="6" spans="1:10" ht="16" x14ac:dyDescent="0.15">
      <c r="A6" s="2">
        <f>IF($I6=0,"",3)</f>
        <v>3</v>
      </c>
      <c r="B6" s="9" t="str">
        <f>IF($I6=0,"",INDEX('إدخال وسجل المنتجات'!$F$5:$F$590,$I6))</f>
        <v>TRN-CHL-003</v>
      </c>
      <c r="C6" s="8" t="str">
        <f>IF($I6=0,"",INDEX('إدخال وسجل المنتجات'!$B$5:$B$590,$I6))</f>
        <v>بينو بيستو</v>
      </c>
      <c r="D6" s="10" t="str">
        <f>IF($I6=0,"",INDEX('إدخال وسجل المنتجات'!$C$5:$C$590,$I6))</f>
        <v>Pino Pesto</v>
      </c>
      <c r="E6" s="11" t="str">
        <f>IF($I6=0,"",INDEX('إدخال وسجل المنتجات'!$D$5:$D$590,$I6))</f>
        <v>مواد تحويلية</v>
      </c>
      <c r="F6" s="2" t="str">
        <f>IF($I6=0,"",INDEX('إدخال وسجل المنتجات'!$G$5:$G$590,$I6))</f>
        <v>كيلو</v>
      </c>
      <c r="G6" s="12"/>
      <c r="H6" s="13"/>
      <c r="I6">
        <f>SUMPRODUCT(('إدخال وسجل المنتجات'!$I$5:$I$590="CHL")*('إدخال وسجل المنتجات'!$M$5:$M$590=3)*(ROW('إدخال وسجل المنتجات'!$I$5:$I$590)-4))</f>
        <v>212</v>
      </c>
      <c r="J6" s="2" t="str">
        <f>IF($I6=0,"",IF($G6="","",$G6*IF(INDEX('إدخال وسجل المنتجات'!$U$5:$U$590,$I6)=0,1,INDEX('إدخال وسجل المنتجات'!$U$5:$U$590,$I6))))</f>
        <v/>
      </c>
    </row>
    <row r="7" spans="1:10" ht="16" x14ac:dyDescent="0.15">
      <c r="A7" s="2">
        <f>IF($I7=0,"",4)</f>
        <v>4</v>
      </c>
      <c r="B7" s="9" t="str">
        <f>IF($I7=0,"",INDEX('إدخال وسجل المنتجات'!$F$5:$F$590,$I7))</f>
        <v>RAW-CHL-001</v>
      </c>
      <c r="C7" s="8" t="str">
        <f>IF($I7=0,"",INDEX('إدخال وسجل المنتجات'!$B$5:$B$590,$I7))</f>
        <v>تين</v>
      </c>
      <c r="D7" s="10" t="str">
        <f>IF($I7=0,"",INDEX('إدخال وسجل المنتجات'!$C$5:$C$590,$I7))</f>
        <v>Fig</v>
      </c>
      <c r="E7" s="11" t="str">
        <f>IF($I7=0,"",INDEX('إدخال وسجل المنتجات'!$D$5:$D$590,$I7))</f>
        <v>مواد خام</v>
      </c>
      <c r="F7" s="2" t="str">
        <f>IF($I7=0,"",INDEX('إدخال وسجل المنتجات'!$G$5:$G$590,$I7))</f>
        <v>كيلو</v>
      </c>
      <c r="G7" s="12"/>
      <c r="H7" s="13"/>
      <c r="I7">
        <f>SUMPRODUCT(('إدخال وسجل المنتجات'!$I$5:$I$590="CHL")*('إدخال وسجل المنتجات'!$M$5:$M$590=4)*(ROW('إدخال وسجل المنتجات'!$I$5:$I$590)-4))</f>
        <v>219</v>
      </c>
      <c r="J7" s="2" t="str">
        <f>IF($I7=0,"",IF($G7="","",$G7*IF(INDEX('إدخال وسجل المنتجات'!$U$5:$U$590,$I7)=0,1,INDEX('إدخال وسجل المنتجات'!$U$5:$U$590,$I7))))</f>
        <v/>
      </c>
    </row>
    <row r="8" spans="1:10" ht="16" x14ac:dyDescent="0.15">
      <c r="A8" s="2">
        <f>IF($I8=0,"",5)</f>
        <v>5</v>
      </c>
      <c r="B8" s="9" t="str">
        <f>IF($I8=0,"",INDEX('إدخال وسجل المنتجات'!$F$5:$F$590,$I8))</f>
        <v>TRN-CHL-004</v>
      </c>
      <c r="C8" s="8" t="str">
        <f>IF($I8=0,"",INDEX('إدخال وسجل المنتجات'!$B$5:$B$590,$I8))</f>
        <v>خليط الكينوا</v>
      </c>
      <c r="D8" s="10" t="str">
        <f>IF($I8=0,"",INDEX('إدخال وسجل المنتجات'!$C$5:$C$590,$I8))</f>
        <v>Quinoa Mix</v>
      </c>
      <c r="E8" s="11" t="str">
        <f>IF($I8=0,"",INDEX('إدخال وسجل المنتجات'!$D$5:$D$590,$I8))</f>
        <v>مواد تحويلية</v>
      </c>
      <c r="F8" s="2" t="str">
        <f>IF($I8=0,"",INDEX('إدخال وسجل المنتجات'!$G$5:$G$590,$I8))</f>
        <v>كيلو</v>
      </c>
      <c r="G8" s="12"/>
      <c r="H8" s="13"/>
      <c r="I8">
        <f>SUMPRODUCT(('إدخال وسجل المنتجات'!$I$5:$I$590="CHL")*('إدخال وسجل المنتجات'!$M$5:$M$590=5)*(ROW('إدخال وسجل المنتجات'!$I$5:$I$590)-4))</f>
        <v>221</v>
      </c>
      <c r="J8" s="2" t="str">
        <f>IF($I8=0,"",IF($G8="","",$G8*IF(INDEX('إدخال وسجل المنتجات'!$U$5:$U$590,$I8)=0,1,INDEX('إدخال وسجل المنتجات'!$U$5:$U$590,$I8))))</f>
        <v/>
      </c>
    </row>
    <row r="9" spans="1:10" ht="16" x14ac:dyDescent="0.15">
      <c r="A9" s="2">
        <f>IF($I9=0,"",6)</f>
        <v>6</v>
      </c>
      <c r="B9" s="9" t="str">
        <f>IF($I9=0,"",INDEX('إدخال وسجل المنتجات'!$F$5:$F$590,$I9))</f>
        <v>TRN-CHL-005</v>
      </c>
      <c r="C9" s="8" t="str">
        <f>IF($I9=0,"",INDEX('إدخال وسجل المنتجات'!$B$5:$B$590,$I9))</f>
        <v>عجين بيتزا</v>
      </c>
      <c r="D9" s="10" t="str">
        <f>IF($I9=0,"",INDEX('إدخال وسجل المنتجات'!$C$5:$C$590,$I9))</f>
        <v>Pizza Dough</v>
      </c>
      <c r="E9" s="11" t="str">
        <f>IF($I9=0,"",INDEX('إدخال وسجل المنتجات'!$D$5:$D$590,$I9))</f>
        <v>مواد تحويلية</v>
      </c>
      <c r="F9" s="2" t="str">
        <f>IF($I9=0,"",INDEX('إدخال وسجل المنتجات'!$G$5:$G$590,$I9))</f>
        <v>كيلو</v>
      </c>
      <c r="G9" s="12"/>
      <c r="H9" s="13"/>
      <c r="I9">
        <f>SUMPRODUCT(('إدخال وسجل المنتجات'!$I$5:$I$590="CHL")*('إدخال وسجل المنتجات'!$M$5:$M$590=6)*(ROW('إدخال وسجل المنتجات'!$I$5:$I$590)-4))</f>
        <v>245</v>
      </c>
      <c r="J9" s="2" t="str">
        <f>IF($I9=0,"",IF($G9="","",$G9*IF(INDEX('إدخال وسجل المنتجات'!$U$5:$U$590,$I9)=0,1,INDEX('إدخال وسجل المنتجات'!$U$5:$U$590,$I9))))</f>
        <v/>
      </c>
    </row>
    <row r="10" spans="1:10" ht="16" x14ac:dyDescent="0.15">
      <c r="A10" s="2">
        <f>IF($I10=0,"",7)</f>
        <v>7</v>
      </c>
      <c r="B10" s="9" t="str">
        <f>IF($I10=0,"",INDEX('إدخال وسجل المنتجات'!$F$5:$F$590,$I10))</f>
        <v>RAW-CHL-002</v>
      </c>
      <c r="C10" s="8" t="str">
        <f>IF($I10=0,"",INDEX('إدخال وسجل المنتجات'!$B$5:$B$590,$I10))</f>
        <v>كرفس</v>
      </c>
      <c r="D10" s="10" t="str">
        <f>IF($I10=0,"",INDEX('إدخال وسجل المنتجات'!$C$5:$C$590,$I10))</f>
        <v>Celery</v>
      </c>
      <c r="E10" s="11" t="str">
        <f>IF($I10=0,"",INDEX('إدخال وسجل المنتجات'!$D$5:$D$590,$I10))</f>
        <v>مواد خام</v>
      </c>
      <c r="F10" s="2" t="str">
        <f>IF($I10=0,"",INDEX('إدخال وسجل المنتجات'!$G$5:$G$590,$I10))</f>
        <v>كيلو</v>
      </c>
      <c r="G10" s="12"/>
      <c r="H10" s="13"/>
      <c r="I10">
        <f>SUMPRODUCT(('إدخال وسجل المنتجات'!$I$5:$I$590="CHL")*('إدخال وسجل المنتجات'!$M$5:$M$590=7)*(ROW('إدخال وسجل المنتجات'!$I$5:$I$590)-4))</f>
        <v>251</v>
      </c>
      <c r="J10" s="2" t="str">
        <f>IF($I10=0,"",IF($G10="","",$G10*IF(INDEX('إدخال وسجل المنتجات'!$U$5:$U$590,$I10)=0,1,INDEX('إدخال وسجل المنتجات'!$U$5:$U$590,$I10))))</f>
        <v/>
      </c>
    </row>
    <row r="11" spans="1:10" ht="16" x14ac:dyDescent="0.15">
      <c r="A11" s="2">
        <f>IF($I11=0,"",8)</f>
        <v>8</v>
      </c>
      <c r="B11" s="9" t="str">
        <f>IF($I11=0,"",INDEX('إدخال وسجل المنتجات'!$F$5:$F$590,$I11))</f>
        <v>TRN-CHL-006</v>
      </c>
      <c r="C11" s="8" t="str">
        <f>IF($I11=0,"",INDEX('إدخال وسجل المنتجات'!$B$5:$B$590,$I11))</f>
        <v>كريمة التيراميسو</v>
      </c>
      <c r="D11" s="10" t="str">
        <f>IF($I11=0,"",INDEX('إدخال وسجل المنتجات'!$C$5:$C$590,$I11))</f>
        <v>Tiramisu Cream</v>
      </c>
      <c r="E11" s="11" t="str">
        <f>IF($I11=0,"",INDEX('إدخال وسجل المنتجات'!$D$5:$D$590,$I11))</f>
        <v>مواد تحويلية</v>
      </c>
      <c r="F11" s="2" t="str">
        <f>IF($I11=0,"",INDEX('إدخال وسجل المنتجات'!$G$5:$G$590,$I11))</f>
        <v>كيلو</v>
      </c>
      <c r="G11" s="12"/>
      <c r="H11" s="13"/>
      <c r="I11">
        <f>SUMPRODUCT(('إدخال وسجل المنتجات'!$I$5:$I$590="CHL")*('إدخال وسجل المنتجات'!$M$5:$M$590=8)*(ROW('إدخال وسجل المنتجات'!$I$5:$I$590)-4))</f>
        <v>253</v>
      </c>
      <c r="J11" s="2" t="str">
        <f>IF($I11=0,"",IF($G11="","",$G11*IF(INDEX('إدخال وسجل المنتجات'!$U$5:$U$590,$I11)=0,1,INDEX('إدخال وسجل المنتجات'!$U$5:$U$590,$I11))))</f>
        <v/>
      </c>
    </row>
    <row r="12" spans="1:10" ht="16" x14ac:dyDescent="0.15">
      <c r="A12" s="2">
        <f>IF($I12=0,"",9)</f>
        <v>9</v>
      </c>
      <c r="B12" s="9" t="str">
        <f>IF($I12=0,"",INDEX('إدخال وسجل المنتجات'!$F$5:$F$590,$I12))</f>
        <v>TRN-CHL-007</v>
      </c>
      <c r="C12" s="8" t="str">
        <f>IF($I12=0,"",INDEX('إدخال وسجل المنتجات'!$B$5:$B$590,$I12))</f>
        <v>انتاج ريزوتو زعفران</v>
      </c>
      <c r="D12" s="10" t="str">
        <f>IF($I12=0,"",INDEX('إدخال وسجل المنتجات'!$C$5:$C$590,$I12))</f>
        <v>Production Risotto Saffron</v>
      </c>
      <c r="E12" s="11" t="str">
        <f>IF($I12=0,"",INDEX('إدخال وسجل المنتجات'!$D$5:$D$590,$I12))</f>
        <v>مواد تحويلية</v>
      </c>
      <c r="F12" s="2" t="str">
        <f>IF($I12=0,"",INDEX('إدخال وسجل المنتجات'!$G$5:$G$590,$I12))</f>
        <v>كيلو</v>
      </c>
      <c r="G12" s="12"/>
      <c r="H12" s="13"/>
      <c r="I12">
        <f>SUMPRODUCT(('إدخال وسجل المنتجات'!$I$5:$I$590="CHL")*('إدخال وسجل المنتجات'!$M$5:$M$590=9)*(ROW('إدخال وسجل المنتجات'!$I$5:$I$590)-4))</f>
        <v>276</v>
      </c>
      <c r="J12" s="2" t="str">
        <f>IF($I12=0,"",IF($G12="","",$G12*IF(INDEX('إدخال وسجل المنتجات'!$U$5:$U$590,$I12)=0,1,INDEX('إدخال وسجل المنتجات'!$U$5:$U$590,$I12))))</f>
        <v/>
      </c>
    </row>
    <row r="13" spans="1:10" ht="16" x14ac:dyDescent="0.15">
      <c r="A13" s="2">
        <f>IF($I13=0,"",10)</f>
        <v>10</v>
      </c>
      <c r="B13" s="9" t="str">
        <f>IF($I13=0,"",INDEX('إدخال وسجل المنتجات'!$F$5:$F$590,$I13))</f>
        <v>TRN-CHL-008</v>
      </c>
      <c r="C13" s="8" t="str">
        <f>IF($I13=0,"",INDEX('إدخال وسجل المنتجات'!$B$5:$B$590,$I13))</f>
        <v>انتاج كرات الارانشيني</v>
      </c>
      <c r="D13" s="10" t="str">
        <f>IF($I13=0,"",INDEX('إدخال وسجل المنتجات'!$C$5:$C$590,$I13))</f>
        <v>Production Arancini Balls</v>
      </c>
      <c r="E13" s="11" t="str">
        <f>IF($I13=0,"",INDEX('إدخال وسجل المنتجات'!$D$5:$D$590,$I13))</f>
        <v>مواد تحويلية</v>
      </c>
      <c r="F13" s="2" t="str">
        <f>IF($I13=0,"",INDEX('إدخال وسجل المنتجات'!$G$5:$G$590,$I13))</f>
        <v>كيلو</v>
      </c>
      <c r="G13" s="12"/>
      <c r="H13" s="13"/>
      <c r="I13">
        <f>SUMPRODUCT(('إدخال وسجل المنتجات'!$I$5:$I$590="CHL")*('إدخال وسجل المنتجات'!$M$5:$M$590=10)*(ROW('إدخال وسجل المنتجات'!$I$5:$I$590)-4))</f>
        <v>277</v>
      </c>
      <c r="J13" s="2" t="str">
        <f>IF($I13=0,"",IF($G13="","",$G13*IF(INDEX('إدخال وسجل المنتجات'!$U$5:$U$590,$I13)=0,1,INDEX('إدخال وسجل المنتجات'!$U$5:$U$590,$I13))))</f>
        <v/>
      </c>
    </row>
    <row r="14" spans="1:10" ht="16" x14ac:dyDescent="0.15">
      <c r="A14" s="2">
        <f>IF($I14=0,"",11)</f>
        <v>11</v>
      </c>
      <c r="B14" s="9" t="str">
        <f>IF($I14=0,"",INDEX('إدخال وسجل المنتجات'!$F$5:$F$590,$I14))</f>
        <v>TRN-CHL-009</v>
      </c>
      <c r="C14" s="8" t="str">
        <f>IF($I14=0,"",INDEX('إدخال وسجل المنتجات'!$B$5:$B$590,$I14))</f>
        <v>انتاج كرات الباستا</v>
      </c>
      <c r="D14" s="10" t="str">
        <f>IF($I14=0,"",INDEX('إدخال وسجل المنتجات'!$C$5:$C$590,$I14))</f>
        <v>Production Pasta Balls</v>
      </c>
      <c r="E14" s="11" t="str">
        <f>IF($I14=0,"",INDEX('إدخال وسجل المنتجات'!$D$5:$D$590,$I14))</f>
        <v>مواد تحويلية</v>
      </c>
      <c r="F14" s="2" t="str">
        <f>IF($I14=0,"",INDEX('إدخال وسجل المنتجات'!$G$5:$G$590,$I14))</f>
        <v>كيلو</v>
      </c>
      <c r="G14" s="12"/>
      <c r="H14" s="13"/>
      <c r="I14">
        <f>SUMPRODUCT(('إدخال وسجل المنتجات'!$I$5:$I$590="CHL")*('إدخال وسجل المنتجات'!$M$5:$M$590=11)*(ROW('إدخال وسجل المنتجات'!$I$5:$I$590)-4))</f>
        <v>278</v>
      </c>
      <c r="J14" s="2" t="str">
        <f>IF($I14=0,"",IF($G14="","",$G14*IF(INDEX('إدخال وسجل المنتجات'!$U$5:$U$590,$I14)=0,1,INDEX('إدخال وسجل المنتجات'!$U$5:$U$590,$I14))))</f>
        <v/>
      </c>
    </row>
    <row r="15" spans="1:10" ht="16" x14ac:dyDescent="0.15">
      <c r="A15" s="2">
        <f>IF($I15=0,"",12)</f>
        <v>12</v>
      </c>
      <c r="B15" s="9" t="str">
        <f>IF($I15=0,"",INDEX('إدخال وسجل المنتجات'!$F$5:$F$590,$I15))</f>
        <v>RAW-CHL-003</v>
      </c>
      <c r="C15" s="8" t="str">
        <f>IF($I15=0,"",INDEX('إدخال وسجل المنتجات'!$B$5:$B$590,$I15))</f>
        <v>اوراق كرنب</v>
      </c>
      <c r="D15" s="10" t="str">
        <f>IF($I15=0,"",INDEX('إدخال وسجل المنتجات'!$C$5:$C$590,$I15))</f>
        <v>Cabbage</v>
      </c>
      <c r="E15" s="11" t="str">
        <f>IF($I15=0,"",INDEX('إدخال وسجل المنتجات'!$D$5:$D$590,$I15))</f>
        <v>مواد خام</v>
      </c>
      <c r="F15" s="2" t="str">
        <f>IF($I15=0,"",INDEX('إدخال وسجل المنتجات'!$G$5:$G$590,$I15))</f>
        <v>كيلو</v>
      </c>
      <c r="G15" s="12"/>
      <c r="H15" s="13"/>
      <c r="I15">
        <f>SUMPRODUCT(('إدخال وسجل المنتجات'!$I$5:$I$590="CHL")*('إدخال وسجل المنتجات'!$M$5:$M$590=12)*(ROW('إدخال وسجل المنتجات'!$I$5:$I$590)-4))</f>
        <v>279</v>
      </c>
      <c r="J15" s="2" t="str">
        <f>IF($I15=0,"",IF($G15="","",$G15*IF(INDEX('إدخال وسجل المنتجات'!$U$5:$U$590,$I15)=0,1,INDEX('إدخال وسجل المنتجات'!$U$5:$U$590,$I15))))</f>
        <v/>
      </c>
    </row>
    <row r="16" spans="1:10" ht="16" x14ac:dyDescent="0.15">
      <c r="A16" s="2">
        <f>IF($I16=0,"",13)</f>
        <v>13</v>
      </c>
      <c r="B16" s="9" t="str">
        <f>IF($I16=0,"",INDEX('إدخال وسجل المنتجات'!$F$5:$F$590,$I16))</f>
        <v>RAW-CHL-004</v>
      </c>
      <c r="C16" s="8" t="str">
        <f>IF($I16=0,"",INDEX('إدخال وسجل المنتجات'!$B$5:$B$590,$I16))</f>
        <v>باذنجان</v>
      </c>
      <c r="D16" s="10" t="str">
        <f>IF($I16=0,"",INDEX('إدخال وسجل المنتجات'!$C$5:$C$590,$I16))</f>
        <v>Eggplant</v>
      </c>
      <c r="E16" s="11" t="str">
        <f>IF($I16=0,"",INDEX('إدخال وسجل المنتجات'!$D$5:$D$590,$I16))</f>
        <v>مواد خام</v>
      </c>
      <c r="F16" s="2" t="str">
        <f>IF($I16=0,"",INDEX('إدخال وسجل المنتجات'!$G$5:$G$590,$I16))</f>
        <v>كيلو</v>
      </c>
      <c r="G16" s="12"/>
      <c r="H16" s="13"/>
      <c r="I16">
        <f>SUMPRODUCT(('إدخال وسجل المنتجات'!$I$5:$I$590="CHL")*('إدخال وسجل المنتجات'!$M$5:$M$590=13)*(ROW('إدخال وسجل المنتجات'!$I$5:$I$590)-4))</f>
        <v>283</v>
      </c>
      <c r="J16" s="2" t="str">
        <f>IF($I16=0,"",IF($G16="","",$G16*IF(INDEX('إدخال وسجل المنتجات'!$U$5:$U$590,$I16)=0,1,INDEX('إدخال وسجل المنتجات'!$U$5:$U$590,$I16))))</f>
        <v/>
      </c>
    </row>
    <row r="17" spans="1:10" ht="16" x14ac:dyDescent="0.15">
      <c r="A17" s="2">
        <f>IF($I17=0,"",14)</f>
        <v>14</v>
      </c>
      <c r="B17" s="9" t="str">
        <f>IF($I17=0,"",INDEX('إدخال وسجل المنتجات'!$F$5:$F$590,$I17))</f>
        <v>RAW-CHL-005</v>
      </c>
      <c r="C17" s="8" t="str">
        <f>IF($I17=0,"",INDEX('إدخال وسجل المنتجات'!$B$5:$B$590,$I17))</f>
        <v>برتقال</v>
      </c>
      <c r="D17" s="10" t="str">
        <f>IF($I17=0,"",INDEX('إدخال وسجل المنتجات'!$C$5:$C$590,$I17))</f>
        <v>Orange</v>
      </c>
      <c r="E17" s="11" t="str">
        <f>IF($I17=0,"",INDEX('إدخال وسجل المنتجات'!$D$5:$D$590,$I17))</f>
        <v>مواد خام</v>
      </c>
      <c r="F17" s="2" t="str">
        <f>IF($I17=0,"",INDEX('إدخال وسجل المنتجات'!$G$5:$G$590,$I17))</f>
        <v>كيلو</v>
      </c>
      <c r="G17" s="12"/>
      <c r="H17" s="13"/>
      <c r="I17">
        <f>SUMPRODUCT(('إدخال وسجل المنتجات'!$I$5:$I$590="CHL")*('إدخال وسجل المنتجات'!$M$5:$M$590=14)*(ROW('إدخال وسجل المنتجات'!$I$5:$I$590)-4))</f>
        <v>287</v>
      </c>
      <c r="J17" s="2" t="str">
        <f>IF($I17=0,"",IF($G17="","",$G17*IF(INDEX('إدخال وسجل المنتجات'!$U$5:$U$590,$I17)=0,1,INDEX('إدخال وسجل المنتجات'!$U$5:$U$590,$I17))))</f>
        <v/>
      </c>
    </row>
    <row r="18" spans="1:10" ht="16" x14ac:dyDescent="0.15">
      <c r="A18" s="2">
        <f>IF($I18=0,"",15)</f>
        <v>15</v>
      </c>
      <c r="B18" s="9" t="str">
        <f>IF($I18=0,"",INDEX('إدخال وسجل المنتجات'!$F$5:$F$590,$I18))</f>
        <v>RAW-CHL-006</v>
      </c>
      <c r="C18" s="8" t="str">
        <f>IF($I18=0,"",INDEX('إدخال وسجل المنتجات'!$B$5:$B$590,$I18))</f>
        <v>بقدونس</v>
      </c>
      <c r="D18" s="10" t="str">
        <f>IF($I18=0,"",INDEX('إدخال وسجل المنتجات'!$C$5:$C$590,$I18))</f>
        <v>Parsley</v>
      </c>
      <c r="E18" s="11" t="str">
        <f>IF($I18=0,"",INDEX('إدخال وسجل المنتجات'!$D$5:$D$590,$I18))</f>
        <v>مواد خام</v>
      </c>
      <c r="F18" s="2" t="str">
        <f>IF($I18=0,"",INDEX('إدخال وسجل المنتجات'!$G$5:$G$590,$I18))</f>
        <v>كيلو</v>
      </c>
      <c r="G18" s="12"/>
      <c r="H18" s="13"/>
      <c r="I18">
        <f>SUMPRODUCT(('إدخال وسجل المنتجات'!$I$5:$I$590="CHL")*('إدخال وسجل المنتجات'!$M$5:$M$590=15)*(ROW('إدخال وسجل المنتجات'!$I$5:$I$590)-4))</f>
        <v>302</v>
      </c>
      <c r="J18" s="2" t="str">
        <f>IF($I18=0,"",IF($G18="","",$G18*IF(INDEX('إدخال وسجل المنتجات'!$U$5:$U$590,$I18)=0,1,INDEX('إدخال وسجل المنتجات'!$U$5:$U$590,$I18))))</f>
        <v/>
      </c>
    </row>
    <row r="19" spans="1:10" ht="16" x14ac:dyDescent="0.15">
      <c r="A19" s="2">
        <f>IF($I19=0,"",16)</f>
        <v>16</v>
      </c>
      <c r="B19" s="9" t="str">
        <f>IF($I19=0,"",INDEX('إدخال وسجل المنتجات'!$F$5:$F$590,$I19))</f>
        <v>TRN-CHL-010</v>
      </c>
      <c r="C19" s="8" t="str">
        <f>IF($I19=0,"",INDEX('إدخال وسجل المنتجات'!$B$5:$B$590,$I19))</f>
        <v>بيستو</v>
      </c>
      <c r="D19" s="10" t="str">
        <f>IF($I19=0,"",INDEX('إدخال وسجل المنتجات'!$C$5:$C$590,$I19))</f>
        <v>Pesto</v>
      </c>
      <c r="E19" s="11" t="str">
        <f>IF($I19=0,"",INDEX('إدخال وسجل المنتجات'!$D$5:$D$590,$I19))</f>
        <v>مواد تحويلية</v>
      </c>
      <c r="F19" s="2" t="str">
        <f>IF($I19=0,"",INDEX('إدخال وسجل المنتجات'!$G$5:$G$590,$I19))</f>
        <v>كيلو</v>
      </c>
      <c r="G19" s="12"/>
      <c r="H19" s="13"/>
      <c r="I19">
        <f>SUMPRODUCT(('إدخال وسجل المنتجات'!$I$5:$I$590="CHL")*('إدخال وسجل المنتجات'!$M$5:$M$590=16)*(ROW('إدخال وسجل المنتجات'!$I$5:$I$590)-4))</f>
        <v>312</v>
      </c>
      <c r="J19" s="2" t="str">
        <f>IF($I19=0,"",IF($G19="","",$G19*IF(INDEX('إدخال وسجل المنتجات'!$U$5:$U$590,$I19)=0,1,INDEX('إدخال وسجل المنتجات'!$U$5:$U$590,$I19))))</f>
        <v/>
      </c>
    </row>
    <row r="20" spans="1:10" ht="16" x14ac:dyDescent="0.15">
      <c r="A20" s="2">
        <f>IF($I20=0,"",17)</f>
        <v>17</v>
      </c>
      <c r="B20" s="9" t="str">
        <f>IF($I20=0,"",INDEX('إدخال وسجل المنتجات'!$F$5:$F$590,$I20))</f>
        <v>RAW-CHL-007</v>
      </c>
      <c r="C20" s="8" t="str">
        <f>IF($I20=0,"",INDEX('إدخال وسجل المنتجات'!$B$5:$B$590,$I20))</f>
        <v>بيض</v>
      </c>
      <c r="D20" s="10" t="str">
        <f>IF($I20=0,"",INDEX('إدخال وسجل المنتجات'!$C$5:$C$590,$I20))</f>
        <v>Eggs</v>
      </c>
      <c r="E20" s="11" t="str">
        <f>IF($I20=0,"",INDEX('إدخال وسجل المنتجات'!$D$5:$D$590,$I20))</f>
        <v>مواد خام</v>
      </c>
      <c r="F20" s="2" t="str">
        <f>IF($I20=0,"",INDEX('إدخال وسجل المنتجات'!$G$5:$G$590,$I20))</f>
        <v>وحدة</v>
      </c>
      <c r="G20" s="12"/>
      <c r="H20" s="13"/>
      <c r="I20">
        <f>SUMPRODUCT(('إدخال وسجل المنتجات'!$I$5:$I$590="CHL")*('إدخال وسجل المنتجات'!$M$5:$M$590=17)*(ROW('إدخال وسجل المنتجات'!$I$5:$I$590)-4))</f>
        <v>313</v>
      </c>
      <c r="J20" s="2" t="str">
        <f>IF($I20=0,"",IF($G20="","",$G20*IF(INDEX('إدخال وسجل المنتجات'!$U$5:$U$590,$I20)=0,1,INDEX('إدخال وسجل المنتجات'!$U$5:$U$590,$I20))))</f>
        <v/>
      </c>
    </row>
    <row r="21" spans="1:10" ht="16" x14ac:dyDescent="0.15">
      <c r="A21" s="2">
        <f>IF($I21=0,"",18)</f>
        <v>18</v>
      </c>
      <c r="B21" s="9" t="str">
        <f>IF($I21=0,"",INDEX('إدخال وسجل المنتجات'!$F$5:$F$590,$I21))</f>
        <v>RAW-CHL-008</v>
      </c>
      <c r="C21" s="8" t="str">
        <f>IF($I21=0,"",INDEX('إدخال وسجل المنتجات'!$B$5:$B$590,$I21))</f>
        <v>تفاح</v>
      </c>
      <c r="D21" s="10" t="str">
        <f>IF($I21=0,"",INDEX('إدخال وسجل المنتجات'!$C$5:$C$590,$I21))</f>
        <v>Apple</v>
      </c>
      <c r="E21" s="11" t="str">
        <f>IF($I21=0,"",INDEX('إدخال وسجل المنتجات'!$D$5:$D$590,$I21))</f>
        <v>مواد خام</v>
      </c>
      <c r="F21" s="2" t="str">
        <f>IF($I21=0,"",INDEX('إدخال وسجل المنتجات'!$G$5:$G$590,$I21))</f>
        <v>كيلو</v>
      </c>
      <c r="G21" s="12"/>
      <c r="H21" s="13"/>
      <c r="I21">
        <f>SUMPRODUCT(('إدخال وسجل المنتجات'!$I$5:$I$590="CHL")*('إدخال وسجل المنتجات'!$M$5:$M$590=18)*(ROW('إدخال وسجل المنتجات'!$I$5:$I$590)-4))</f>
        <v>319</v>
      </c>
      <c r="J21" s="2" t="str">
        <f>IF($I21=0,"",IF($G21="","",$G21*IF(INDEX('إدخال وسجل المنتجات'!$U$5:$U$590,$I21)=0,1,INDEX('إدخال وسجل المنتجات'!$U$5:$U$590,$I21))))</f>
        <v/>
      </c>
    </row>
    <row r="22" spans="1:10" ht="16" x14ac:dyDescent="0.15">
      <c r="A22" s="2">
        <f>IF($I22=0,"",19)</f>
        <v>19</v>
      </c>
      <c r="B22" s="9" t="str">
        <f>IF($I22=0,"",INDEX('إدخال وسجل المنتجات'!$F$5:$F$590,$I22))</f>
        <v>RAW-CHL-009</v>
      </c>
      <c r="C22" s="8" t="str">
        <f>IF($I22=0,"",INDEX('إدخال وسجل المنتجات'!$B$5:$B$590,$I22))</f>
        <v>توت احمر</v>
      </c>
      <c r="D22" s="10" t="str">
        <f>IF($I22=0,"",INDEX('إدخال وسجل المنتجات'!$C$5:$C$590,$I22))</f>
        <v>Berry</v>
      </c>
      <c r="E22" s="11" t="str">
        <f>IF($I22=0,"",INDEX('إدخال وسجل المنتجات'!$D$5:$D$590,$I22))</f>
        <v>مواد خام</v>
      </c>
      <c r="F22" s="2" t="str">
        <f>IF($I22=0,"",INDEX('إدخال وسجل المنتجات'!$G$5:$G$590,$I22))</f>
        <v>كيلو</v>
      </c>
      <c r="G22" s="12"/>
      <c r="H22" s="13"/>
      <c r="I22">
        <f>SUMPRODUCT(('إدخال وسجل المنتجات'!$I$5:$I$590="CHL")*('إدخال وسجل المنتجات'!$M$5:$M$590=19)*(ROW('إدخال وسجل المنتجات'!$I$5:$I$590)-4))</f>
        <v>322</v>
      </c>
      <c r="J22" s="2" t="str">
        <f>IF($I22=0,"",IF($G22="","",$G22*IF(INDEX('إدخال وسجل المنتجات'!$U$5:$U$590,$I22)=0,1,INDEX('إدخال وسجل المنتجات'!$U$5:$U$590,$I22))))</f>
        <v/>
      </c>
    </row>
    <row r="23" spans="1:10" ht="16" x14ac:dyDescent="0.15">
      <c r="A23" s="2">
        <f>IF($I23=0,"",20)</f>
        <v>20</v>
      </c>
      <c r="B23" s="9" t="str">
        <f>IF($I23=0,"",INDEX('إدخال وسجل المنتجات'!$F$5:$F$590,$I23))</f>
        <v>RAW-CHL-010</v>
      </c>
      <c r="C23" s="8" t="str">
        <f>IF($I23=0,"",INDEX('إدخال وسجل المنتجات'!$B$5:$B$590,$I23))</f>
        <v>جبن الماعز</v>
      </c>
      <c r="D23" s="10" t="str">
        <f>IF($I23=0,"",INDEX('إدخال وسجل المنتجات'!$C$5:$C$590,$I23))</f>
        <v>Goat Cheese</v>
      </c>
      <c r="E23" s="11" t="str">
        <f>IF($I23=0,"",INDEX('إدخال وسجل المنتجات'!$D$5:$D$590,$I23))</f>
        <v>مواد خام</v>
      </c>
      <c r="F23" s="2" t="str">
        <f>IF($I23=0,"",INDEX('إدخال وسجل المنتجات'!$G$5:$G$590,$I23))</f>
        <v>كيلو</v>
      </c>
      <c r="G23" s="12"/>
      <c r="H23" s="13"/>
      <c r="I23">
        <f>SUMPRODUCT(('إدخال وسجل المنتجات'!$I$5:$I$590="CHL")*('إدخال وسجل المنتجات'!$M$5:$M$590=20)*(ROW('إدخال وسجل المنتجات'!$I$5:$I$590)-4))</f>
        <v>327</v>
      </c>
      <c r="J23" s="2" t="str">
        <f>IF($I23=0,"",IF($G23="","",$G23*IF(INDEX('إدخال وسجل المنتجات'!$U$5:$U$590,$I23)=0,1,INDEX('إدخال وسجل المنتجات'!$U$5:$U$590,$I23))))</f>
        <v/>
      </c>
    </row>
    <row r="24" spans="1:10" ht="16" x14ac:dyDescent="0.15">
      <c r="A24" s="2">
        <f>IF($I24=0,"",21)</f>
        <v>21</v>
      </c>
      <c r="B24" s="9" t="str">
        <f>IF($I24=0,"",INDEX('إدخال وسجل المنتجات'!$F$5:$F$590,$I24))</f>
        <v>RAW-CHL-011</v>
      </c>
      <c r="C24" s="8" t="str">
        <f>IF($I24=0,"",INDEX('إدخال وسجل المنتجات'!$B$5:$B$590,$I24))</f>
        <v>جبن بارميزان</v>
      </c>
      <c r="D24" s="10" t="str">
        <f>IF($I24=0,"",INDEX('إدخال وسجل المنتجات'!$C$5:$C$590,$I24))</f>
        <v>Parmesan Cheese</v>
      </c>
      <c r="E24" s="11" t="str">
        <f>IF($I24=0,"",INDEX('إدخال وسجل المنتجات'!$D$5:$D$590,$I24))</f>
        <v>مواد خام</v>
      </c>
      <c r="F24" s="2" t="str">
        <f>IF($I24=0,"",INDEX('إدخال وسجل المنتجات'!$G$5:$G$590,$I24))</f>
        <v>كيلو</v>
      </c>
      <c r="G24" s="12"/>
      <c r="H24" s="13"/>
      <c r="I24">
        <f>SUMPRODUCT(('إدخال وسجل المنتجات'!$I$5:$I$590="CHL")*('إدخال وسجل المنتجات'!$M$5:$M$590=21)*(ROW('إدخال وسجل المنتجات'!$I$5:$I$590)-4))</f>
        <v>328</v>
      </c>
      <c r="J24" s="2" t="str">
        <f>IF($I24=0,"",IF($G24="","",$G24*IF(INDEX('إدخال وسجل المنتجات'!$U$5:$U$590,$I24)=0,1,INDEX('إدخال وسجل المنتجات'!$U$5:$U$590,$I24))))</f>
        <v/>
      </c>
    </row>
    <row r="25" spans="1:10" ht="16" x14ac:dyDescent="0.15">
      <c r="A25" s="2">
        <f>IF($I25=0,"",22)</f>
        <v>22</v>
      </c>
      <c r="B25" s="9" t="str">
        <f>IF($I25=0,"",INDEX('إدخال وسجل المنتجات'!$F$5:$F$590,$I25))</f>
        <v>RAW-CHL-012</v>
      </c>
      <c r="C25" s="8" t="str">
        <f>IF($I25=0,"",INDEX('إدخال وسجل المنتجات'!$B$5:$B$590,$I25))</f>
        <v>جبن بوراتا</v>
      </c>
      <c r="D25" s="10" t="str">
        <f>IF($I25=0,"",INDEX('إدخال وسجل المنتجات'!$C$5:$C$590,$I25))</f>
        <v>Burrata Cheese</v>
      </c>
      <c r="E25" s="11" t="str">
        <f>IF($I25=0,"",INDEX('إدخال وسجل المنتجات'!$D$5:$D$590,$I25))</f>
        <v>مواد خام</v>
      </c>
      <c r="F25" s="2" t="str">
        <f>IF($I25=0,"",INDEX('إدخال وسجل المنتجات'!$G$5:$G$590,$I25))</f>
        <v>كيلو</v>
      </c>
      <c r="G25" s="12"/>
      <c r="H25" s="13"/>
      <c r="I25">
        <f>SUMPRODUCT(('إدخال وسجل المنتجات'!$I$5:$I$590="CHL")*('إدخال وسجل المنتجات'!$M$5:$M$590=22)*(ROW('إدخال وسجل المنتجات'!$I$5:$I$590)-4))</f>
        <v>329</v>
      </c>
      <c r="J25" s="2" t="str">
        <f>IF($I25=0,"",IF($G25="","",$G25*IF(INDEX('إدخال وسجل المنتجات'!$U$5:$U$590,$I25)=0,1,INDEX('إدخال وسجل المنتجات'!$U$5:$U$590,$I25))))</f>
        <v/>
      </c>
    </row>
    <row r="26" spans="1:10" ht="16" x14ac:dyDescent="0.15">
      <c r="A26" s="2">
        <f>IF($I26=0,"",23)</f>
        <v>23</v>
      </c>
      <c r="B26" s="9" t="str">
        <f>IF($I26=0,"",INDEX('إدخال وسجل المنتجات'!$F$5:$F$590,$I26))</f>
        <v>RAW-CHL-013</v>
      </c>
      <c r="C26" s="8" t="str">
        <f>IF($I26=0,"",INDEX('إدخال وسجل المنتجات'!$B$5:$B$590,$I26))</f>
        <v>جبن جران مورافيا</v>
      </c>
      <c r="D26" s="10" t="str">
        <f>IF($I26=0,"",INDEX('إدخال وسجل المنتجات'!$C$5:$C$590,$I26))</f>
        <v>Grana Moravia Cheese</v>
      </c>
      <c r="E26" s="11" t="str">
        <f>IF($I26=0,"",INDEX('إدخال وسجل المنتجات'!$D$5:$D$590,$I26))</f>
        <v>مواد خام</v>
      </c>
      <c r="F26" s="2" t="str">
        <f>IF($I26=0,"",INDEX('إدخال وسجل المنتجات'!$G$5:$G$590,$I26))</f>
        <v>كيلو</v>
      </c>
      <c r="G26" s="12"/>
      <c r="H26" s="13"/>
      <c r="I26">
        <f>SUMPRODUCT(('إدخال وسجل المنتجات'!$I$5:$I$590="CHL")*('إدخال وسجل المنتجات'!$M$5:$M$590=23)*(ROW('إدخال وسجل المنتجات'!$I$5:$I$590)-4))</f>
        <v>330</v>
      </c>
      <c r="J26" s="2" t="str">
        <f>IF($I26=0,"",IF($G26="","",$G26*IF(INDEX('إدخال وسجل المنتجات'!$U$5:$U$590,$I26)=0,1,INDEX('إدخال وسجل المنتجات'!$U$5:$U$590,$I26))))</f>
        <v/>
      </c>
    </row>
    <row r="27" spans="1:10" ht="16" x14ac:dyDescent="0.15">
      <c r="A27" s="2">
        <f>IF($I27=0,"",24)</f>
        <v>24</v>
      </c>
      <c r="B27" s="9" t="str">
        <f>IF($I27=0,"",INDEX('إدخال وسجل المنتجات'!$F$5:$F$590,$I27))</f>
        <v>RAW-CHL-014</v>
      </c>
      <c r="C27" s="8" t="str">
        <f>IF($I27=0,"",INDEX('إدخال وسجل المنتجات'!$B$5:$B$590,$I27))</f>
        <v>جبن جرانا بيدانا</v>
      </c>
      <c r="D27" s="10" t="str">
        <f>IF($I27=0,"",INDEX('إدخال وسجل المنتجات'!$C$5:$C$590,$I27))</f>
        <v>Padano Cheese</v>
      </c>
      <c r="E27" s="11" t="str">
        <f>IF($I27=0,"",INDEX('إدخال وسجل المنتجات'!$D$5:$D$590,$I27))</f>
        <v>مواد خام</v>
      </c>
      <c r="F27" s="2" t="str">
        <f>IF($I27=0,"",INDEX('إدخال وسجل المنتجات'!$G$5:$G$590,$I27))</f>
        <v>كيلو</v>
      </c>
      <c r="G27" s="12"/>
      <c r="H27" s="13"/>
      <c r="I27">
        <f>SUMPRODUCT(('إدخال وسجل المنتجات'!$I$5:$I$590="CHL")*('إدخال وسجل المنتجات'!$M$5:$M$590=24)*(ROW('إدخال وسجل المنتجات'!$I$5:$I$590)-4))</f>
        <v>331</v>
      </c>
      <c r="J27" s="2" t="str">
        <f>IF($I27=0,"",IF($G27="","",$G27*IF(INDEX('إدخال وسجل المنتجات'!$U$5:$U$590,$I27)=0,1,INDEX('إدخال وسجل المنتجات'!$U$5:$U$590,$I27))))</f>
        <v/>
      </c>
    </row>
    <row r="28" spans="1:10" ht="16" x14ac:dyDescent="0.15">
      <c r="A28" s="2">
        <f>IF($I28=0,"",25)</f>
        <v>25</v>
      </c>
      <c r="B28" s="9" t="str">
        <f>IF($I28=0,"",INDEX('إدخال وسجل المنتجات'!$F$5:$F$590,$I28))</f>
        <v>RAW-CHL-015</v>
      </c>
      <c r="C28" s="8" t="str">
        <f>IF($I28=0,"",INDEX('إدخال وسجل المنتجات'!$B$5:$B$590,$I28))</f>
        <v>جبن فيتا</v>
      </c>
      <c r="D28" s="10" t="str">
        <f>IF($I28=0,"",INDEX('إدخال وسجل المنتجات'!$C$5:$C$590,$I28))</f>
        <v>Feta Cheese</v>
      </c>
      <c r="E28" s="11" t="str">
        <f>IF($I28=0,"",INDEX('إدخال وسجل المنتجات'!$D$5:$D$590,$I28))</f>
        <v>مواد خام</v>
      </c>
      <c r="F28" s="2" t="str">
        <f>IF($I28=0,"",INDEX('إدخال وسجل المنتجات'!$G$5:$G$590,$I28))</f>
        <v>كيلو</v>
      </c>
      <c r="G28" s="12"/>
      <c r="H28" s="13"/>
      <c r="I28">
        <f>SUMPRODUCT(('إدخال وسجل المنتجات'!$I$5:$I$590="CHL")*('إدخال وسجل المنتجات'!$M$5:$M$590=25)*(ROW('إدخال وسجل المنتجات'!$I$5:$I$590)-4))</f>
        <v>332</v>
      </c>
      <c r="J28" s="2" t="str">
        <f>IF($I28=0,"",IF($G28="","",$G28*IF(INDEX('إدخال وسجل المنتجات'!$U$5:$U$590,$I28)=0,1,INDEX('إدخال وسجل المنتجات'!$U$5:$U$590,$I28))))</f>
        <v/>
      </c>
    </row>
    <row r="29" spans="1:10" ht="16" x14ac:dyDescent="0.15">
      <c r="A29" s="2">
        <f>IF($I29=0,"",26)</f>
        <v>26</v>
      </c>
      <c r="B29" s="9" t="str">
        <f>IF($I29=0,"",INDEX('إدخال وسجل المنتجات'!$F$5:$F$590,$I29))</f>
        <v>RAW-CHL-016</v>
      </c>
      <c r="C29" s="8" t="str">
        <f>IF($I29=0,"",INDEX('إدخال وسجل المنتجات'!$B$5:$B$590,$I29))</f>
        <v>جبن كريمي انكور</v>
      </c>
      <c r="D29" s="10" t="str">
        <f>IF($I29=0,"",INDEX('إدخال وسجل المنتجات'!$C$5:$C$590,$I29))</f>
        <v>Anchor Cheese</v>
      </c>
      <c r="E29" s="11" t="str">
        <f>IF($I29=0,"",INDEX('إدخال وسجل المنتجات'!$D$5:$D$590,$I29))</f>
        <v>مواد خام</v>
      </c>
      <c r="F29" s="2" t="str">
        <f>IF($I29=0,"",INDEX('إدخال وسجل المنتجات'!$G$5:$G$590,$I29))</f>
        <v>كيلو</v>
      </c>
      <c r="G29" s="12"/>
      <c r="H29" s="13"/>
      <c r="I29">
        <f>SUMPRODUCT(('إدخال وسجل المنتجات'!$I$5:$I$590="CHL")*('إدخال وسجل المنتجات'!$M$5:$M$590=26)*(ROW('إدخال وسجل المنتجات'!$I$5:$I$590)-4))</f>
        <v>333</v>
      </c>
      <c r="J29" s="2" t="str">
        <f>IF($I29=0,"",IF($G29="","",$G29*IF(INDEX('إدخال وسجل المنتجات'!$U$5:$U$590,$I29)=0,1,INDEX('إدخال وسجل المنتجات'!$U$5:$U$590,$I29))))</f>
        <v/>
      </c>
    </row>
    <row r="30" spans="1:10" ht="16" x14ac:dyDescent="0.15">
      <c r="A30" s="2">
        <f>IF($I30=0,"",27)</f>
        <v>27</v>
      </c>
      <c r="B30" s="9" t="str">
        <f>IF($I30=0,"",INDEX('إدخال وسجل المنتجات'!$F$5:$F$590,$I30))</f>
        <v>RAW-CHL-017</v>
      </c>
      <c r="C30" s="8" t="str">
        <f>IF($I30=0,"",INDEX('إدخال وسجل المنتجات'!$B$5:$B$590,$I30))</f>
        <v>جبن مونتري جاك</v>
      </c>
      <c r="D30" s="10" t="str">
        <f>IF($I30=0,"",INDEX('إدخال وسجل المنتجات'!$C$5:$C$590,$I30))</f>
        <v>Monterey Cheese</v>
      </c>
      <c r="E30" s="11" t="str">
        <f>IF($I30=0,"",INDEX('إدخال وسجل المنتجات'!$D$5:$D$590,$I30))</f>
        <v>مواد خام</v>
      </c>
      <c r="F30" s="2" t="str">
        <f>IF($I30=0,"",INDEX('إدخال وسجل المنتجات'!$G$5:$G$590,$I30))</f>
        <v>كيلو</v>
      </c>
      <c r="G30" s="12"/>
      <c r="H30" s="13"/>
      <c r="I30">
        <f>SUMPRODUCT(('إدخال وسجل المنتجات'!$I$5:$I$590="CHL")*('إدخال وسجل المنتجات'!$M$5:$M$590=27)*(ROW('إدخال وسجل المنتجات'!$I$5:$I$590)-4))</f>
        <v>334</v>
      </c>
      <c r="J30" s="2" t="str">
        <f>IF($I30=0,"",IF($G30="","",$G30*IF(INDEX('إدخال وسجل المنتجات'!$U$5:$U$590,$I30)=0,1,INDEX('إدخال وسجل المنتجات'!$U$5:$U$590,$I30))))</f>
        <v/>
      </c>
    </row>
    <row r="31" spans="1:10" ht="16" x14ac:dyDescent="0.15">
      <c r="A31" s="2">
        <f>IF($I31=0,"",28)</f>
        <v>28</v>
      </c>
      <c r="B31" s="9" t="str">
        <f>IF($I31=0,"",INDEX('إدخال وسجل المنتجات'!$F$5:$F$590,$I31))</f>
        <v>RAW-CHL-018</v>
      </c>
      <c r="C31" s="8" t="str">
        <f>IF($I31=0,"",INDEX('إدخال وسجل المنتجات'!$B$5:$B$590,$I31))</f>
        <v>جبنة قشقوان</v>
      </c>
      <c r="D31" s="10" t="str">
        <f>IF($I31=0,"",INDEX('إدخال وسجل المنتجات'!$C$5:$C$590,$I31))</f>
        <v>Kashkaval Cheese</v>
      </c>
      <c r="E31" s="11" t="str">
        <f>IF($I31=0,"",INDEX('إدخال وسجل المنتجات'!$D$5:$D$590,$I31))</f>
        <v>مواد خام</v>
      </c>
      <c r="F31" s="2" t="str">
        <f>IF($I31=0,"",INDEX('إدخال وسجل المنتجات'!$G$5:$G$590,$I31))</f>
        <v>كيلو</v>
      </c>
      <c r="G31" s="12"/>
      <c r="H31" s="13"/>
      <c r="I31">
        <f>SUMPRODUCT(('إدخال وسجل المنتجات'!$I$5:$I$590="CHL")*('إدخال وسجل المنتجات'!$M$5:$M$590=28)*(ROW('إدخال وسجل المنتجات'!$I$5:$I$590)-4))</f>
        <v>335</v>
      </c>
      <c r="J31" s="2" t="str">
        <f>IF($I31=0,"",IF($G31="","",$G31*IF(INDEX('إدخال وسجل المنتجات'!$U$5:$U$590,$I31)=0,1,INDEX('إدخال وسجل المنتجات'!$U$5:$U$590,$I31))))</f>
        <v/>
      </c>
    </row>
    <row r="32" spans="1:10" ht="16" x14ac:dyDescent="0.15">
      <c r="A32" s="2">
        <f>IF($I32=0,"",29)</f>
        <v>29</v>
      </c>
      <c r="B32" s="9" t="str">
        <f>IF($I32=0,"",INDEX('إدخال وسجل المنتجات'!$F$5:$F$590,$I32))</f>
        <v>RAW-CHL-019</v>
      </c>
      <c r="C32" s="8" t="str">
        <f>IF($I32=0,"",INDEX('إدخال وسجل المنتجات'!$B$5:$B$590,$I32))</f>
        <v>جرجير</v>
      </c>
      <c r="D32" s="10" t="str">
        <f>IF($I32=0,"",INDEX('إدخال وسجل المنتجات'!$C$5:$C$590,$I32))</f>
        <v>Arugula</v>
      </c>
      <c r="E32" s="11" t="str">
        <f>IF($I32=0,"",INDEX('إدخال وسجل المنتجات'!$D$5:$D$590,$I32))</f>
        <v>مواد خام</v>
      </c>
      <c r="F32" s="2" t="str">
        <f>IF($I32=0,"",INDEX('إدخال وسجل المنتجات'!$G$5:$G$590,$I32))</f>
        <v>كيلو</v>
      </c>
      <c r="G32" s="12"/>
      <c r="H32" s="13"/>
      <c r="I32">
        <f>SUMPRODUCT(('إدخال وسجل المنتجات'!$I$5:$I$590="CHL")*('إدخال وسجل المنتجات'!$M$5:$M$590=29)*(ROW('إدخال وسجل المنتجات'!$I$5:$I$590)-4))</f>
        <v>336</v>
      </c>
      <c r="J32" s="2" t="str">
        <f>IF($I32=0,"",IF($G32="","",$G32*IF(INDEX('إدخال وسجل المنتجات'!$U$5:$U$590,$I32)=0,1,INDEX('إدخال وسجل المنتجات'!$U$5:$U$590,$I32))))</f>
        <v/>
      </c>
    </row>
    <row r="33" spans="1:10" ht="16" x14ac:dyDescent="0.15">
      <c r="A33" s="2">
        <f>IF($I33=0,"",30)</f>
        <v>30</v>
      </c>
      <c r="B33" s="9" t="str">
        <f>IF($I33=0,"",INDEX('إدخال وسجل المنتجات'!$F$5:$F$590,$I33))</f>
        <v>RAW-CHL-020</v>
      </c>
      <c r="C33" s="8" t="str">
        <f>IF($I33=0,"",INDEX('إدخال وسجل المنتجات'!$B$5:$B$590,$I33))</f>
        <v>جزر</v>
      </c>
      <c r="D33" s="10" t="str">
        <f>IF($I33=0,"",INDEX('إدخال وسجل المنتجات'!$C$5:$C$590,$I33))</f>
        <v>Carrot</v>
      </c>
      <c r="E33" s="11" t="str">
        <f>IF($I33=0,"",INDEX('إدخال وسجل المنتجات'!$D$5:$D$590,$I33))</f>
        <v>مواد خام</v>
      </c>
      <c r="F33" s="2" t="str">
        <f>IF($I33=0,"",INDEX('إدخال وسجل المنتجات'!$G$5:$G$590,$I33))</f>
        <v>كيلو</v>
      </c>
      <c r="G33" s="12"/>
      <c r="H33" s="13"/>
      <c r="I33">
        <f>SUMPRODUCT(('إدخال وسجل المنتجات'!$I$5:$I$590="CHL")*('إدخال وسجل المنتجات'!$M$5:$M$590=30)*(ROW('إدخال وسجل المنتجات'!$I$5:$I$590)-4))</f>
        <v>337</v>
      </c>
      <c r="J33" s="2" t="str">
        <f>IF($I33=0,"",IF($G33="","",$G33*IF(INDEX('إدخال وسجل المنتجات'!$U$5:$U$590,$I33)=0,1,INDEX('إدخال وسجل المنتجات'!$U$5:$U$590,$I33))))</f>
        <v/>
      </c>
    </row>
    <row r="34" spans="1:10" ht="16" x14ac:dyDescent="0.15">
      <c r="A34" s="2">
        <f>IF($I34=0,"",31)</f>
        <v>31</v>
      </c>
      <c r="B34" s="9" t="str">
        <f>IF($I34=0,"",INDEX('إدخال وسجل المنتجات'!$F$5:$F$590,$I34))</f>
        <v>RAW-CHL-021</v>
      </c>
      <c r="C34" s="8" t="str">
        <f>IF($I34=0,"",INDEX('إدخال وسجل المنتجات'!$B$5:$B$590,$I34))</f>
        <v>حلومي</v>
      </c>
      <c r="D34" s="10" t="str">
        <f>IF($I34=0,"",INDEX('إدخال وسجل المنتجات'!$C$5:$C$590,$I34))</f>
        <v>Halloumi</v>
      </c>
      <c r="E34" s="11" t="str">
        <f>IF($I34=0,"",INDEX('إدخال وسجل المنتجات'!$D$5:$D$590,$I34))</f>
        <v>مواد خام</v>
      </c>
      <c r="F34" s="2" t="str">
        <f>IF($I34=0,"",INDEX('إدخال وسجل المنتجات'!$G$5:$G$590,$I34))</f>
        <v>كيلو</v>
      </c>
      <c r="G34" s="12"/>
      <c r="H34" s="13"/>
      <c r="I34">
        <f>SUMPRODUCT(('إدخال وسجل المنتجات'!$I$5:$I$590="CHL")*('إدخال وسجل المنتجات'!$M$5:$M$590=31)*(ROW('إدخال وسجل المنتجات'!$I$5:$I$590)-4))</f>
        <v>349</v>
      </c>
      <c r="J34" s="2" t="str">
        <f>IF($I34=0,"",IF($G34="","",$G34*IF(INDEX('إدخال وسجل المنتجات'!$U$5:$U$590,$I34)=0,1,INDEX('إدخال وسجل المنتجات'!$U$5:$U$590,$I34))))</f>
        <v/>
      </c>
    </row>
    <row r="35" spans="1:10" ht="16" x14ac:dyDescent="0.15">
      <c r="A35" s="2">
        <f>IF($I35=0,"",32)</f>
        <v>32</v>
      </c>
      <c r="B35" s="9" t="str">
        <f>IF($I35=0,"",INDEX('إدخال وسجل المنتجات'!$F$5:$F$590,$I35))</f>
        <v>RAW-CHL-022</v>
      </c>
      <c r="C35" s="8" t="str">
        <f>IF($I35=0,"",INDEX('إدخال وسجل المنتجات'!$B$5:$B$590,$I35))</f>
        <v>حليب فرشكو</v>
      </c>
      <c r="D35" s="10" t="str">
        <f>IF($I35=0,"",INDEX('إدخال وسجل المنتجات'!$C$5:$C$590,$I35))</f>
        <v>Fresh Milk</v>
      </c>
      <c r="E35" s="11" t="str">
        <f>IF($I35=0,"",INDEX('إدخال وسجل المنتجات'!$D$5:$D$590,$I35))</f>
        <v>مواد خام</v>
      </c>
      <c r="F35" s="2" t="str">
        <f>IF($I35=0,"",INDEX('إدخال وسجل المنتجات'!$G$5:$G$590,$I35))</f>
        <v>لتر</v>
      </c>
      <c r="G35" s="12"/>
      <c r="H35" s="13"/>
      <c r="I35">
        <f>SUMPRODUCT(('إدخال وسجل المنتجات'!$I$5:$I$590="CHL")*('إدخال وسجل المنتجات'!$M$5:$M$590=32)*(ROW('إدخال وسجل المنتجات'!$I$5:$I$590)-4))</f>
        <v>351</v>
      </c>
      <c r="J35" s="2" t="str">
        <f>IF($I35=0,"",IF($G35="","",$G35*IF(INDEX('إدخال وسجل المنتجات'!$U$5:$U$590,$I35)=0,1,INDEX('إدخال وسجل المنتجات'!$U$5:$U$590,$I35))))</f>
        <v/>
      </c>
    </row>
    <row r="36" spans="1:10" ht="16" x14ac:dyDescent="0.15">
      <c r="A36" s="2">
        <f>IF($I36=0,"",33)</f>
        <v>33</v>
      </c>
      <c r="B36" s="9" t="str">
        <f>IF($I36=0,"",INDEX('إدخال وسجل المنتجات'!$F$5:$F$590,$I36))</f>
        <v>RAW-CHL-023</v>
      </c>
      <c r="C36" s="8" t="str">
        <f>IF($I36=0,"",INDEX('إدخال وسجل المنتجات'!$B$5:$B$590,$I36))</f>
        <v>خس رومين</v>
      </c>
      <c r="D36" s="10" t="str">
        <f>IF($I36=0,"",INDEX('إدخال وسجل المنتجات'!$C$5:$C$590,$I36))</f>
        <v>Lettuce</v>
      </c>
      <c r="E36" s="11" t="str">
        <f>IF($I36=0,"",INDEX('إدخال وسجل المنتجات'!$D$5:$D$590,$I36))</f>
        <v>مواد خام</v>
      </c>
      <c r="F36" s="2" t="str">
        <f>IF($I36=0,"",INDEX('إدخال وسجل المنتجات'!$G$5:$G$590,$I36))</f>
        <v>كيلو</v>
      </c>
      <c r="G36" s="12"/>
      <c r="H36" s="13"/>
      <c r="I36">
        <f>SUMPRODUCT(('إدخال وسجل المنتجات'!$I$5:$I$590="CHL")*('إدخال وسجل المنتجات'!$M$5:$M$590=33)*(ROW('إدخال وسجل المنتجات'!$I$5:$I$590)-4))</f>
        <v>355</v>
      </c>
      <c r="J36" s="2" t="str">
        <f>IF($I36=0,"",IF($G36="","",$G36*IF(INDEX('إدخال وسجل المنتجات'!$U$5:$U$590,$I36)=0,1,INDEX('إدخال وسجل المنتجات'!$U$5:$U$590,$I36))))</f>
        <v/>
      </c>
    </row>
    <row r="37" spans="1:10" ht="16" x14ac:dyDescent="0.15">
      <c r="A37" s="2">
        <f>IF($I37=0,"",34)</f>
        <v>34</v>
      </c>
      <c r="B37" s="9" t="str">
        <f>IF($I37=0,"",INDEX('إدخال وسجل المنتجات'!$F$5:$F$590,$I37))</f>
        <v>RAW-CHL-024</v>
      </c>
      <c r="C37" s="8" t="str">
        <f>IF($I37=0,"",INDEX('إدخال وسجل المنتجات'!$B$5:$B$590,$I37))</f>
        <v>خس لولو روسو</v>
      </c>
      <c r="D37" s="10" t="str">
        <f>IF($I37=0,"",INDEX('إدخال وسجل المنتجات'!$C$5:$C$590,$I37))</f>
        <v>Lettuce</v>
      </c>
      <c r="E37" s="11" t="str">
        <f>IF($I37=0,"",INDEX('إدخال وسجل المنتجات'!$D$5:$D$590,$I37))</f>
        <v>مواد خام</v>
      </c>
      <c r="F37" s="2" t="str">
        <f>IF($I37=0,"",INDEX('إدخال وسجل المنتجات'!$G$5:$G$590,$I37))</f>
        <v>كيلو</v>
      </c>
      <c r="G37" s="12"/>
      <c r="H37" s="13"/>
      <c r="I37">
        <f>SUMPRODUCT(('إدخال وسجل المنتجات'!$I$5:$I$590="CHL")*('إدخال وسجل المنتجات'!$M$5:$M$590=34)*(ROW('إدخال وسجل المنتجات'!$I$5:$I$590)-4))</f>
        <v>356</v>
      </c>
      <c r="J37" s="2" t="str">
        <f>IF($I37=0,"",IF($G37="","",$G37*IF(INDEX('إدخال وسجل المنتجات'!$U$5:$U$590,$I37)=0,1,INDEX('إدخال وسجل المنتجات'!$U$5:$U$590,$I37))))</f>
        <v/>
      </c>
    </row>
    <row r="38" spans="1:10" ht="16" x14ac:dyDescent="0.15">
      <c r="A38" s="2">
        <f>IF($I38=0,"",35)</f>
        <v>35</v>
      </c>
      <c r="B38" s="9" t="str">
        <f>IF($I38=0,"",INDEX('إدخال وسجل المنتجات'!$F$5:$F$590,$I38))</f>
        <v>RAW-CHL-025</v>
      </c>
      <c r="C38" s="8" t="str">
        <f>IF($I38=0,"",INDEX('إدخال وسجل المنتجات'!$B$5:$B$590,$I38))</f>
        <v>خضروات</v>
      </c>
      <c r="D38" s="10" t="str">
        <f>IF($I38=0,"",INDEX('إدخال وسجل المنتجات'!$C$5:$C$590,$I38))</f>
        <v>Vegetables</v>
      </c>
      <c r="E38" s="11" t="str">
        <f>IF($I38=0,"",INDEX('إدخال وسجل المنتجات'!$D$5:$D$590,$I38))</f>
        <v>مواد خام</v>
      </c>
      <c r="F38" s="2" t="str">
        <f>IF($I38=0,"",INDEX('إدخال وسجل المنتجات'!$G$5:$G$590,$I38))</f>
        <v>كيلو</v>
      </c>
      <c r="G38" s="12"/>
      <c r="H38" s="13"/>
      <c r="I38">
        <f>SUMPRODUCT(('إدخال وسجل المنتجات'!$I$5:$I$590="CHL")*('إدخال وسجل المنتجات'!$M$5:$M$590=35)*(ROW('إدخال وسجل المنتجات'!$I$5:$I$590)-4))</f>
        <v>357</v>
      </c>
      <c r="J38" s="2" t="str">
        <f>IF($I38=0,"",IF($G38="","",$G38*IF(INDEX('إدخال وسجل المنتجات'!$U$5:$U$590,$I38)=0,1,INDEX('إدخال وسجل المنتجات'!$U$5:$U$590,$I38))))</f>
        <v/>
      </c>
    </row>
    <row r="39" spans="1:10" ht="16" x14ac:dyDescent="0.15">
      <c r="A39" s="2">
        <f>IF($I39=0,"",36)</f>
        <v>36</v>
      </c>
      <c r="B39" s="9" t="str">
        <f>IF($I39=0,"",INDEX('إدخال وسجل المنتجات'!$F$5:$F$590,$I39))</f>
        <v>RAW-CHL-026</v>
      </c>
      <c r="C39" s="8" t="str">
        <f>IF($I39=0,"",INDEX('إدخال وسجل المنتجات'!$B$5:$B$590,$I39))</f>
        <v>خوخ</v>
      </c>
      <c r="D39" s="10" t="str">
        <f>IF($I39=0,"",INDEX('إدخال وسجل المنتجات'!$C$5:$C$590,$I39))</f>
        <v>Peach</v>
      </c>
      <c r="E39" s="11" t="str">
        <f>IF($I39=0,"",INDEX('إدخال وسجل المنتجات'!$D$5:$D$590,$I39))</f>
        <v>مواد خام</v>
      </c>
      <c r="F39" s="2" t="str">
        <f>IF($I39=0,"",INDEX('إدخال وسجل المنتجات'!$G$5:$G$590,$I39))</f>
        <v>كيلو</v>
      </c>
      <c r="G39" s="12"/>
      <c r="H39" s="13"/>
      <c r="I39">
        <f>SUMPRODUCT(('إدخال وسجل المنتجات'!$I$5:$I$590="CHL")*('إدخال وسجل المنتجات'!$M$5:$M$590=36)*(ROW('إدخال وسجل المنتجات'!$I$5:$I$590)-4))</f>
        <v>363</v>
      </c>
      <c r="J39" s="2" t="str">
        <f>IF($I39=0,"",IF($G39="","",$G39*IF(INDEX('إدخال وسجل المنتجات'!$U$5:$U$590,$I39)=0,1,INDEX('إدخال وسجل المنتجات'!$U$5:$U$590,$I39))))</f>
        <v/>
      </c>
    </row>
    <row r="40" spans="1:10" ht="16" x14ac:dyDescent="0.15">
      <c r="A40" s="2">
        <f>IF($I40=0,"",37)</f>
        <v>37</v>
      </c>
      <c r="B40" s="9" t="str">
        <f>IF($I40=0,"",INDEX('إدخال وسجل المنتجات'!$F$5:$F$590,$I40))</f>
        <v>RAW-CHL-027</v>
      </c>
      <c r="C40" s="8" t="str">
        <f>IF($I40=0,"",INDEX('إدخال وسجل المنتجات'!$B$5:$B$590,$I40))</f>
        <v>رمان</v>
      </c>
      <c r="D40" s="10" t="str">
        <f>IF($I40=0,"",INDEX('إدخال وسجل المنتجات'!$C$5:$C$590,$I40))</f>
        <v>Pomegranate</v>
      </c>
      <c r="E40" s="11" t="str">
        <f>IF($I40=0,"",INDEX('إدخال وسجل المنتجات'!$D$5:$D$590,$I40))</f>
        <v>مواد خام</v>
      </c>
      <c r="F40" s="2" t="str">
        <f>IF($I40=0,"",INDEX('إدخال وسجل المنتجات'!$G$5:$G$590,$I40))</f>
        <v>كيلو</v>
      </c>
      <c r="G40" s="12"/>
      <c r="H40" s="13"/>
      <c r="I40">
        <f>SUMPRODUCT(('إدخال وسجل المنتجات'!$I$5:$I$590="CHL")*('إدخال وسجل المنتجات'!$M$5:$M$590=37)*(ROW('إدخال وسجل المنتجات'!$I$5:$I$590)-4))</f>
        <v>374</v>
      </c>
      <c r="J40" s="2" t="str">
        <f>IF($I40=0,"",IF($G40="","",$G40*IF(INDEX('إدخال وسجل المنتجات'!$U$5:$U$590,$I40)=0,1,INDEX('إدخال وسجل المنتجات'!$U$5:$U$590,$I40))))</f>
        <v/>
      </c>
    </row>
    <row r="41" spans="1:10" s="21" customFormat="1" ht="16" x14ac:dyDescent="0.15">
      <c r="A41" s="15">
        <f>IF($I41=0,"",38)</f>
        <v>38</v>
      </c>
      <c r="B41" s="16" t="str">
        <f>IF($I41=0,"",INDEX('إدخال وسجل المنتجات'!$F$5:$F$590,$I41))</f>
        <v>TRN-CHL-011</v>
      </c>
      <c r="C41" s="17" t="str">
        <f>IF($I41=0,"",INDEX('إدخال وسجل المنتجات'!$B$5:$B$590,$I41))</f>
        <v>روزيتو</v>
      </c>
      <c r="D41" s="18" t="str">
        <f>IF($I41=0,"",INDEX('إدخال وسجل المنتجات'!$C$5:$C$590,$I41))</f>
        <v>Risotto</v>
      </c>
      <c r="E41" s="19" t="str">
        <f>IF($I41=0,"",INDEX('إدخال وسجل المنتجات'!$D$5:$D$590,$I41))</f>
        <v>مواد تحويلية</v>
      </c>
      <c r="F41" s="15" t="str">
        <f>IF($I41=0,"",INDEX('إدخال وسجل المنتجات'!$G$5:$G$590,$I41))</f>
        <v>كيلو</v>
      </c>
      <c r="G41" s="20"/>
      <c r="H41" s="20"/>
      <c r="I41" s="21">
        <f>SUMPRODUCT(('إدخال وسجل المنتجات'!$I$5:$I$590="CHL")*('إدخال وسجل المنتجات'!$M$5:$M$590=38)*(ROW('إدخال وسجل المنتجات'!$I$5:$I$590)-4))</f>
        <v>376</v>
      </c>
      <c r="J41" s="2" t="str">
        <f>IF($I41=0,"",IF($G41="","",$G41*IF(INDEX('إدخال وسجل المنتجات'!$U$5:$U$590,$I41)=0,1,INDEX('إدخال وسجل المنتجات'!$U$5:$U$590,$I41))))</f>
        <v/>
      </c>
    </row>
    <row r="42" spans="1:10" ht="16" x14ac:dyDescent="0.15">
      <c r="A42" s="2">
        <f>IF($I42=0,"",39)</f>
        <v>39</v>
      </c>
      <c r="B42" s="9" t="str">
        <f>IF($I42=0,"",INDEX('إدخال وسجل المنتجات'!$F$5:$F$590,$I42))</f>
        <v>RAW-CHL-028</v>
      </c>
      <c r="C42" s="8" t="str">
        <f>IF($I42=0,"",INDEX('إدخال وسجل المنتجات'!$B$5:$B$590,$I42))</f>
        <v>ريحان</v>
      </c>
      <c r="D42" s="10" t="str">
        <f>IF($I42=0,"",INDEX('إدخال وسجل المنتجات'!$C$5:$C$590,$I42))</f>
        <v>Basil</v>
      </c>
      <c r="E42" s="11" t="str">
        <f>IF($I42=0,"",INDEX('إدخال وسجل المنتجات'!$D$5:$D$590,$I42))</f>
        <v>مواد خام</v>
      </c>
      <c r="F42" s="2" t="str">
        <f>IF($I42=0,"",INDEX('إدخال وسجل المنتجات'!$G$5:$G$590,$I42))</f>
        <v>كيلو</v>
      </c>
      <c r="G42" s="12"/>
      <c r="H42" s="13"/>
      <c r="I42">
        <f>SUMPRODUCT(('إدخال وسجل المنتجات'!$I$5:$I$590="CHL")*('إدخال وسجل المنتجات'!$M$5:$M$590=39)*(ROW('إدخال وسجل المنتجات'!$I$5:$I$590)-4))</f>
        <v>379</v>
      </c>
      <c r="J42" s="2" t="str">
        <f>IF($I42=0,"",IF($G42="","",$G42*IF(INDEX('إدخال وسجل المنتجات'!$U$5:$U$590,$I42)=0,1,INDEX('إدخال وسجل المنتجات'!$U$5:$U$590,$I42))))</f>
        <v/>
      </c>
    </row>
    <row r="43" spans="1:10" ht="16" x14ac:dyDescent="0.15">
      <c r="A43" s="2">
        <f>IF($I43=0,"",40)</f>
        <v>40</v>
      </c>
      <c r="B43" s="9" t="str">
        <f>IF($I43=0,"",INDEX('إدخال وسجل المنتجات'!$F$5:$F$590,$I43))</f>
        <v>TRN-CHL-012</v>
      </c>
      <c r="C43" s="8" t="str">
        <f>IF($I43=0,"",INDEX('إدخال وسجل المنتجات'!$B$5:$B$590,$I43))</f>
        <v>ريسبي بيقل</v>
      </c>
      <c r="D43" s="10" t="str">
        <f>IF($I43=0,"",INDEX('إدخال وسجل المنتجات'!$C$5:$C$590,$I43))</f>
        <v>Recipe Bagel</v>
      </c>
      <c r="E43" s="11" t="str">
        <f>IF($I43=0,"",INDEX('إدخال وسجل المنتجات'!$D$5:$D$590,$I43))</f>
        <v>مواد تحويلية</v>
      </c>
      <c r="F43" s="2" t="str">
        <f>IF($I43=0,"",INDEX('إدخال وسجل المنتجات'!$G$5:$G$590,$I43))</f>
        <v>كيلو</v>
      </c>
      <c r="G43" s="12"/>
      <c r="H43" s="13"/>
      <c r="I43">
        <f>SUMPRODUCT(('إدخال وسجل المنتجات'!$I$5:$I$590="CHL")*('إدخال وسجل المنتجات'!$M$5:$M$590=40)*(ROW('إدخال وسجل المنتجات'!$I$5:$I$590)-4))</f>
        <v>380</v>
      </c>
      <c r="J43" s="2" t="str">
        <f>IF($I43=0,"",IF($G43="","",$G43*IF(INDEX('إدخال وسجل المنتجات'!$U$5:$U$590,$I43)=0,1,INDEX('إدخال وسجل المنتجات'!$U$5:$U$590,$I43))))</f>
        <v/>
      </c>
    </row>
    <row r="44" spans="1:10" ht="16" x14ac:dyDescent="0.15">
      <c r="A44" s="2">
        <f>IF($I44=0,"",41)</f>
        <v>41</v>
      </c>
      <c r="B44" s="9" t="str">
        <f>IF($I44=0,"",INDEX('إدخال وسجل المنتجات'!$F$5:$F$590,$I44))</f>
        <v>TRN-CHL-013</v>
      </c>
      <c r="C44" s="8" t="str">
        <f>IF($I44=0,"",INDEX('إدخال وسجل المنتجات'!$B$5:$B$590,$I44))</f>
        <v>ريسبي ساوردو الحبة الكاملة</v>
      </c>
      <c r="D44" s="10" t="str">
        <f>IF($I44=0,"",INDEX('إدخال وسجل المنتجات'!$C$5:$C$590,$I44))</f>
        <v>Recipe Sourdough Whole</v>
      </c>
      <c r="E44" s="11" t="str">
        <f>IF($I44=0,"",INDEX('إدخال وسجل المنتجات'!$D$5:$D$590,$I44))</f>
        <v>مواد تحويلية</v>
      </c>
      <c r="F44" s="2" t="str">
        <f>IF($I44=0,"",INDEX('إدخال وسجل المنتجات'!$G$5:$G$590,$I44))</f>
        <v>كيلو</v>
      </c>
      <c r="G44" s="12"/>
      <c r="H44" s="13"/>
      <c r="I44">
        <f>SUMPRODUCT(('إدخال وسجل المنتجات'!$I$5:$I$590="CHL")*('إدخال وسجل المنتجات'!$M$5:$M$590=41)*(ROW('إدخال وسجل المنتجات'!$I$5:$I$590)-4))</f>
        <v>381</v>
      </c>
      <c r="J44" s="2" t="str">
        <f>IF($I44=0,"",IF($G44="","",$G44*IF(INDEX('إدخال وسجل المنتجات'!$U$5:$U$590,$I44)=0,1,INDEX('إدخال وسجل المنتجات'!$U$5:$U$590,$I44))))</f>
        <v/>
      </c>
    </row>
    <row r="45" spans="1:10" ht="16" x14ac:dyDescent="0.15">
      <c r="A45" s="2">
        <f>IF($I45=0,"",42)</f>
        <v>42</v>
      </c>
      <c r="B45" s="9" t="str">
        <f>IF($I45=0,"",INDEX('إدخال وسجل المنتجات'!$F$5:$F$590,$I45))</f>
        <v>TRN-CHL-014</v>
      </c>
      <c r="C45" s="8" t="str">
        <f>IF($I45=0,"",INDEX('إدخال وسجل المنتجات'!$B$5:$B$590,$I45))</f>
        <v>ريسبي ساوردو الحبوب</v>
      </c>
      <c r="D45" s="10" t="str">
        <f>IF($I45=0,"",INDEX('إدخال وسجل المنتجات'!$C$5:$C$590,$I45))</f>
        <v>Recipe Sourdough Grains</v>
      </c>
      <c r="E45" s="11" t="str">
        <f>IF($I45=0,"",INDEX('إدخال وسجل المنتجات'!$D$5:$D$590,$I45))</f>
        <v>مواد تحويلية</v>
      </c>
      <c r="F45" s="2" t="str">
        <f>IF($I45=0,"",INDEX('إدخال وسجل المنتجات'!$G$5:$G$590,$I45))</f>
        <v>كيلو</v>
      </c>
      <c r="G45" s="12"/>
      <c r="H45" s="13"/>
      <c r="I45">
        <f>SUMPRODUCT(('إدخال وسجل المنتجات'!$I$5:$I$590="CHL")*('إدخال وسجل المنتجات'!$M$5:$M$590=42)*(ROW('إدخال وسجل المنتجات'!$I$5:$I$590)-4))</f>
        <v>382</v>
      </c>
      <c r="J45" s="2" t="str">
        <f>IF($I45=0,"",IF($G45="","",$G45*IF(INDEX('إدخال وسجل المنتجات'!$U$5:$U$590,$I45)=0,1,INDEX('إدخال وسجل المنتجات'!$U$5:$U$590,$I45))))</f>
        <v/>
      </c>
    </row>
    <row r="46" spans="1:10" ht="16" x14ac:dyDescent="0.15">
      <c r="A46" s="2">
        <f>IF($I46=0,"",43)</f>
        <v>43</v>
      </c>
      <c r="B46" s="9" t="str">
        <f>IF($I46=0,"",INDEX('إدخال وسجل المنتجات'!$F$5:$F$590,$I46))</f>
        <v>TRN-CHL-015</v>
      </c>
      <c r="C46" s="8" t="str">
        <f>IF($I46=0,"",INDEX('إدخال وسجل المنتجات'!$B$5:$B$590,$I46))</f>
        <v>ريسبي ساوردو الزيتون</v>
      </c>
      <c r="D46" s="10" t="str">
        <f>IF($I46=0,"",INDEX('إدخال وسجل المنتجات'!$C$5:$C$590,$I46))</f>
        <v>Recipe Sourdough Olive</v>
      </c>
      <c r="E46" s="11" t="str">
        <f>IF($I46=0,"",INDEX('إدخال وسجل المنتجات'!$D$5:$D$590,$I46))</f>
        <v>مواد تحويلية</v>
      </c>
      <c r="F46" s="2" t="str">
        <f>IF($I46=0,"",INDEX('إدخال وسجل المنتجات'!$G$5:$G$590,$I46))</f>
        <v>كيلو</v>
      </c>
      <c r="G46" s="12"/>
      <c r="H46" s="13"/>
      <c r="I46">
        <f>SUMPRODUCT(('إدخال وسجل المنتجات'!$I$5:$I$590="CHL")*('إدخال وسجل المنتجات'!$M$5:$M$590=43)*(ROW('إدخال وسجل المنتجات'!$I$5:$I$590)-4))</f>
        <v>383</v>
      </c>
      <c r="J46" s="2" t="str">
        <f>IF($I46=0,"",IF($G46="","",$G46*IF(INDEX('إدخال وسجل المنتجات'!$U$5:$U$590,$I46)=0,1,INDEX('إدخال وسجل المنتجات'!$U$5:$U$590,$I46))))</f>
        <v/>
      </c>
    </row>
    <row r="47" spans="1:10" ht="28.5" customHeight="1" x14ac:dyDescent="0.15">
      <c r="A47" s="2">
        <f>IF($I47=0,"",44)</f>
        <v>44</v>
      </c>
      <c r="B47" s="9" t="str">
        <f>IF($I47=0,"",INDEX('إدخال وسجل المنتجات'!$F$5:$F$590,$I47))</f>
        <v>TRN-CHL-016</v>
      </c>
      <c r="C47" s="8" t="str">
        <f>IF($I47=0,"",INDEX('إدخال وسجل المنتجات'!$B$5:$B$590,$I47))</f>
        <v>ريسبي ساوردو الزيتون مع الجبن</v>
      </c>
      <c r="D47" s="10" t="str">
        <f>IF($I47=0,"",INDEX('إدخال وسجل المنتجات'!$C$5:$C$590,$I47))</f>
        <v>Recipe Sourdough Olive Cheese</v>
      </c>
      <c r="E47" s="11" t="str">
        <f>IF($I47=0,"",INDEX('إدخال وسجل المنتجات'!$D$5:$D$590,$I47))</f>
        <v>مواد تحويلية</v>
      </c>
      <c r="F47" s="2" t="str">
        <f>IF($I47=0,"",INDEX('إدخال وسجل المنتجات'!$G$5:$G$590,$I47))</f>
        <v>كيلو</v>
      </c>
      <c r="G47" s="12"/>
      <c r="H47" s="13"/>
      <c r="I47">
        <f>SUMPRODUCT(('إدخال وسجل المنتجات'!$I$5:$I$590="CHL")*('إدخال وسجل المنتجات'!$M$5:$M$590=44)*(ROW('إدخال وسجل المنتجات'!$I$5:$I$590)-4))</f>
        <v>384</v>
      </c>
      <c r="J47" s="2" t="str">
        <f>IF($I47=0,"",IF($G47="","",$G47*IF(INDEX('إدخال وسجل المنتجات'!$U$5:$U$590,$I47)=0,1,INDEX('إدخال وسجل المنتجات'!$U$5:$U$590,$I47))))</f>
        <v/>
      </c>
    </row>
    <row r="48" spans="1:10" ht="28.5" customHeight="1" x14ac:dyDescent="0.15">
      <c r="A48" s="2">
        <f>IF($I48=0,"",45)</f>
        <v>45</v>
      </c>
      <c r="B48" s="9" t="str">
        <f>IF($I48=0,"",INDEX('إدخال وسجل المنتجات'!$F$5:$F$590,$I48))</f>
        <v>TRN-CHL-017</v>
      </c>
      <c r="C48" s="8" t="str">
        <f>IF($I48=0,"",INDEX('إدخال وسجل المنتجات'!$B$5:$B$590,$I48))</f>
        <v>ريسبي ساوردو الفلفل الحار مع الشيدر</v>
      </c>
      <c r="D48" s="10" t="str">
        <f>IF($I48=0,"",INDEX('إدخال وسجل المنتجات'!$C$5:$C$590,$I48))</f>
        <v>Recipe Sourdough Pepper Spicy Cheddar</v>
      </c>
      <c r="E48" s="11" t="str">
        <f>IF($I48=0,"",INDEX('إدخال وسجل المنتجات'!$D$5:$D$590,$I48))</f>
        <v>مواد تحويلية</v>
      </c>
      <c r="F48" s="2" t="str">
        <f>IF($I48=0,"",INDEX('إدخال وسجل المنتجات'!$G$5:$G$590,$I48))</f>
        <v>كيلو</v>
      </c>
      <c r="G48" s="12"/>
      <c r="H48" s="13"/>
      <c r="I48">
        <f>SUMPRODUCT(('إدخال وسجل المنتجات'!$I$5:$I$590="CHL")*('إدخال وسجل المنتجات'!$M$5:$M$590=45)*(ROW('إدخال وسجل المنتجات'!$I$5:$I$590)-4))</f>
        <v>385</v>
      </c>
      <c r="J48" s="2" t="str">
        <f>IF($I48=0,"",IF($G48="","",$G48*IF(INDEX('إدخال وسجل المنتجات'!$U$5:$U$590,$I48)=0,1,INDEX('إدخال وسجل المنتجات'!$U$5:$U$590,$I48))))</f>
        <v/>
      </c>
    </row>
    <row r="49" spans="1:10" ht="28.5" customHeight="1" x14ac:dyDescent="0.15">
      <c r="A49" s="2">
        <f>IF($I49=0,"",46)</f>
        <v>46</v>
      </c>
      <c r="B49" s="9" t="str">
        <f>IF($I49=0,"",INDEX('إدخال وسجل المنتجات'!$F$5:$F$590,$I49))</f>
        <v>TRN-CHL-018</v>
      </c>
      <c r="C49" s="8" t="str">
        <f>IF($I49=0,"",INDEX('إدخال وسجل المنتجات'!$B$5:$B$590,$I49))</f>
        <v>ريسبي ساوردو طماطم مجففة</v>
      </c>
      <c r="D49" s="10" t="str">
        <f>IF($I49=0,"",INDEX('إدخال وسجل المنتجات'!$C$5:$C$590,$I49))</f>
        <v>Recipe Sourdough Sun-Dried Tomato</v>
      </c>
      <c r="E49" s="11" t="str">
        <f>IF($I49=0,"",INDEX('إدخال وسجل المنتجات'!$D$5:$D$590,$I49))</f>
        <v>مواد تحويلية</v>
      </c>
      <c r="F49" s="2" t="str">
        <f>IF($I49=0,"",INDEX('إدخال وسجل المنتجات'!$G$5:$G$590,$I49))</f>
        <v>كيلو</v>
      </c>
      <c r="G49" s="12"/>
      <c r="H49" s="13"/>
      <c r="I49">
        <f>SUMPRODUCT(('إدخال وسجل المنتجات'!$I$5:$I$590="CHL")*('إدخال وسجل المنتجات'!$M$5:$M$590=46)*(ROW('إدخال وسجل المنتجات'!$I$5:$I$590)-4))</f>
        <v>386</v>
      </c>
      <c r="J49" s="2" t="str">
        <f>IF($I49=0,"",IF($G49="","",$G49*IF(INDEX('إدخال وسجل المنتجات'!$U$5:$U$590,$I49)=0,1,INDEX('إدخال وسجل المنتجات'!$U$5:$U$590,$I49))))</f>
        <v/>
      </c>
    </row>
    <row r="50" spans="1:10" ht="16" x14ac:dyDescent="0.15">
      <c r="A50" s="2">
        <f>IF($I50=0,"",47)</f>
        <v>47</v>
      </c>
      <c r="B50" s="9" t="str">
        <f>IF($I50=0,"",INDEX('إدخال وسجل المنتجات'!$F$5:$F$590,$I50))</f>
        <v>TRN-CHL-019</v>
      </c>
      <c r="C50" s="8" t="str">
        <f>IF($I50=0,"",INDEX('إدخال وسجل المنتجات'!$B$5:$B$590,$I50))</f>
        <v>ريسبي ساوردو كلاسيك</v>
      </c>
      <c r="D50" s="10" t="str">
        <f>IF($I50=0,"",INDEX('إدخال وسجل المنتجات'!$C$5:$C$590,$I50))</f>
        <v>Recipe Sourdough Classic</v>
      </c>
      <c r="E50" s="11" t="str">
        <f>IF($I50=0,"",INDEX('إدخال وسجل المنتجات'!$D$5:$D$590,$I50))</f>
        <v>مواد تحويلية</v>
      </c>
      <c r="F50" s="2" t="str">
        <f>IF($I50=0,"",INDEX('إدخال وسجل المنتجات'!$G$5:$G$590,$I50))</f>
        <v>كيلو</v>
      </c>
      <c r="G50" s="12"/>
      <c r="H50" s="13"/>
      <c r="I50">
        <f>SUMPRODUCT(('إدخال وسجل المنتجات'!$I$5:$I$590="CHL")*('إدخال وسجل المنتجات'!$M$5:$M$590=47)*(ROW('إدخال وسجل المنتجات'!$I$5:$I$590)-4))</f>
        <v>387</v>
      </c>
      <c r="J50" s="2" t="str">
        <f>IF($I50=0,"",IF($G50="","",$G50*IF(INDEX('إدخال وسجل المنتجات'!$U$5:$U$590,$I50)=0,1,INDEX('إدخال وسجل المنتجات'!$U$5:$U$590,$I50))))</f>
        <v/>
      </c>
    </row>
    <row r="51" spans="1:10" ht="16" x14ac:dyDescent="0.15">
      <c r="A51" s="2">
        <f>IF($I51=0,"",48)</f>
        <v>48</v>
      </c>
      <c r="B51" s="9" t="str">
        <f>IF($I51=0,"",INDEX('إدخال وسجل المنتجات'!$F$5:$F$590,$I51))</f>
        <v>TRN-CHL-020</v>
      </c>
      <c r="C51" s="8" t="str">
        <f>IF($I51=0,"",INDEX('إدخال وسجل المنتجات'!$B$5:$B$590,$I51))</f>
        <v>ريسبي كريم بروليه</v>
      </c>
      <c r="D51" s="10" t="str">
        <f>IF($I51=0,"",INDEX('إدخال وسجل المنتجات'!$C$5:$C$590,$I51))</f>
        <v>Recipe Creme Brulee</v>
      </c>
      <c r="E51" s="11" t="str">
        <f>IF($I51=0,"",INDEX('إدخال وسجل المنتجات'!$D$5:$D$590,$I51))</f>
        <v>مواد تحويلية</v>
      </c>
      <c r="F51" s="2" t="str">
        <f>IF($I51=0,"",INDEX('إدخال وسجل المنتجات'!$G$5:$G$590,$I51))</f>
        <v>كيلو</v>
      </c>
      <c r="G51" s="12"/>
      <c r="H51" s="13"/>
      <c r="I51">
        <f>SUMPRODUCT(('إدخال وسجل المنتجات'!$I$5:$I$590="CHL")*('إدخال وسجل المنتجات'!$M$5:$M$590=48)*(ROW('إدخال وسجل المنتجات'!$I$5:$I$590)-4))</f>
        <v>388</v>
      </c>
      <c r="J51" s="2" t="str">
        <f>IF($I51=0,"",IF($G51="","",$G51*IF(INDEX('إدخال وسجل المنتجات'!$U$5:$U$590,$I51)=0,1,INDEX('إدخال وسجل المنتجات'!$U$5:$U$590,$I51))))</f>
        <v/>
      </c>
    </row>
    <row r="52" spans="1:10" ht="16" x14ac:dyDescent="0.15">
      <c r="A52" s="2">
        <f>IF($I52=0,"",49)</f>
        <v>49</v>
      </c>
      <c r="B52" s="9" t="str">
        <f>IF($I52=0,"",INDEX('إدخال وسجل المنتجات'!$F$5:$F$590,$I52))</f>
        <v>TRN-CHL-021</v>
      </c>
      <c r="C52" s="8" t="str">
        <f>IF($I52=0,"",INDEX('إدخال وسجل المنتجات'!$B$5:$B$590,$I52))</f>
        <v>ريسبي لازانيا</v>
      </c>
      <c r="D52" s="10" t="str">
        <f>IF($I52=0,"",INDEX('إدخال وسجل المنتجات'!$C$5:$C$590,$I52))</f>
        <v>Recipe Lasagna</v>
      </c>
      <c r="E52" s="11" t="str">
        <f>IF($I52=0,"",INDEX('إدخال وسجل المنتجات'!$D$5:$D$590,$I52))</f>
        <v>مواد تحويلية</v>
      </c>
      <c r="F52" s="2" t="str">
        <f>IF($I52=0,"",INDEX('إدخال وسجل المنتجات'!$G$5:$G$590,$I52))</f>
        <v>كيلو</v>
      </c>
      <c r="G52" s="12"/>
      <c r="H52" s="13"/>
      <c r="I52">
        <f>SUMPRODUCT(('إدخال وسجل المنتجات'!$I$5:$I$590="CHL")*('إدخال وسجل المنتجات'!$M$5:$M$590=49)*(ROW('إدخال وسجل المنتجات'!$I$5:$I$590)-4))</f>
        <v>389</v>
      </c>
      <c r="J52" s="2" t="str">
        <f>IF($I52=0,"",IF($G52="","",$G52*IF(INDEX('إدخال وسجل المنتجات'!$U$5:$U$590,$I52)=0,1,INDEX('إدخال وسجل المنتجات'!$U$5:$U$590,$I52))))</f>
        <v/>
      </c>
    </row>
    <row r="53" spans="1:10" ht="16" x14ac:dyDescent="0.15">
      <c r="A53" s="2">
        <f>IF($I53=0,"",50)</f>
        <v>50</v>
      </c>
      <c r="B53" s="9" t="str">
        <f>IF($I53=0,"",INDEX('إدخال وسجل المنتجات'!$F$5:$F$590,$I53))</f>
        <v>RAW-CHL-029</v>
      </c>
      <c r="C53" s="8" t="str">
        <f>IF($I53=0,"",INDEX('إدخال وسجل المنتجات'!$B$5:$B$590,$I53))</f>
        <v>زبادي</v>
      </c>
      <c r="D53" s="10" t="str">
        <f>IF($I53=0,"",INDEX('إدخال وسجل المنتجات'!$C$5:$C$590,$I53))</f>
        <v>Yogurt</v>
      </c>
      <c r="E53" s="11" t="str">
        <f>IF($I53=0,"",INDEX('إدخال وسجل المنتجات'!$D$5:$D$590,$I53))</f>
        <v>مواد خام</v>
      </c>
      <c r="F53" s="2" t="str">
        <f>IF($I53=0,"",INDEX('إدخال وسجل المنتجات'!$G$5:$G$590,$I53))</f>
        <v>كيلو</v>
      </c>
      <c r="G53" s="12"/>
      <c r="H53" s="13"/>
      <c r="I53">
        <f>SUMPRODUCT(('إدخال وسجل المنتجات'!$I$5:$I$590="CHL")*('إدخال وسجل المنتجات'!$M$5:$M$590=50)*(ROW('إدخال وسجل المنتجات'!$I$5:$I$590)-4))</f>
        <v>391</v>
      </c>
      <c r="J53" s="2" t="str">
        <f>IF($I53=0,"",IF($G53="","",$G53*IF(INDEX('إدخال وسجل المنتجات'!$U$5:$U$590,$I53)=0,1,INDEX('إدخال وسجل المنتجات'!$U$5:$U$590,$I53))))</f>
        <v/>
      </c>
    </row>
    <row r="54" spans="1:10" ht="16" x14ac:dyDescent="0.15">
      <c r="A54" s="2">
        <f>IF($I54=0,"",51)</f>
        <v>51</v>
      </c>
      <c r="B54" s="9" t="str">
        <f>IF($I54=0,"",INDEX('إدخال وسجل المنتجات'!$F$5:$F$590,$I54))</f>
        <v>RAW-CHL-030</v>
      </c>
      <c r="C54" s="8" t="str">
        <f>IF($I54=0,"",INDEX('إدخال وسجل المنتجات'!$B$5:$B$590,$I54))</f>
        <v>زبدة</v>
      </c>
      <c r="D54" s="10" t="str">
        <f>IF($I54=0,"",INDEX('إدخال وسجل المنتجات'!$C$5:$C$590,$I54))</f>
        <v>Butter</v>
      </c>
      <c r="E54" s="11" t="str">
        <f>IF($I54=0,"",INDEX('إدخال وسجل المنتجات'!$D$5:$D$590,$I54))</f>
        <v>مواد خام</v>
      </c>
      <c r="F54" s="2" t="str">
        <f>IF($I54=0,"",INDEX('إدخال وسجل المنتجات'!$G$5:$G$590,$I54))</f>
        <v>كيلو</v>
      </c>
      <c r="G54" s="12"/>
      <c r="H54" s="13"/>
      <c r="I54">
        <f>SUMPRODUCT(('إدخال وسجل المنتجات'!$I$5:$I$590="CHL")*('إدخال وسجل المنتجات'!$M$5:$M$590=51)*(ROW('إدخال وسجل المنتجات'!$I$5:$I$590)-4))</f>
        <v>392</v>
      </c>
      <c r="J54" s="2" t="str">
        <f>IF($I54=0,"",IF($G54="","",$G54*IF(INDEX('إدخال وسجل المنتجات'!$U$5:$U$590,$I54)=0,1,INDEX('إدخال وسجل المنتجات'!$U$5:$U$590,$I54))))</f>
        <v/>
      </c>
    </row>
    <row r="55" spans="1:10" ht="16" x14ac:dyDescent="0.15">
      <c r="A55" s="2">
        <f>IF($I55=0,"",52)</f>
        <v>52</v>
      </c>
      <c r="B55" s="9" t="str">
        <f>IF($I55=0,"",INDEX('إدخال وسجل المنتجات'!$F$5:$F$590,$I55))</f>
        <v>RAW-CHL-031</v>
      </c>
      <c r="C55" s="8" t="str">
        <f>IF($I55=0,"",INDEX('إدخال وسجل المنتجات'!$B$5:$B$590,$I55))</f>
        <v>زبدة ترافل</v>
      </c>
      <c r="D55" s="10" t="str">
        <f>IF($I55=0,"",INDEX('إدخال وسجل المنتجات'!$C$5:$C$590,$I55))</f>
        <v>Truffle Butter</v>
      </c>
      <c r="E55" s="11" t="str">
        <f>IF($I55=0,"",INDEX('إدخال وسجل المنتجات'!$D$5:$D$590,$I55))</f>
        <v>مواد خام</v>
      </c>
      <c r="F55" s="2" t="str">
        <f>IF($I55=0,"",INDEX('إدخال وسجل المنتجات'!$G$5:$G$590,$I55))</f>
        <v>كيلو</v>
      </c>
      <c r="G55" s="12"/>
      <c r="H55" s="13"/>
      <c r="I55">
        <f>SUMPRODUCT(('إدخال وسجل المنتجات'!$I$5:$I$590="CHL")*('إدخال وسجل المنتجات'!$M$5:$M$590=52)*(ROW('إدخال وسجل المنتجات'!$I$5:$I$590)-4))</f>
        <v>393</v>
      </c>
      <c r="J55" s="2" t="str">
        <f>IF($I55=0,"",IF($G55="","",$G55*IF(INDEX('إدخال وسجل المنتجات'!$U$5:$U$590,$I55)=0,1,INDEX('إدخال وسجل المنتجات'!$U$5:$U$590,$I55))))</f>
        <v/>
      </c>
    </row>
    <row r="56" spans="1:10" ht="16" x14ac:dyDescent="0.15">
      <c r="A56" s="2">
        <f>IF($I56=0,"",53)</f>
        <v>53</v>
      </c>
      <c r="B56" s="9" t="str">
        <f>IF($I56=0,"",INDEX('إدخال وسجل المنتجات'!$F$5:$F$590,$I56))</f>
        <v>RAW-CHL-032</v>
      </c>
      <c r="C56" s="8" t="str">
        <f>IF($I56=0,"",INDEX('إدخال وسجل المنتجات'!$B$5:$B$590,$I56))</f>
        <v>سبانخ</v>
      </c>
      <c r="D56" s="10" t="str">
        <f>IF($I56=0,"",INDEX('إدخال وسجل المنتجات'!$C$5:$C$590,$I56))</f>
        <v>Spinach</v>
      </c>
      <c r="E56" s="11" t="str">
        <f>IF($I56=0,"",INDEX('إدخال وسجل المنتجات'!$D$5:$D$590,$I56))</f>
        <v>مواد خام</v>
      </c>
      <c r="F56" s="2" t="str">
        <f>IF($I56=0,"",INDEX('إدخال وسجل المنتجات'!$G$5:$G$590,$I56))</f>
        <v>كيلو</v>
      </c>
      <c r="G56" s="12"/>
      <c r="H56" s="13"/>
      <c r="I56">
        <f>SUMPRODUCT(('إدخال وسجل المنتجات'!$I$5:$I$590="CHL")*('إدخال وسجل المنتجات'!$M$5:$M$590=53)*(ROW('إدخال وسجل المنتجات'!$I$5:$I$590)-4))</f>
        <v>405</v>
      </c>
      <c r="J56" s="2" t="str">
        <f>IF($I56=0,"",IF($G56="","",$G56*IF(INDEX('إدخال وسجل المنتجات'!$U$5:$U$590,$I56)=0,1,INDEX('إدخال وسجل المنتجات'!$U$5:$U$590,$I56))))</f>
        <v/>
      </c>
    </row>
    <row r="57" spans="1:10" ht="16" x14ac:dyDescent="0.15">
      <c r="A57" s="2">
        <f>IF($I57=0,"",54)</f>
        <v>54</v>
      </c>
      <c r="B57" s="9" t="str">
        <f>IF($I57=0,"",INDEX('إدخال وسجل المنتجات'!$F$5:$F$590,$I57))</f>
        <v>RAW-CHL-033</v>
      </c>
      <c r="C57" s="8" t="str">
        <f>IF($I57=0,"",INDEX('إدخال وسجل المنتجات'!$B$5:$B$590,$I57))</f>
        <v>شبيه زبدة</v>
      </c>
      <c r="D57" s="10" t="str">
        <f>IF($I57=0,"",INDEX('إدخال وسجل المنتجات'!$C$5:$C$590,$I57))</f>
        <v>Butter</v>
      </c>
      <c r="E57" s="11" t="str">
        <f>IF($I57=0,"",INDEX('إدخال وسجل المنتجات'!$D$5:$D$590,$I57))</f>
        <v>مواد خام</v>
      </c>
      <c r="F57" s="2" t="str">
        <f>IF($I57=0,"",INDEX('إدخال وسجل المنتجات'!$G$5:$G$590,$I57))</f>
        <v>كيلو</v>
      </c>
      <c r="G57" s="12"/>
      <c r="H57" s="13"/>
      <c r="I57">
        <f>SUMPRODUCT(('إدخال وسجل المنتجات'!$I$5:$I$590="CHL")*('إدخال وسجل المنتجات'!$M$5:$M$590=54)*(ROW('إدخال وسجل المنتجات'!$I$5:$I$590)-4))</f>
        <v>419</v>
      </c>
      <c r="J57" s="2" t="str">
        <f>IF($I57=0,"",IF($G57="","",$G57*IF(INDEX('إدخال وسجل المنتجات'!$U$5:$U$590,$I57)=0,1,INDEX('إدخال وسجل المنتجات'!$U$5:$U$590,$I57))))</f>
        <v/>
      </c>
    </row>
    <row r="58" spans="1:10" ht="16" x14ac:dyDescent="0.15">
      <c r="A58" s="2">
        <f>IF($I58=0,"",55)</f>
        <v>55</v>
      </c>
      <c r="B58" s="9" t="str">
        <f>IF($I58=0,"",INDEX('إدخال وسجل المنتجات'!$F$5:$F$590,$I58))</f>
        <v>RAW-CHL-034</v>
      </c>
      <c r="C58" s="8" t="str">
        <f>IF($I58=0,"",INDEX('إدخال وسجل المنتجات'!$B$5:$B$590,$I58))</f>
        <v>شيدر ابيض</v>
      </c>
      <c r="D58" s="10" t="str">
        <f>IF($I58=0,"",INDEX('إدخال وسجل المنتجات'!$C$5:$C$590,$I58))</f>
        <v>Cheddar</v>
      </c>
      <c r="E58" s="11" t="str">
        <f>IF($I58=0,"",INDEX('إدخال وسجل المنتجات'!$D$5:$D$590,$I58))</f>
        <v>مواد خام</v>
      </c>
      <c r="F58" s="2" t="str">
        <f>IF($I58=0,"",INDEX('إدخال وسجل المنتجات'!$G$5:$G$590,$I58))</f>
        <v>كيلو</v>
      </c>
      <c r="G58" s="12"/>
      <c r="H58" s="13"/>
      <c r="I58">
        <f>SUMPRODUCT(('إدخال وسجل المنتجات'!$I$5:$I$590="CHL")*('إدخال وسجل المنتجات'!$M$5:$M$590=55)*(ROW('إدخال وسجل المنتجات'!$I$5:$I$590)-4))</f>
        <v>430</v>
      </c>
      <c r="J58" s="2" t="str">
        <f>IF($I58=0,"",IF($G58="","",$G58*IF(INDEX('إدخال وسجل المنتجات'!$U$5:$U$590,$I58)=0,1,INDEX('إدخال وسجل المنتجات'!$U$5:$U$590,$I58))))</f>
        <v/>
      </c>
    </row>
    <row r="59" spans="1:10" ht="16" x14ac:dyDescent="0.15">
      <c r="A59" s="2">
        <f>IF($I59=0,"",56)</f>
        <v>56</v>
      </c>
      <c r="B59" s="9" t="str">
        <f>IF($I59=0,"",INDEX('إدخال وسجل المنتجات'!$F$5:$F$590,$I59))</f>
        <v>RAW-CHL-035</v>
      </c>
      <c r="C59" s="8" t="str">
        <f>IF($I59=0,"",INDEX('إدخال وسجل المنتجات'!$B$5:$B$590,$I59))</f>
        <v>شيدر اصفر</v>
      </c>
      <c r="D59" s="10" t="str">
        <f>IF($I59=0,"",INDEX('إدخال وسجل المنتجات'!$C$5:$C$590,$I59))</f>
        <v>Cheddar</v>
      </c>
      <c r="E59" s="11" t="str">
        <f>IF($I59=0,"",INDEX('إدخال وسجل المنتجات'!$D$5:$D$590,$I59))</f>
        <v>مواد خام</v>
      </c>
      <c r="F59" s="2" t="str">
        <f>IF($I59=0,"",INDEX('إدخال وسجل المنتجات'!$G$5:$G$590,$I59))</f>
        <v>كيلو</v>
      </c>
      <c r="G59" s="12"/>
      <c r="H59" s="13"/>
      <c r="I59">
        <f>SUMPRODUCT(('إدخال وسجل المنتجات'!$I$5:$I$590="CHL")*('إدخال وسجل المنتجات'!$M$5:$M$590=56)*(ROW('إدخال وسجل المنتجات'!$I$5:$I$590)-4))</f>
        <v>431</v>
      </c>
      <c r="J59" s="2" t="str">
        <f>IF($I59=0,"",IF($G59="","",$G59*IF(INDEX('إدخال وسجل المنتجات'!$U$5:$U$590,$I59)=0,1,INDEX('إدخال وسجل المنتجات'!$U$5:$U$590,$I59))))</f>
        <v/>
      </c>
    </row>
    <row r="60" spans="1:10" ht="16" x14ac:dyDescent="0.15">
      <c r="A60" s="2">
        <f>IF($I60=0,"",57)</f>
        <v>57</v>
      </c>
      <c r="B60" s="9" t="str">
        <f>IF($I60=0,"",INDEX('إدخال وسجل المنتجات'!$F$5:$F$590,$I60))</f>
        <v>RAW-CHL-036</v>
      </c>
      <c r="C60" s="8" t="str">
        <f>IF($I60=0,"",INDEX('إدخال وسجل المنتجات'!$B$5:$B$590,$I60))</f>
        <v>صفار بيض</v>
      </c>
      <c r="D60" s="10" t="str">
        <f>IF($I60=0,"",INDEX('إدخال وسجل المنتجات'!$C$5:$C$590,$I60))</f>
        <v>Yolk Eggs</v>
      </c>
      <c r="E60" s="11" t="str">
        <f>IF($I60=0,"",INDEX('إدخال وسجل المنتجات'!$D$5:$D$590,$I60))</f>
        <v>مواد خام</v>
      </c>
      <c r="F60" s="2" t="str">
        <f>IF($I60=0,"",INDEX('إدخال وسجل المنتجات'!$G$5:$G$590,$I60))</f>
        <v>كيلو</v>
      </c>
      <c r="G60" s="12"/>
      <c r="H60" s="13"/>
      <c r="I60">
        <f>SUMPRODUCT(('إدخال وسجل المنتجات'!$I$5:$I$590="CHL")*('إدخال وسجل المنتجات'!$M$5:$M$590=57)*(ROW('إدخال وسجل المنتجات'!$I$5:$I$590)-4))</f>
        <v>438</v>
      </c>
      <c r="J60" s="2" t="str">
        <f>IF($I60=0,"",IF($G60="","",$G60*IF(INDEX('إدخال وسجل المنتجات'!$U$5:$U$590,$I60)=0,1,INDEX('إدخال وسجل المنتجات'!$U$5:$U$590,$I60))))</f>
        <v/>
      </c>
    </row>
    <row r="61" spans="1:10" ht="16" x14ac:dyDescent="0.15">
      <c r="A61" s="2">
        <f>IF($I61=0,"",58)</f>
        <v>58</v>
      </c>
      <c r="B61" s="9" t="str">
        <f>IF($I61=0,"",INDEX('إدخال وسجل المنتجات'!$F$5:$F$590,$I61))</f>
        <v>TRN-CHL-022</v>
      </c>
      <c r="C61" s="8" t="str">
        <f>IF($I61=0,"",INDEX('إدخال وسجل المنتجات'!$B$5:$B$590,$I61))</f>
        <v>صوص البريسكت</v>
      </c>
      <c r="D61" s="10" t="str">
        <f>IF($I61=0,"",INDEX('إدخال وسجل المنتجات'!$C$5:$C$590,$I61))</f>
        <v>Brisket Sauce</v>
      </c>
      <c r="E61" s="11" t="str">
        <f>IF($I61=0,"",INDEX('إدخال وسجل المنتجات'!$D$5:$D$590,$I61))</f>
        <v>مواد تحويلية</v>
      </c>
      <c r="F61" s="2" t="str">
        <f>IF($I61=0,"",INDEX('إدخال وسجل المنتجات'!$G$5:$G$590,$I61))</f>
        <v>كيلو</v>
      </c>
      <c r="G61" s="12"/>
      <c r="H61" s="13"/>
      <c r="I61">
        <f>SUMPRODUCT(('إدخال وسجل المنتجات'!$I$5:$I$590="CHL")*('إدخال وسجل المنتجات'!$M$5:$M$590=58)*(ROW('إدخال وسجل المنتجات'!$I$5:$I$590)-4))</f>
        <v>444</v>
      </c>
      <c r="J61" s="2" t="str">
        <f>IF($I61=0,"",IF($G61="","",$G61*IF(INDEX('إدخال وسجل المنتجات'!$U$5:$U$590,$I61)=0,1,INDEX('إدخال وسجل المنتجات'!$U$5:$U$590,$I61))))</f>
        <v/>
      </c>
    </row>
    <row r="62" spans="1:10" ht="16" x14ac:dyDescent="0.15">
      <c r="A62" s="2">
        <f>IF($I62=0,"",59)</f>
        <v>59</v>
      </c>
      <c r="B62" s="9" t="str">
        <f>IF($I62=0,"",INDEX('إدخال وسجل المنتجات'!$F$5:$F$590,$I62))</f>
        <v>TRN-CHL-023</v>
      </c>
      <c r="C62" s="8" t="str">
        <f>IF($I62=0,"",INDEX('إدخال وسجل المنتجات'!$B$5:$B$590,$I62))</f>
        <v>صوص البشاميل</v>
      </c>
      <c r="D62" s="10" t="str">
        <f>IF($I62=0,"",INDEX('إدخال وسجل المنتجات'!$C$5:$C$590,$I62))</f>
        <v>Sauce</v>
      </c>
      <c r="E62" s="11" t="str">
        <f>IF($I62=0,"",INDEX('إدخال وسجل المنتجات'!$D$5:$D$590,$I62))</f>
        <v>مواد تحويلية</v>
      </c>
      <c r="F62" s="2" t="str">
        <f>IF($I62=0,"",INDEX('إدخال وسجل المنتجات'!$G$5:$G$590,$I62))</f>
        <v>كيلو</v>
      </c>
      <c r="G62" s="12"/>
      <c r="H62" s="13"/>
      <c r="I62">
        <f>SUMPRODUCT(('إدخال وسجل المنتجات'!$I$5:$I$590="CHL")*('إدخال وسجل المنتجات'!$M$5:$M$590=59)*(ROW('إدخال وسجل المنتجات'!$I$5:$I$590)-4))</f>
        <v>445</v>
      </c>
      <c r="J62" s="2" t="str">
        <f>IF($I62=0,"",IF($G62="","",$G62*IF(INDEX('إدخال وسجل المنتجات'!$U$5:$U$590,$I62)=0,1,INDEX('إدخال وسجل المنتجات'!$U$5:$U$590,$I62))))</f>
        <v/>
      </c>
    </row>
    <row r="63" spans="1:10" ht="16" x14ac:dyDescent="0.15">
      <c r="A63" s="2">
        <f>IF($I63=0,"",60)</f>
        <v>60</v>
      </c>
      <c r="B63" s="9" t="str">
        <f>IF($I63=0,"",INDEX('إدخال وسجل المنتجات'!$F$5:$F$590,$I63))</f>
        <v>TRN-CHL-024</v>
      </c>
      <c r="C63" s="8" t="str">
        <f>IF($I63=0,"",INDEX('إدخال وسجل المنتجات'!$B$5:$B$590,$I63))</f>
        <v>صوص البطاطس الخارجي</v>
      </c>
      <c r="D63" s="10" t="str">
        <f>IF($I63=0,"",INDEX('إدخال وسجل المنتجات'!$C$5:$C$590,$I63))</f>
        <v>External Fries Sauce</v>
      </c>
      <c r="E63" s="11" t="str">
        <f>IF($I63=0,"",INDEX('إدخال وسجل المنتجات'!$D$5:$D$590,$I63))</f>
        <v>مواد تحويلية</v>
      </c>
      <c r="F63" s="2" t="str">
        <f>IF($I63=0,"",INDEX('إدخال وسجل المنتجات'!$G$5:$G$590,$I63))</f>
        <v>كيلو</v>
      </c>
      <c r="G63" s="12"/>
      <c r="H63" s="13"/>
      <c r="I63">
        <f>SUMPRODUCT(('إدخال وسجل المنتجات'!$I$5:$I$590="CHL")*('إدخال وسجل المنتجات'!$M$5:$M$590=60)*(ROW('إدخال وسجل المنتجات'!$I$5:$I$590)-4))</f>
        <v>446</v>
      </c>
      <c r="J63" s="2" t="str">
        <f>IF($I63=0,"",IF($G63="","",$G63*IF(INDEX('إدخال وسجل المنتجات'!$U$5:$U$590,$I63)=0,1,INDEX('إدخال وسجل المنتجات'!$U$5:$U$590,$I63))))</f>
        <v/>
      </c>
    </row>
    <row r="64" spans="1:10" ht="16" x14ac:dyDescent="0.15">
      <c r="A64" s="2">
        <f>IF($I64=0,"",61)</f>
        <v>61</v>
      </c>
      <c r="B64" s="9" t="str">
        <f>IF($I64=0,"",INDEX('إدخال وسجل المنتجات'!$F$5:$F$590,$I64))</f>
        <v>TRN-CHL-025</v>
      </c>
      <c r="C64" s="8" t="str">
        <f>IF($I64=0,"",INDEX('إدخال وسجل المنتجات'!$B$5:$B$590,$I64))</f>
        <v>صوص الترافل</v>
      </c>
      <c r="D64" s="10" t="str">
        <f>IF($I64=0,"",INDEX('إدخال وسجل المنتجات'!$C$5:$C$590,$I64))</f>
        <v>Truffle Sauce</v>
      </c>
      <c r="E64" s="11" t="str">
        <f>IF($I64=0,"",INDEX('إدخال وسجل المنتجات'!$D$5:$D$590,$I64))</f>
        <v>مواد تحويلية</v>
      </c>
      <c r="F64" s="2" t="str">
        <f>IF($I64=0,"",INDEX('إدخال وسجل المنتجات'!$G$5:$G$590,$I64))</f>
        <v>كيلو</v>
      </c>
      <c r="G64" s="12"/>
      <c r="H64" s="13"/>
      <c r="I64">
        <f>SUMPRODUCT(('إدخال وسجل المنتجات'!$I$5:$I$590="CHL")*('إدخال وسجل المنتجات'!$M$5:$M$590=61)*(ROW('إدخال وسجل المنتجات'!$I$5:$I$590)-4))</f>
        <v>447</v>
      </c>
      <c r="J64" s="2" t="str">
        <f>IF($I64=0,"",IF($G64="","",$G64*IF(INDEX('إدخال وسجل المنتجات'!$U$5:$U$590,$I64)=0,1,INDEX('إدخال وسجل المنتجات'!$U$5:$U$590,$I64))))</f>
        <v/>
      </c>
    </row>
    <row r="65" spans="1:10" ht="16" x14ac:dyDescent="0.15">
      <c r="A65" s="2">
        <f>IF($I65=0,"",62)</f>
        <v>62</v>
      </c>
      <c r="B65" s="9" t="str">
        <f>IF($I65=0,"",INDEX('إدخال وسجل المنتجات'!$F$5:$F$590,$I65))</f>
        <v>TRN-CHL-026</v>
      </c>
      <c r="C65" s="8" t="str">
        <f>IF($I65=0,"",INDEX('إدخال وسجل المنتجات'!$B$5:$B$590,$I65))</f>
        <v>صوص الروكا</v>
      </c>
      <c r="D65" s="10" t="str">
        <f>IF($I65=0,"",INDEX('إدخال وسجل المنتجات'!$C$5:$C$590,$I65))</f>
        <v>Arugula Sauce</v>
      </c>
      <c r="E65" s="11" t="str">
        <f>IF($I65=0,"",INDEX('إدخال وسجل المنتجات'!$D$5:$D$590,$I65))</f>
        <v>مواد تحويلية</v>
      </c>
      <c r="F65" s="2" t="str">
        <f>IF($I65=0,"",INDEX('إدخال وسجل المنتجات'!$G$5:$G$590,$I65))</f>
        <v>كيلو</v>
      </c>
      <c r="G65" s="12"/>
      <c r="H65" s="13"/>
      <c r="I65">
        <f>SUMPRODUCT(('إدخال وسجل المنتجات'!$I$5:$I$590="CHL")*('إدخال وسجل المنتجات'!$M$5:$M$590=62)*(ROW('إدخال وسجل المنتجات'!$I$5:$I$590)-4))</f>
        <v>448</v>
      </c>
      <c r="J65" s="2" t="str">
        <f>IF($I65=0,"",IF($G65="","",$G65*IF(INDEX('إدخال وسجل المنتجات'!$U$5:$U$590,$I65)=0,1,INDEX('إدخال وسجل المنتجات'!$U$5:$U$590,$I65))))</f>
        <v/>
      </c>
    </row>
    <row r="66" spans="1:10" ht="16" x14ac:dyDescent="0.15">
      <c r="A66" s="2">
        <f>IF($I66=0,"",63)</f>
        <v>63</v>
      </c>
      <c r="B66" s="9" t="str">
        <f>IF($I66=0,"",INDEX('إدخال وسجل المنتجات'!$F$5:$F$590,$I66))</f>
        <v>TRN-CHL-027</v>
      </c>
      <c r="C66" s="8" t="str">
        <f>IF($I66=0,"",INDEX('إدخال وسجل المنتجات'!$B$5:$B$590,$I66))</f>
        <v>صوص الزعفران</v>
      </c>
      <c r="D66" s="10" t="str">
        <f>IF($I66=0,"",INDEX('إدخال وسجل المنتجات'!$C$5:$C$590,$I66))</f>
        <v>Saffron Sauce</v>
      </c>
      <c r="E66" s="11" t="str">
        <f>IF($I66=0,"",INDEX('إدخال وسجل المنتجات'!$D$5:$D$590,$I66))</f>
        <v>مواد تحويلية</v>
      </c>
      <c r="F66" s="2" t="str">
        <f>IF($I66=0,"",INDEX('إدخال وسجل المنتجات'!$G$5:$G$590,$I66))</f>
        <v>كيلو</v>
      </c>
      <c r="G66" s="12"/>
      <c r="H66" s="13"/>
      <c r="I66">
        <f>SUMPRODUCT(('إدخال وسجل المنتجات'!$I$5:$I$590="CHL")*('إدخال وسجل المنتجات'!$M$5:$M$590=63)*(ROW('إدخال وسجل المنتجات'!$I$5:$I$590)-4))</f>
        <v>449</v>
      </c>
      <c r="J66" s="2" t="str">
        <f>IF($I66=0,"",IF($G66="","",$G66*IF(INDEX('إدخال وسجل المنتجات'!$U$5:$U$590,$I66)=0,1,INDEX('إدخال وسجل المنتجات'!$U$5:$U$590,$I66))))</f>
        <v/>
      </c>
    </row>
    <row r="67" spans="1:10" ht="16" x14ac:dyDescent="0.15">
      <c r="A67" s="2">
        <f>IF($I67=0,"",64)</f>
        <v>64</v>
      </c>
      <c r="B67" s="9" t="str">
        <f>IF($I67=0,"",INDEX('إدخال وسجل المنتجات'!$F$5:$F$590,$I67))</f>
        <v>TRN-CHL-028</v>
      </c>
      <c r="C67" s="8" t="str">
        <f>IF($I67=0,"",INDEX('إدخال وسجل المنتجات'!$B$5:$B$590,$I67))</f>
        <v>صوص الفريدو</v>
      </c>
      <c r="D67" s="10" t="str">
        <f>IF($I67=0,"",INDEX('إدخال وسجل المنتجات'!$C$5:$C$590,$I67))</f>
        <v>Alfredo Sauce</v>
      </c>
      <c r="E67" s="11" t="str">
        <f>IF($I67=0,"",INDEX('إدخال وسجل المنتجات'!$D$5:$D$590,$I67))</f>
        <v>مواد تحويلية</v>
      </c>
      <c r="F67" s="2" t="str">
        <f>IF($I67=0,"",INDEX('إدخال وسجل المنتجات'!$G$5:$G$590,$I67))</f>
        <v>كيلو</v>
      </c>
      <c r="G67" s="12"/>
      <c r="H67" s="13"/>
      <c r="I67">
        <f>SUMPRODUCT(('إدخال وسجل المنتجات'!$I$5:$I$590="CHL")*('إدخال وسجل المنتجات'!$M$5:$M$590=64)*(ROW('إدخال وسجل المنتجات'!$I$5:$I$590)-4))</f>
        <v>450</v>
      </c>
      <c r="J67" s="2" t="str">
        <f>IF($I67=0,"",IF($G67="","",$G67*IF(INDEX('إدخال وسجل المنتجات'!$U$5:$U$590,$I67)=0,1,INDEX('إدخال وسجل المنتجات'!$U$5:$U$590,$I67))))</f>
        <v/>
      </c>
    </row>
    <row r="68" spans="1:10" ht="16" x14ac:dyDescent="0.15">
      <c r="A68" s="2">
        <f>IF($I68=0,"",65)</f>
        <v>65</v>
      </c>
      <c r="B68" s="9" t="str">
        <f>IF($I68=0,"",INDEX('إدخال وسجل المنتجات'!$F$5:$F$590,$I68))</f>
        <v>TRN-CHL-029</v>
      </c>
      <c r="C68" s="8" t="str">
        <f>IF($I68=0,"",INDEX('إدخال وسجل المنتجات'!$B$5:$B$590,$I68))</f>
        <v>صوص بطاطس بينو</v>
      </c>
      <c r="D68" s="10" t="str">
        <f>IF($I68=0,"",INDEX('إدخال وسجل المنتجات'!$C$5:$C$590,$I68))</f>
        <v>Pino Fries Sauce</v>
      </c>
      <c r="E68" s="11" t="str">
        <f>IF($I68=0,"",INDEX('إدخال وسجل المنتجات'!$D$5:$D$590,$I68))</f>
        <v>مواد تحويلية</v>
      </c>
      <c r="F68" s="2" t="str">
        <f>IF($I68=0,"",INDEX('إدخال وسجل المنتجات'!$G$5:$G$590,$I68))</f>
        <v>كيلو</v>
      </c>
      <c r="G68" s="12"/>
      <c r="H68" s="13"/>
      <c r="I68">
        <f>SUMPRODUCT(('إدخال وسجل المنتجات'!$I$5:$I$590="CHL")*('إدخال وسجل المنتجات'!$M$5:$M$590=65)*(ROW('إدخال وسجل المنتجات'!$I$5:$I$590)-4))</f>
        <v>451</v>
      </c>
      <c r="J68" s="2" t="str">
        <f>IF($I68=0,"",IF($G68="","",$G68*IF(INDEX('إدخال وسجل المنتجات'!$U$5:$U$590,$I68)=0,1,INDEX('إدخال وسجل المنتجات'!$U$5:$U$590,$I68))))</f>
        <v/>
      </c>
    </row>
    <row r="69" spans="1:10" ht="16" x14ac:dyDescent="0.15">
      <c r="A69" s="2">
        <f>IF($I69=0,"",66)</f>
        <v>66</v>
      </c>
      <c r="B69" s="9" t="str">
        <f>IF($I69=0,"",INDEX('إدخال وسجل المنتجات'!$F$5:$F$590,$I69))</f>
        <v>TRN-CHL-030</v>
      </c>
      <c r="C69" s="8" t="str">
        <f>IF($I69=0,"",INDEX('إدخال وسجل المنتجات'!$B$5:$B$590,$I69))</f>
        <v>صوص بومودورو</v>
      </c>
      <c r="D69" s="10" t="str">
        <f>IF($I69=0,"",INDEX('إدخال وسجل المنتجات'!$C$5:$C$590,$I69))</f>
        <v>Pomodoro Sauce</v>
      </c>
      <c r="E69" s="11" t="str">
        <f>IF($I69=0,"",INDEX('إدخال وسجل المنتجات'!$D$5:$D$590,$I69))</f>
        <v>مواد تحويلية</v>
      </c>
      <c r="F69" s="2" t="str">
        <f>IF($I69=0,"",INDEX('إدخال وسجل المنتجات'!$G$5:$G$590,$I69))</f>
        <v>كيلو</v>
      </c>
      <c r="G69" s="12"/>
      <c r="H69" s="13"/>
      <c r="I69">
        <f>SUMPRODUCT(('إدخال وسجل المنتجات'!$I$5:$I$590="CHL")*('إدخال وسجل المنتجات'!$M$5:$M$590=66)*(ROW('إدخال وسجل المنتجات'!$I$5:$I$590)-4))</f>
        <v>452</v>
      </c>
      <c r="J69" s="2" t="str">
        <f>IF($I69=0,"",IF($G69="","",$G69*IF(INDEX('إدخال وسجل المنتجات'!$U$5:$U$590,$I69)=0,1,INDEX('إدخال وسجل المنتجات'!$U$5:$U$590,$I69))))</f>
        <v/>
      </c>
    </row>
    <row r="70" spans="1:10" ht="16" x14ac:dyDescent="0.15">
      <c r="A70" s="2">
        <f>IF($I70=0,"",67)</f>
        <v>67</v>
      </c>
      <c r="B70" s="9" t="str">
        <f>IF($I70=0,"",INDEX('إدخال وسجل المنتجات'!$F$5:$F$590,$I70))</f>
        <v>TRN-CHL-031</v>
      </c>
      <c r="C70" s="8" t="str">
        <f>IF($I70=0,"",INDEX('إدخال وسجل المنتجات'!$B$5:$B$590,$I70))</f>
        <v>صوص بيتزا الترافل</v>
      </c>
      <c r="D70" s="10" t="str">
        <f>IF($I70=0,"",INDEX('إدخال وسجل المنتجات'!$C$5:$C$590,$I70))</f>
        <v>Pizza Truffle Sauce</v>
      </c>
      <c r="E70" s="11" t="str">
        <f>IF($I70=0,"",INDEX('إدخال وسجل المنتجات'!$D$5:$D$590,$I70))</f>
        <v>مواد تحويلية</v>
      </c>
      <c r="F70" s="2" t="str">
        <f>IF($I70=0,"",INDEX('إدخال وسجل المنتجات'!$G$5:$G$590,$I70))</f>
        <v>كيلو</v>
      </c>
      <c r="G70" s="12"/>
      <c r="H70" s="13"/>
      <c r="I70">
        <f>SUMPRODUCT(('إدخال وسجل المنتجات'!$I$5:$I$590="CHL")*('إدخال وسجل المنتجات'!$M$5:$M$590=67)*(ROW('إدخال وسجل المنتجات'!$I$5:$I$590)-4))</f>
        <v>453</v>
      </c>
      <c r="J70" s="2" t="str">
        <f>IF($I70=0,"",IF($G70="","",$G70*IF(INDEX('إدخال وسجل المنتجات'!$U$5:$U$590,$I70)=0,1,INDEX('إدخال وسجل المنتجات'!$U$5:$U$590,$I70))))</f>
        <v/>
      </c>
    </row>
    <row r="71" spans="1:10" ht="28.5" customHeight="1" x14ac:dyDescent="0.15">
      <c r="A71" s="2">
        <f>IF($I71=0,"",68)</f>
        <v>68</v>
      </c>
      <c r="B71" s="9" t="str">
        <f>IF($I71=0,"",INDEX('إدخال وسجل المنتجات'!$F$5:$F$590,$I71))</f>
        <v>TRN-CHL-032</v>
      </c>
      <c r="C71" s="8" t="str">
        <f>IF($I71=0,"",INDEX('إدخال وسجل المنتجات'!$B$5:$B$590,$I71))</f>
        <v>صوص بيتزا الدجاج المشوي</v>
      </c>
      <c r="D71" s="10" t="str">
        <f>IF($I71=0,"",INDEX('إدخال وسجل المنتجات'!$C$5:$C$590,$I71))</f>
        <v>Grilled Chicken Pizza Sauce</v>
      </c>
      <c r="E71" s="11" t="str">
        <f>IF($I71=0,"",INDEX('إدخال وسجل المنتجات'!$D$5:$D$590,$I71))</f>
        <v>مواد تحويلية</v>
      </c>
      <c r="F71" s="2" t="str">
        <f>IF($I71=0,"",INDEX('إدخال وسجل المنتجات'!$G$5:$G$590,$I71))</f>
        <v>كيلو</v>
      </c>
      <c r="G71" s="12"/>
      <c r="H71" s="13"/>
      <c r="I71">
        <f>SUMPRODUCT(('إدخال وسجل المنتجات'!$I$5:$I$590="CHL")*('إدخال وسجل المنتجات'!$M$5:$M$590=68)*(ROW('إدخال وسجل المنتجات'!$I$5:$I$590)-4))</f>
        <v>454</v>
      </c>
      <c r="J71" s="2" t="str">
        <f>IF($I71=0,"",IF($G71="","",$G71*IF(INDEX('إدخال وسجل المنتجات'!$U$5:$U$590,$I71)=0,1,INDEX('إدخال وسجل المنتجات'!$U$5:$U$590,$I71))))</f>
        <v/>
      </c>
    </row>
    <row r="72" spans="1:10" ht="16" x14ac:dyDescent="0.15">
      <c r="A72" s="2">
        <f>IF($I72=0,"",69)</f>
        <v>69</v>
      </c>
      <c r="B72" s="9" t="str">
        <f>IF($I72=0,"",INDEX('إدخال وسجل المنتجات'!$F$5:$F$590,$I72))</f>
        <v>TRN-CHL-033</v>
      </c>
      <c r="C72" s="8" t="str">
        <f>IF($I72=0,"",INDEX('إدخال وسجل المنتجات'!$B$5:$B$590,$I72))</f>
        <v>صوص بيتزا الشيف</v>
      </c>
      <c r="D72" s="10" t="str">
        <f>IF($I72=0,"",INDEX('إدخال وسجل المنتجات'!$C$5:$C$590,$I72))</f>
        <v>Pizza Chef Sauce</v>
      </c>
      <c r="E72" s="11" t="str">
        <f>IF($I72=0,"",INDEX('إدخال وسجل المنتجات'!$D$5:$D$590,$I72))</f>
        <v>مواد تحويلية</v>
      </c>
      <c r="F72" s="2" t="str">
        <f>IF($I72=0,"",INDEX('إدخال وسجل المنتجات'!$G$5:$G$590,$I72))</f>
        <v>كيلو</v>
      </c>
      <c r="G72" s="12"/>
      <c r="H72" s="13"/>
      <c r="I72">
        <f>SUMPRODUCT(('إدخال وسجل المنتجات'!$I$5:$I$590="CHL")*('إدخال وسجل المنتجات'!$M$5:$M$590=69)*(ROW('إدخال وسجل المنتجات'!$I$5:$I$590)-4))</f>
        <v>455</v>
      </c>
      <c r="J72" s="2" t="str">
        <f>IF($I72=0,"",IF($G72="","",$G72*IF(INDEX('إدخال وسجل المنتجات'!$U$5:$U$590,$I72)=0,1,INDEX('إدخال وسجل المنتجات'!$U$5:$U$590,$I72))))</f>
        <v/>
      </c>
    </row>
    <row r="73" spans="1:10" ht="16" x14ac:dyDescent="0.15">
      <c r="A73" s="2">
        <f>IF($I73=0,"",70)</f>
        <v>70</v>
      </c>
      <c r="B73" s="9" t="str">
        <f>IF($I73=0,"",INDEX('إدخال وسجل المنتجات'!$F$5:$F$590,$I73))</f>
        <v>TRN-CHL-034</v>
      </c>
      <c r="C73" s="8" t="str">
        <f>IF($I73=0,"",INDEX('إدخال وسجل المنتجات'!$B$5:$B$590,$I73))</f>
        <v>صوص بيستو الريحان</v>
      </c>
      <c r="D73" s="10" t="str">
        <f>IF($I73=0,"",INDEX('إدخال وسجل المنتجات'!$C$5:$C$590,$I73))</f>
        <v>Pesto Basil Sauce</v>
      </c>
      <c r="E73" s="11" t="str">
        <f>IF($I73=0,"",INDEX('إدخال وسجل المنتجات'!$D$5:$D$590,$I73))</f>
        <v>مواد تحويلية</v>
      </c>
      <c r="F73" s="2" t="str">
        <f>IF($I73=0,"",INDEX('إدخال وسجل المنتجات'!$G$5:$G$590,$I73))</f>
        <v>كيلو</v>
      </c>
      <c r="G73" s="12"/>
      <c r="H73" s="13"/>
      <c r="I73">
        <f>SUMPRODUCT(('إدخال وسجل المنتجات'!$I$5:$I$590="CHL")*('إدخال وسجل المنتجات'!$M$5:$M$590=70)*(ROW('إدخال وسجل المنتجات'!$I$5:$I$590)-4))</f>
        <v>456</v>
      </c>
      <c r="J73" s="2" t="str">
        <f>IF($I73=0,"",IF($G73="","",$G73*IF(INDEX('إدخال وسجل المنتجات'!$U$5:$U$590,$I73)=0,1,INDEX('إدخال وسجل المنتجات'!$U$5:$U$590,$I73))))</f>
        <v/>
      </c>
    </row>
    <row r="74" spans="1:10" ht="16" x14ac:dyDescent="0.15">
      <c r="A74" s="2">
        <f>IF($I74=0,"",71)</f>
        <v>71</v>
      </c>
      <c r="B74" s="9" t="str">
        <f>IF($I74=0,"",INDEX('إدخال وسجل المنتجات'!$F$5:$F$590,$I74))</f>
        <v>TRN-CHL-035</v>
      </c>
      <c r="C74" s="8" t="str">
        <f>IF($I74=0,"",INDEX('إدخال وسجل المنتجات'!$B$5:$B$590,$I74))</f>
        <v>صوص بيستو الطماطم المجففة</v>
      </c>
      <c r="D74" s="10" t="str">
        <f>IF($I74=0,"",INDEX('إدخال وسجل المنتجات'!$C$5:$C$590,$I74))</f>
        <v>Pesto Tomato Sauce</v>
      </c>
      <c r="E74" s="11" t="str">
        <f>IF($I74=0,"",INDEX('إدخال وسجل المنتجات'!$D$5:$D$590,$I74))</f>
        <v>مواد تحويلية</v>
      </c>
      <c r="F74" s="2" t="str">
        <f>IF($I74=0,"",INDEX('إدخال وسجل المنتجات'!$G$5:$G$590,$I74))</f>
        <v>كيلو</v>
      </c>
      <c r="G74" s="12"/>
      <c r="H74" s="13"/>
      <c r="I74">
        <f>SUMPRODUCT(('إدخال وسجل المنتجات'!$I$5:$I$590="CHL")*('إدخال وسجل المنتجات'!$M$5:$M$590=71)*(ROW('إدخال وسجل المنتجات'!$I$5:$I$590)-4))</f>
        <v>457</v>
      </c>
      <c r="J74" s="2" t="str">
        <f>IF($I74=0,"",IF($G74="","",$G74*IF(INDEX('إدخال وسجل المنتجات'!$U$5:$U$590,$I74)=0,1,INDEX('إدخال وسجل المنتجات'!$U$5:$U$590,$I74))))</f>
        <v/>
      </c>
    </row>
    <row r="75" spans="1:10" ht="16" x14ac:dyDescent="0.15">
      <c r="A75" s="2">
        <f>IF($I75=0,"",72)</f>
        <v>72</v>
      </c>
      <c r="B75" s="9" t="str">
        <f>IF($I75=0,"",INDEX('إدخال وسجل المنتجات'!$F$5:$F$590,$I75))</f>
        <v>TRN-CHL-036</v>
      </c>
      <c r="C75" s="8" t="str">
        <f>IF($I75=0,"",INDEX('إدخال وسجل المنتجات'!$B$5:$B$590,$I75))</f>
        <v>صوص سلطة البوراتا</v>
      </c>
      <c r="D75" s="10" t="str">
        <f>IF($I75=0,"",INDEX('إدخال وسجل المنتجات'!$C$5:$C$590,$I75))</f>
        <v>Salad Burrata Sauce</v>
      </c>
      <c r="E75" s="11" t="str">
        <f>IF($I75=0,"",INDEX('إدخال وسجل المنتجات'!$D$5:$D$590,$I75))</f>
        <v>مواد تحويلية</v>
      </c>
      <c r="F75" s="2" t="str">
        <f>IF($I75=0,"",INDEX('إدخال وسجل المنتجات'!$G$5:$G$590,$I75))</f>
        <v>كيلو</v>
      </c>
      <c r="G75" s="12"/>
      <c r="H75" s="13"/>
      <c r="I75">
        <f>SUMPRODUCT(('إدخال وسجل المنتجات'!$I$5:$I$590="CHL")*('إدخال وسجل المنتجات'!$M$5:$M$590=72)*(ROW('إدخال وسجل المنتجات'!$I$5:$I$590)-4))</f>
        <v>458</v>
      </c>
      <c r="J75" s="2" t="str">
        <f>IF($I75=0,"",IF($G75="","",$G75*IF(INDEX('إدخال وسجل المنتجات'!$U$5:$U$590,$I75)=0,1,INDEX('إدخال وسجل المنتجات'!$U$5:$U$590,$I75))))</f>
        <v/>
      </c>
    </row>
    <row r="76" spans="1:10" ht="16" x14ac:dyDescent="0.15">
      <c r="A76" s="2">
        <f>IF($I76=0,"",73)</f>
        <v>73</v>
      </c>
      <c r="B76" s="9" t="str">
        <f>IF($I76=0,"",INDEX('إدخال وسجل المنتجات'!$F$5:$F$590,$I76))</f>
        <v>TRN-CHL-037</v>
      </c>
      <c r="C76" s="8" t="str">
        <f>IF($I76=0,"",INDEX('إدخال وسجل المنتجات'!$B$5:$B$590,$I76))</f>
        <v>صوص سلطة الكينوا</v>
      </c>
      <c r="D76" s="10" t="str">
        <f>IF($I76=0,"",INDEX('إدخال وسجل المنتجات'!$C$5:$C$590,$I76))</f>
        <v>Salad Quinoa Sauce</v>
      </c>
      <c r="E76" s="11" t="str">
        <f>IF($I76=0,"",INDEX('إدخال وسجل المنتجات'!$D$5:$D$590,$I76))</f>
        <v>مواد تحويلية</v>
      </c>
      <c r="F76" s="2" t="str">
        <f>IF($I76=0,"",INDEX('إدخال وسجل المنتجات'!$G$5:$G$590,$I76))</f>
        <v>كيلو</v>
      </c>
      <c r="G76" s="12"/>
      <c r="H76" s="13"/>
      <c r="I76">
        <f>SUMPRODUCT(('إدخال وسجل المنتجات'!$I$5:$I$590="CHL")*('إدخال وسجل المنتجات'!$M$5:$M$590=73)*(ROW('إدخال وسجل المنتجات'!$I$5:$I$590)-4))</f>
        <v>459</v>
      </c>
      <c r="J76" s="2" t="str">
        <f>IF($I76=0,"",IF($G76="","",$G76*IF(INDEX('إدخال وسجل المنتجات'!$U$5:$U$590,$I76)=0,1,INDEX('إدخال وسجل المنتجات'!$U$5:$U$590,$I76))))</f>
        <v/>
      </c>
    </row>
    <row r="77" spans="1:10" ht="16" x14ac:dyDescent="0.15">
      <c r="A77" s="2">
        <f>IF($I77=0,"",74)</f>
        <v>74</v>
      </c>
      <c r="B77" s="9" t="str">
        <f>IF($I77=0,"",INDEX('إدخال وسجل المنتجات'!$F$5:$F$590,$I77))</f>
        <v>TRN-CHL-038</v>
      </c>
      <c r="C77" s="8" t="str">
        <f>IF($I77=0,"",INDEX('إدخال وسجل المنتجات'!$B$5:$B$590,$I77))</f>
        <v>صوص سلطة بينو ثقيلة</v>
      </c>
      <c r="D77" s="10" t="str">
        <f>IF($I77=0,"",INDEX('إدخال وسجل المنتجات'!$C$5:$C$590,$I77))</f>
        <v>Salad Pino Sauce</v>
      </c>
      <c r="E77" s="11" t="str">
        <f>IF($I77=0,"",INDEX('إدخال وسجل المنتجات'!$D$5:$D$590,$I77))</f>
        <v>مواد تحويلية</v>
      </c>
      <c r="F77" s="2" t="str">
        <f>IF($I77=0,"",INDEX('إدخال وسجل المنتجات'!$G$5:$G$590,$I77))</f>
        <v>كيلو</v>
      </c>
      <c r="G77" s="12"/>
      <c r="H77" s="13"/>
      <c r="I77">
        <f>SUMPRODUCT(('إدخال وسجل المنتجات'!$I$5:$I$590="CHL")*('إدخال وسجل المنتجات'!$M$5:$M$590=74)*(ROW('إدخال وسجل المنتجات'!$I$5:$I$590)-4))</f>
        <v>460</v>
      </c>
      <c r="J77" s="2" t="str">
        <f>IF($I77=0,"",IF($G77="","",$G77*IF(INDEX('إدخال وسجل المنتجات'!$U$5:$U$590,$I77)=0,1,INDEX('إدخال وسجل المنتجات'!$U$5:$U$590,$I77))))</f>
        <v/>
      </c>
    </row>
    <row r="78" spans="1:10" ht="16" x14ac:dyDescent="0.15">
      <c r="A78" s="2">
        <f>IF($I78=0,"",75)</f>
        <v>75</v>
      </c>
      <c r="B78" s="9" t="str">
        <f>IF($I78=0,"",INDEX('إدخال وسجل المنتجات'!$F$5:$F$590,$I78))</f>
        <v>TRN-CHL-039</v>
      </c>
      <c r="C78" s="8" t="str">
        <f>IF($I78=0,"",INDEX('إدخال وسجل المنتجات'!$B$5:$B$590,$I78))</f>
        <v>صوص سلطة بينو خفيف</v>
      </c>
      <c r="D78" s="10" t="str">
        <f>IF($I78=0,"",INDEX('إدخال وسجل المنتجات'!$C$5:$C$590,$I78))</f>
        <v>Salad Pino Sauce</v>
      </c>
      <c r="E78" s="11" t="str">
        <f>IF($I78=0,"",INDEX('إدخال وسجل المنتجات'!$D$5:$D$590,$I78))</f>
        <v>مواد تحويلية</v>
      </c>
      <c r="F78" s="2" t="str">
        <f>IF($I78=0,"",INDEX('إدخال وسجل المنتجات'!$G$5:$G$590,$I78))</f>
        <v>كيلو</v>
      </c>
      <c r="G78" s="12"/>
      <c r="H78" s="13"/>
      <c r="I78">
        <f>SUMPRODUCT(('إدخال وسجل المنتجات'!$I$5:$I$590="CHL")*('إدخال وسجل المنتجات'!$M$5:$M$590=75)*(ROW('إدخال وسجل المنتجات'!$I$5:$I$590)-4))</f>
        <v>461</v>
      </c>
      <c r="J78" s="2" t="str">
        <f>IF($I78=0,"",IF($G78="","",$G78*IF(INDEX('إدخال وسجل المنتجات'!$U$5:$U$590,$I78)=0,1,INDEX('إدخال وسجل المنتجات'!$U$5:$U$590,$I78))))</f>
        <v/>
      </c>
    </row>
    <row r="79" spans="1:10" ht="16" x14ac:dyDescent="0.15">
      <c r="A79" s="2">
        <f>IF($I79=0,"",76)</f>
        <v>76</v>
      </c>
      <c r="B79" s="9" t="str">
        <f>IF($I79=0,"",INDEX('إدخال وسجل المنتجات'!$F$5:$F$590,$I79))</f>
        <v>TRN-CHL-040</v>
      </c>
      <c r="C79" s="8" t="str">
        <f>IF($I79=0,"",INDEX('إدخال وسجل المنتجات'!$B$5:$B$590,$I79))</f>
        <v>صوص طحينة</v>
      </c>
      <c r="D79" s="10" t="str">
        <f>IF($I79=0,"",INDEX('إدخال وسجل المنتجات'!$C$5:$C$590,$I79))</f>
        <v>Tahini Sauce</v>
      </c>
      <c r="E79" s="11" t="str">
        <f>IF($I79=0,"",INDEX('إدخال وسجل المنتجات'!$D$5:$D$590,$I79))</f>
        <v>مواد تحويلية</v>
      </c>
      <c r="F79" s="2" t="str">
        <f>IF($I79=0,"",INDEX('إدخال وسجل المنتجات'!$G$5:$G$590,$I79))</f>
        <v>كيلو</v>
      </c>
      <c r="G79" s="12"/>
      <c r="H79" s="13"/>
      <c r="I79">
        <f>SUMPRODUCT(('إدخال وسجل المنتجات'!$I$5:$I$590="CHL")*('إدخال وسجل المنتجات'!$M$5:$M$590=76)*(ROW('إدخال وسجل المنتجات'!$I$5:$I$590)-4))</f>
        <v>462</v>
      </c>
      <c r="J79" s="2" t="str">
        <f>IF($I79=0,"",IF($G79="","",$G79*IF(INDEX('إدخال وسجل المنتجات'!$U$5:$U$590,$I79)=0,1,INDEX('إدخال وسجل المنتجات'!$U$5:$U$590,$I79))))</f>
        <v/>
      </c>
    </row>
    <row r="80" spans="1:10" ht="16" x14ac:dyDescent="0.15">
      <c r="A80" s="2">
        <f>IF($I80=0,"",77)</f>
        <v>77</v>
      </c>
      <c r="B80" s="9" t="str">
        <f>IF($I80=0,"",INDEX('إدخال وسجل المنتجات'!$F$5:$F$590,$I80))</f>
        <v>TRN-CHL-041</v>
      </c>
      <c r="C80" s="8" t="str">
        <f>IF($I80=0,"",INDEX('إدخال وسجل المنتجات'!$B$5:$B$590,$I80))</f>
        <v>صوص كرات الارانشيني ترافل</v>
      </c>
      <c r="D80" s="10" t="str">
        <f>IF($I80=0,"",INDEX('إدخال وسجل المنتجات'!$C$5:$C$590,$I80))</f>
        <v>Arancini Balls Truffle Sauce</v>
      </c>
      <c r="E80" s="11" t="str">
        <f>IF($I80=0,"",INDEX('إدخال وسجل المنتجات'!$D$5:$D$590,$I80))</f>
        <v>مواد تحويلية</v>
      </c>
      <c r="F80" s="2" t="str">
        <f>IF($I80=0,"",INDEX('إدخال وسجل المنتجات'!$G$5:$G$590,$I80))</f>
        <v>كيلو</v>
      </c>
      <c r="G80" s="12"/>
      <c r="H80" s="13"/>
      <c r="I80">
        <f>SUMPRODUCT(('إدخال وسجل المنتجات'!$I$5:$I$590="CHL")*('إدخال وسجل المنتجات'!$M$5:$M$590=77)*(ROW('إدخال وسجل المنتجات'!$I$5:$I$590)-4))</f>
        <v>463</v>
      </c>
      <c r="J80" s="2" t="str">
        <f>IF($I80=0,"",IF($G80="","",$G80*IF(INDEX('إدخال وسجل المنتجات'!$U$5:$U$590,$I80)=0,1,INDEX('إدخال وسجل المنتجات'!$U$5:$U$590,$I80))))</f>
        <v/>
      </c>
    </row>
    <row r="81" spans="1:10" ht="16" x14ac:dyDescent="0.15">
      <c r="A81" s="2">
        <f>IF($I81=0,"",78)</f>
        <v>78</v>
      </c>
      <c r="B81" s="9" t="str">
        <f>IF($I81=0,"",INDEX('إدخال وسجل المنتجات'!$F$5:$F$590,$I81))</f>
        <v>TRN-CHL-042</v>
      </c>
      <c r="C81" s="8" t="str">
        <f>IF($I81=0,"",INDEX('إدخال وسجل المنتجات'!$B$5:$B$590,$I81))</f>
        <v>صوص كرات الارانشيني عادي</v>
      </c>
      <c r="D81" s="10" t="str">
        <f>IF($I81=0,"",INDEX('إدخال وسجل المنتجات'!$C$5:$C$590,$I81))</f>
        <v>Arancini Balls Sauce</v>
      </c>
      <c r="E81" s="11" t="str">
        <f>IF($I81=0,"",INDEX('إدخال وسجل المنتجات'!$D$5:$D$590,$I81))</f>
        <v>مواد تحويلية</v>
      </c>
      <c r="F81" s="2" t="str">
        <f>IF($I81=0,"",INDEX('إدخال وسجل المنتجات'!$G$5:$G$590,$I81))</f>
        <v>كيلو</v>
      </c>
      <c r="G81" s="12"/>
      <c r="H81" s="13"/>
      <c r="I81">
        <f>SUMPRODUCT(('إدخال وسجل المنتجات'!$I$5:$I$590="CHL")*('إدخال وسجل المنتجات'!$M$5:$M$590=78)*(ROW('إدخال وسجل المنتجات'!$I$5:$I$590)-4))</f>
        <v>464</v>
      </c>
      <c r="J81" s="2" t="str">
        <f>IF($I81=0,"",IF($G81="","",$G81*IF(INDEX('إدخال وسجل المنتجات'!$U$5:$U$590,$I81)=0,1,INDEX('إدخال وسجل المنتجات'!$U$5:$U$590,$I81))))</f>
        <v/>
      </c>
    </row>
    <row r="82" spans="1:10" ht="16" x14ac:dyDescent="0.15">
      <c r="A82" s="2">
        <f>IF($I82=0,"",79)</f>
        <v>79</v>
      </c>
      <c r="B82" s="9" t="str">
        <f>IF($I82=0,"",INDEX('إدخال وسجل المنتجات'!$F$5:$F$590,$I82))</f>
        <v>TRN-CHL-043</v>
      </c>
      <c r="C82" s="8" t="str">
        <f>IF($I82=0,"",INDEX('إدخال وسجل المنتجات'!$B$5:$B$590,$I82))</f>
        <v>صوص كرات الباستا</v>
      </c>
      <c r="D82" s="10" t="str">
        <f>IF($I82=0,"",INDEX('إدخال وسجل المنتجات'!$C$5:$C$590,$I82))</f>
        <v>Pasta Balls Sauce</v>
      </c>
      <c r="E82" s="11" t="str">
        <f>IF($I82=0,"",INDEX('إدخال وسجل المنتجات'!$D$5:$D$590,$I82))</f>
        <v>مواد تحويلية</v>
      </c>
      <c r="F82" s="2" t="str">
        <f>IF($I82=0,"",INDEX('إدخال وسجل المنتجات'!$G$5:$G$590,$I82))</f>
        <v>كيلو</v>
      </c>
      <c r="G82" s="12"/>
      <c r="H82" s="13"/>
      <c r="I82">
        <f>SUMPRODUCT(('إدخال وسجل المنتجات'!$I$5:$I$590="CHL")*('إدخال وسجل المنتجات'!$M$5:$M$590=79)*(ROW('إدخال وسجل المنتجات'!$I$5:$I$590)-4))</f>
        <v>465</v>
      </c>
      <c r="J82" s="2" t="str">
        <f>IF($I82=0,"",IF($G82="","",$G82*IF(INDEX('إدخال وسجل المنتجات'!$U$5:$U$590,$I82)=0,1,INDEX('إدخال وسجل المنتجات'!$U$5:$U$590,$I82))))</f>
        <v/>
      </c>
    </row>
    <row r="83" spans="1:10" ht="16" x14ac:dyDescent="0.15">
      <c r="A83" s="2">
        <f>IF($I83=0,"",80)</f>
        <v>80</v>
      </c>
      <c r="B83" s="9" t="str">
        <f>IF($I83=0,"",INDEX('إدخال وسجل المنتجات'!$F$5:$F$590,$I83))</f>
        <v>TRN-CHL-044</v>
      </c>
      <c r="C83" s="8" t="str">
        <f>IF($I83=0,"",INDEX('إدخال وسجل المنتجات'!$B$5:$B$590,$I83))</f>
        <v>صوص مارجريتا</v>
      </c>
      <c r="D83" s="10" t="str">
        <f>IF($I83=0,"",INDEX('إدخال وسجل المنتجات'!$C$5:$C$590,$I83))</f>
        <v>Margherita Sauce</v>
      </c>
      <c r="E83" s="11" t="str">
        <f>IF($I83=0,"",INDEX('إدخال وسجل المنتجات'!$D$5:$D$590,$I83))</f>
        <v>مواد تحويلية</v>
      </c>
      <c r="F83" s="2" t="str">
        <f>IF($I83=0,"",INDEX('إدخال وسجل المنتجات'!$G$5:$G$590,$I83))</f>
        <v>كيلو</v>
      </c>
      <c r="G83" s="12"/>
      <c r="H83" s="13"/>
      <c r="I83">
        <f>SUMPRODUCT(('إدخال وسجل المنتجات'!$I$5:$I$590="CHL")*('إدخال وسجل المنتجات'!$M$5:$M$590=80)*(ROW('إدخال وسجل المنتجات'!$I$5:$I$590)-4))</f>
        <v>466</v>
      </c>
      <c r="J83" s="2" t="str">
        <f>IF($I83=0,"",IF($G83="","",$G83*IF(INDEX('إدخال وسجل المنتجات'!$U$5:$U$590,$I83)=0,1,INDEX('إدخال وسجل المنتجات'!$U$5:$U$590,$I83))))</f>
        <v/>
      </c>
    </row>
    <row r="84" spans="1:10" ht="16" x14ac:dyDescent="0.15">
      <c r="A84" s="2">
        <f>IF($I84=0,"",81)</f>
        <v>81</v>
      </c>
      <c r="B84" s="9" t="str">
        <f>IF($I84=0,"",INDEX('إدخال وسجل المنتجات'!$F$5:$F$590,$I84))</f>
        <v>TRN-CHL-045</v>
      </c>
      <c r="C84" s="8" t="str">
        <f>IF($I84=0,"",INDEX('إدخال وسجل المنتجات'!$B$5:$B$590,$I84))</f>
        <v>صوص ماري مونتي</v>
      </c>
      <c r="D84" s="10" t="str">
        <f>IF($I84=0,"",INDEX('إدخال وسجل المنتجات'!$C$5:$C$590,$I84))</f>
        <v>Mari Monti Sauce</v>
      </c>
      <c r="E84" s="11" t="str">
        <f>IF($I84=0,"",INDEX('إدخال وسجل المنتجات'!$D$5:$D$590,$I84))</f>
        <v>مواد تحويلية</v>
      </c>
      <c r="F84" s="2" t="str">
        <f>IF($I84=0,"",INDEX('إدخال وسجل المنتجات'!$G$5:$G$590,$I84))</f>
        <v>كيلو</v>
      </c>
      <c r="G84" s="12"/>
      <c r="H84" s="13"/>
      <c r="I84">
        <f>SUMPRODUCT(('إدخال وسجل المنتجات'!$I$5:$I$590="CHL")*('إدخال وسجل المنتجات'!$M$5:$M$590=81)*(ROW('إدخال وسجل المنتجات'!$I$5:$I$590)-4))</f>
        <v>467</v>
      </c>
      <c r="J84" s="2" t="str">
        <f>IF($I84=0,"",IF($G84="","",$G84*IF(INDEX('إدخال وسجل المنتجات'!$U$5:$U$590,$I84)=0,1,INDEX('إدخال وسجل المنتجات'!$U$5:$U$590,$I84))))</f>
        <v/>
      </c>
    </row>
    <row r="85" spans="1:10" ht="16" x14ac:dyDescent="0.15">
      <c r="A85" s="2">
        <f>IF($I85=0,"",82)</f>
        <v>82</v>
      </c>
      <c r="B85" s="9" t="str">
        <f>IF($I85=0,"",INDEX('إدخال وسجل المنتجات'!$F$5:$F$590,$I85))</f>
        <v>TRN-CHL-046</v>
      </c>
      <c r="C85" s="8" t="str">
        <f>IF($I85=0,"",INDEX('إدخال وسجل المنتجات'!$B$5:$B$590,$I85))</f>
        <v>صوص مسخن</v>
      </c>
      <c r="D85" s="10" t="str">
        <f>IF($I85=0,"",INDEX('إدخال وسجل المنتجات'!$C$5:$C$590,$I85))</f>
        <v>Musakhan Sauce</v>
      </c>
      <c r="E85" s="11" t="str">
        <f>IF($I85=0,"",INDEX('إدخال وسجل المنتجات'!$D$5:$D$590,$I85))</f>
        <v>مواد تحويلية</v>
      </c>
      <c r="F85" s="2" t="str">
        <f>IF($I85=0,"",INDEX('إدخال وسجل المنتجات'!$G$5:$G$590,$I85))</f>
        <v>كيلو</v>
      </c>
      <c r="G85" s="12"/>
      <c r="H85" s="13"/>
      <c r="I85">
        <f>SUMPRODUCT(('إدخال وسجل المنتجات'!$I$5:$I$590="CHL")*('إدخال وسجل المنتجات'!$M$5:$M$590=82)*(ROW('إدخال وسجل المنتجات'!$I$5:$I$590)-4))</f>
        <v>468</v>
      </c>
      <c r="J85" s="2" t="str">
        <f>IF($I85=0,"",IF($G85="","",$G85*IF(INDEX('إدخال وسجل المنتجات'!$U$5:$U$590,$I85)=0,1,INDEX('إدخال وسجل المنتجات'!$U$5:$U$590,$I85))))</f>
        <v/>
      </c>
    </row>
    <row r="86" spans="1:10" ht="16" x14ac:dyDescent="0.15">
      <c r="A86" s="2">
        <f>IF($I86=0,"",83)</f>
        <v>83</v>
      </c>
      <c r="B86" s="9" t="str">
        <f>IF($I86=0,"",INDEX('إدخال وسجل المنتجات'!$F$5:$F$590,$I86))</f>
        <v>RAW-CHL-037</v>
      </c>
      <c r="C86" s="8" t="str">
        <f>IF($I86=0,"",INDEX('إدخال وسجل المنتجات'!$B$5:$B$590,$I86))</f>
        <v>طماطم</v>
      </c>
      <c r="D86" s="10" t="str">
        <f>IF($I86=0,"",INDEX('إدخال وسجل المنتجات'!$C$5:$C$590,$I86))</f>
        <v>Tomato</v>
      </c>
      <c r="E86" s="11" t="str">
        <f>IF($I86=0,"",INDEX('إدخال وسجل المنتجات'!$D$5:$D$590,$I86))</f>
        <v>مواد خام</v>
      </c>
      <c r="F86" s="2" t="str">
        <f>IF($I86=0,"",INDEX('إدخال وسجل المنتجات'!$G$5:$G$590,$I86))</f>
        <v>كيلو</v>
      </c>
      <c r="G86" s="12"/>
      <c r="H86" s="13"/>
      <c r="I86">
        <f>SUMPRODUCT(('إدخال وسجل المنتجات'!$I$5:$I$590="CHL")*('إدخال وسجل المنتجات'!$M$5:$M$590=83)*(ROW('إدخال وسجل المنتجات'!$I$5:$I$590)-4))</f>
        <v>476</v>
      </c>
      <c r="J86" s="2" t="str">
        <f>IF($I86=0,"",IF($G86="","",$G86*IF(INDEX('إدخال وسجل المنتجات'!$U$5:$U$590,$I86)=0,1,INDEX('إدخال وسجل المنتجات'!$U$5:$U$590,$I86))))</f>
        <v/>
      </c>
    </row>
    <row r="87" spans="1:10" ht="16" x14ac:dyDescent="0.15">
      <c r="A87" s="2">
        <f>IF($I87=0,"",84)</f>
        <v>84</v>
      </c>
      <c r="B87" s="9" t="str">
        <f>IF($I87=0,"",INDEX('إدخال وسجل المنتجات'!$F$5:$F$590,$I87))</f>
        <v>RAW-CHL-038</v>
      </c>
      <c r="C87" s="8" t="str">
        <f>IF($I87=0,"",INDEX('إدخال وسجل المنتجات'!$B$5:$B$590,$I87))</f>
        <v>طماطم شيري</v>
      </c>
      <c r="D87" s="10" t="str">
        <f>IF($I87=0,"",INDEX('إدخال وسجل المنتجات'!$C$5:$C$590,$I87))</f>
        <v>Cherry Tomato</v>
      </c>
      <c r="E87" s="11" t="str">
        <f>IF($I87=0,"",INDEX('إدخال وسجل المنتجات'!$D$5:$D$590,$I87))</f>
        <v>مواد خام</v>
      </c>
      <c r="F87" s="2" t="str">
        <f>IF($I87=0,"",INDEX('إدخال وسجل المنتجات'!$G$5:$G$590,$I87))</f>
        <v>كيلو</v>
      </c>
      <c r="G87" s="12"/>
      <c r="H87" s="13"/>
      <c r="I87">
        <f>SUMPRODUCT(('إدخال وسجل المنتجات'!$I$5:$I$590="CHL")*('إدخال وسجل المنتجات'!$M$5:$M$590=84)*(ROW('إدخال وسجل المنتجات'!$I$5:$I$590)-4))</f>
        <v>478</v>
      </c>
      <c r="J87" s="2" t="str">
        <f>IF($I87=0,"",IF($G87="","",$G87*IF(INDEX('إدخال وسجل المنتجات'!$U$5:$U$590,$I87)=0,1,INDEX('إدخال وسجل المنتجات'!$U$5:$U$590,$I87))))</f>
        <v/>
      </c>
    </row>
    <row r="88" spans="1:10" s="21" customFormat="1" ht="16" x14ac:dyDescent="0.15">
      <c r="A88" s="15">
        <f>IF($I88=0,"",85)</f>
        <v>85</v>
      </c>
      <c r="B88" s="16" t="str">
        <f>IF($I88=0,"",INDEX('إدخال وسجل المنتجات'!$F$5:$F$590,$I88))</f>
        <v>TRN-CHL-047</v>
      </c>
      <c r="C88" s="17" t="str">
        <f>IF($I88=0,"",INDEX('إدخال وسجل المنتجات'!$B$5:$B$590,$I88))</f>
        <v>عجينة سمبوسة</v>
      </c>
      <c r="D88" s="18" t="str">
        <f>IF($I88=0,"",INDEX('إدخال وسجل المنتجات'!$C$5:$C$590,$I88))</f>
        <v>Samosa Dough</v>
      </c>
      <c r="E88" s="19" t="str">
        <f>IF($I88=0,"",INDEX('إدخال وسجل المنتجات'!$D$5:$D$590,$I88))</f>
        <v>مواد تحويلية</v>
      </c>
      <c r="F88" s="15" t="str">
        <f>IF($I88=0,"",INDEX('إدخال وسجل المنتجات'!$G$5:$G$590,$I88))</f>
        <v>كيلو</v>
      </c>
      <c r="G88" s="20"/>
      <c r="H88" s="20"/>
      <c r="I88" s="21">
        <f>SUMPRODUCT(('إدخال وسجل المنتجات'!$I$5:$I$590="CHL")*('إدخال وسجل المنتجات'!$M$5:$M$590=85)*(ROW('إدخال وسجل المنتجات'!$I$5:$I$590)-4))</f>
        <v>481</v>
      </c>
      <c r="J88" s="2" t="str">
        <f>IF($I88=0,"",IF($G88="","",$G88*IF(INDEX('إدخال وسجل المنتجات'!$U$5:$U$590,$I88)=0,1,INDEX('إدخال وسجل المنتجات'!$U$5:$U$590,$I88))))</f>
        <v/>
      </c>
    </row>
    <row r="89" spans="1:10" ht="16" x14ac:dyDescent="0.15">
      <c r="A89" s="2">
        <f>IF($I89=0,"",86)</f>
        <v>86</v>
      </c>
      <c r="B89" s="9" t="str">
        <f>IF($I89=0,"",INDEX('إدخال وسجل المنتجات'!$F$5:$F$590,$I89))</f>
        <v>RAW-CHL-039</v>
      </c>
      <c r="C89" s="8" t="str">
        <f>IF($I89=0,"",INDEX('إدخال وسجل المنتجات'!$B$5:$B$590,$I89))</f>
        <v>فجل احمر</v>
      </c>
      <c r="D89" s="10" t="str">
        <f>IF($I89=0,"",INDEX('إدخال وسجل المنتجات'!$C$5:$C$590,$I89))</f>
        <v>Radish</v>
      </c>
      <c r="E89" s="11" t="str">
        <f>IF($I89=0,"",INDEX('إدخال وسجل المنتجات'!$D$5:$D$590,$I89))</f>
        <v>مواد خام</v>
      </c>
      <c r="F89" s="2" t="str">
        <f>IF($I89=0,"",INDEX('إدخال وسجل المنتجات'!$G$5:$G$590,$I89))</f>
        <v>كيلو</v>
      </c>
      <c r="G89" s="12"/>
      <c r="H89" s="13"/>
      <c r="I89">
        <f>SUMPRODUCT(('إدخال وسجل المنتجات'!$I$5:$I$590="CHL")*('إدخال وسجل المنتجات'!$M$5:$M$590=86)*(ROW('إدخال وسجل المنتجات'!$I$5:$I$590)-4))</f>
        <v>495</v>
      </c>
      <c r="J89" s="2" t="str">
        <f>IF($I89=0,"",IF($G89="","",$G89*IF(INDEX('إدخال وسجل المنتجات'!$U$5:$U$590,$I89)=0,1,INDEX('إدخال وسجل المنتجات'!$U$5:$U$590,$I89))))</f>
        <v/>
      </c>
    </row>
    <row r="90" spans="1:10" ht="16" x14ac:dyDescent="0.15">
      <c r="A90" s="2">
        <f>IF($I90=0,"",87)</f>
        <v>87</v>
      </c>
      <c r="B90" s="9" t="str">
        <f>IF($I90=0,"",INDEX('إدخال وسجل المنتجات'!$F$5:$F$590,$I90))</f>
        <v>RAW-CHL-040</v>
      </c>
      <c r="C90" s="8" t="str">
        <f>IF($I90=0,"",INDEX('إدخال وسجل المنتجات'!$B$5:$B$590,$I90))</f>
        <v>فطر</v>
      </c>
      <c r="D90" s="10" t="str">
        <f>IF($I90=0,"",INDEX('إدخال وسجل المنتجات'!$C$5:$C$590,$I90))</f>
        <v>Mushroom</v>
      </c>
      <c r="E90" s="11" t="str">
        <f>IF($I90=0,"",INDEX('إدخال وسجل المنتجات'!$D$5:$D$590,$I90))</f>
        <v>مواد خام</v>
      </c>
      <c r="F90" s="2" t="str">
        <f>IF($I90=0,"",INDEX('إدخال وسجل المنتجات'!$G$5:$G$590,$I90))</f>
        <v>كيلو</v>
      </c>
      <c r="G90" s="12"/>
      <c r="H90" s="13"/>
      <c r="I90">
        <f>SUMPRODUCT(('إدخال وسجل المنتجات'!$I$5:$I$590="CHL")*('إدخال وسجل المنتجات'!$M$5:$M$590=87)*(ROW('إدخال وسجل المنتجات'!$I$5:$I$590)-4))</f>
        <v>496</v>
      </c>
      <c r="J90" s="2" t="str">
        <f>IF($I90=0,"",IF($G90="","",$G90*IF(INDEX('إدخال وسجل المنتجات'!$U$5:$U$590,$I90)=0,1,INDEX('إدخال وسجل المنتجات'!$U$5:$U$590,$I90))))</f>
        <v/>
      </c>
    </row>
    <row r="91" spans="1:10" ht="16" x14ac:dyDescent="0.15">
      <c r="A91" s="2">
        <f>IF($I91=0,"",88)</f>
        <v>88</v>
      </c>
      <c r="B91" s="9" t="str">
        <f>IF($I91=0,"",INDEX('إدخال وسجل المنتجات'!$F$5:$F$590,$I91))</f>
        <v>RAW-CHL-041</v>
      </c>
      <c r="C91" s="8" t="str">
        <f>IF($I91=0,"",INDEX('إدخال وسجل المنتجات'!$B$5:$B$590,$I91))</f>
        <v>فلفل رومي احمر واصفر</v>
      </c>
      <c r="D91" s="10" t="str">
        <f>IF($I91=0,"",INDEX('إدخال وسجل المنتجات'!$C$5:$C$590,$I91))</f>
        <v>Pepper</v>
      </c>
      <c r="E91" s="11" t="str">
        <f>IF($I91=0,"",INDEX('إدخال وسجل المنتجات'!$D$5:$D$590,$I91))</f>
        <v>مواد خام</v>
      </c>
      <c r="F91" s="2" t="str">
        <f>IF($I91=0,"",INDEX('إدخال وسجل المنتجات'!$G$5:$G$590,$I91))</f>
        <v>كيلو</v>
      </c>
      <c r="G91" s="12"/>
      <c r="H91" s="13"/>
      <c r="I91">
        <f>SUMPRODUCT(('إدخال وسجل المنتجات'!$I$5:$I$590="CHL")*('إدخال وسجل المنتجات'!$M$5:$M$590=88)*(ROW('إدخال وسجل المنتجات'!$I$5:$I$590)-4))</f>
        <v>499</v>
      </c>
      <c r="J91" s="2" t="str">
        <f>IF($I91=0,"",IF($G91="","",$G91*IF(INDEX('إدخال وسجل المنتجات'!$U$5:$U$590,$I91)=0,1,INDEX('إدخال وسجل المنتجات'!$U$5:$U$590,$I91))))</f>
        <v/>
      </c>
    </row>
    <row r="92" spans="1:10" ht="16" x14ac:dyDescent="0.15">
      <c r="A92" s="2">
        <f>IF($I92=0,"",89)</f>
        <v>89</v>
      </c>
      <c r="B92" s="9" t="str">
        <f>IF($I92=0,"",INDEX('إدخال وسجل المنتجات'!$F$5:$F$590,$I92))</f>
        <v>RAW-CHL-042</v>
      </c>
      <c r="C92" s="8" t="str">
        <f>IF($I92=0,"",INDEX('إدخال وسجل المنتجات'!$B$5:$B$590,$I92))</f>
        <v>فلفل رومي اخضر</v>
      </c>
      <c r="D92" s="10" t="str">
        <f>IF($I92=0,"",INDEX('إدخال وسجل المنتجات'!$C$5:$C$590,$I92))</f>
        <v>Pepper</v>
      </c>
      <c r="E92" s="11" t="str">
        <f>IF($I92=0,"",INDEX('إدخال وسجل المنتجات'!$D$5:$D$590,$I92))</f>
        <v>مواد خام</v>
      </c>
      <c r="F92" s="2" t="str">
        <f>IF($I92=0,"",INDEX('إدخال وسجل المنتجات'!$G$5:$G$590,$I92))</f>
        <v>كيلو</v>
      </c>
      <c r="G92" s="12"/>
      <c r="H92" s="13"/>
      <c r="I92">
        <f>SUMPRODUCT(('إدخال وسجل المنتجات'!$I$5:$I$590="CHL")*('إدخال وسجل المنتجات'!$M$5:$M$590=89)*(ROW('إدخال وسجل المنتجات'!$I$5:$I$590)-4))</f>
        <v>500</v>
      </c>
      <c r="J92" s="2" t="str">
        <f>IF($I92=0,"",IF($G92="","",$G92*IF(INDEX('إدخال وسجل المنتجات'!$U$5:$U$590,$I92)=0,1,INDEX('إدخال وسجل المنتجات'!$U$5:$U$590,$I92))))</f>
        <v/>
      </c>
    </row>
    <row r="93" spans="1:10" ht="16" x14ac:dyDescent="0.15">
      <c r="A93" s="2">
        <f>IF($I93=0,"",90)</f>
        <v>90</v>
      </c>
      <c r="B93" s="9" t="str">
        <f>IF($I93=0,"",INDEX('إدخال وسجل المنتجات'!$F$5:$F$590,$I93))</f>
        <v>RAW-CHL-043</v>
      </c>
      <c r="C93" s="8" t="str">
        <f>IF($I93=0,"",INDEX('إدخال وسجل المنتجات'!$B$5:$B$590,$I93))</f>
        <v>قطع الترافل</v>
      </c>
      <c r="D93" s="10" t="str">
        <f>IF($I93=0,"",INDEX('إدخال وسجل المنتجات'!$C$5:$C$590,$I93))</f>
        <v>Truffle Pieces</v>
      </c>
      <c r="E93" s="11" t="str">
        <f>IF($I93=0,"",INDEX('إدخال وسجل المنتجات'!$D$5:$D$590,$I93))</f>
        <v>مواد خام</v>
      </c>
      <c r="F93" s="2" t="str">
        <f>IF($I93=0,"",INDEX('إدخال وسجل المنتجات'!$G$5:$G$590,$I93))</f>
        <v>كيلو</v>
      </c>
      <c r="G93" s="12"/>
      <c r="H93" s="13"/>
      <c r="I93">
        <f>SUMPRODUCT(('إدخال وسجل المنتجات'!$I$5:$I$590="CHL")*('إدخال وسجل المنتجات'!$M$5:$M$590=90)*(ROW('إدخال وسجل المنتجات'!$I$5:$I$590)-4))</f>
        <v>505</v>
      </c>
      <c r="J93" s="2" t="str">
        <f>IF($I93=0,"",IF($G93="","",$G93*IF(INDEX('إدخال وسجل المنتجات'!$U$5:$U$590,$I93)=0,1,INDEX('إدخال وسجل المنتجات'!$U$5:$U$590,$I93))))</f>
        <v/>
      </c>
    </row>
    <row r="94" spans="1:10" ht="16" x14ac:dyDescent="0.15">
      <c r="A94" s="2">
        <f>IF($I94=0,"",91)</f>
        <v>91</v>
      </c>
      <c r="B94" s="9" t="str">
        <f>IF($I94=0,"",INDEX('إدخال وسجل المنتجات'!$F$5:$F$590,$I94))</f>
        <v>RAW-CHL-044</v>
      </c>
      <c r="C94" s="8" t="str">
        <f>IF($I94=0,"",INDEX('إدخال وسجل المنتجات'!$B$5:$B$590,$I94))</f>
        <v>قطع باشن فروت</v>
      </c>
      <c r="D94" s="10" t="str">
        <f>IF($I94=0,"",INDEX('إدخال وسجل المنتجات'!$C$5:$C$590,$I94))</f>
        <v>Passion Fruit</v>
      </c>
      <c r="E94" s="11" t="str">
        <f>IF($I94=0,"",INDEX('إدخال وسجل المنتجات'!$D$5:$D$590,$I94))</f>
        <v>مواد خام</v>
      </c>
      <c r="F94" s="2" t="str">
        <f>IF($I94=0,"",INDEX('إدخال وسجل المنتجات'!$G$5:$G$590,$I94))</f>
        <v>كيلو</v>
      </c>
      <c r="G94" s="12"/>
      <c r="H94" s="13"/>
      <c r="I94">
        <f>SUMPRODUCT(('إدخال وسجل المنتجات'!$I$5:$I$590="CHL")*('إدخال وسجل المنتجات'!$M$5:$M$590=91)*(ROW('إدخال وسجل المنتجات'!$I$5:$I$590)-4))</f>
        <v>506</v>
      </c>
      <c r="J94" s="2" t="str">
        <f>IF($I94=0,"",IF($G94="","",$G94*IF(INDEX('إدخال وسجل المنتجات'!$U$5:$U$590,$I94)=0,1,INDEX('إدخال وسجل المنتجات'!$U$5:$U$590,$I94))))</f>
        <v/>
      </c>
    </row>
    <row r="95" spans="1:10" ht="16" x14ac:dyDescent="0.15">
      <c r="A95" s="2">
        <f>IF($I95=0,"",92)</f>
        <v>92</v>
      </c>
      <c r="B95" s="9" t="str">
        <f>IF($I95=0,"",INDEX('إدخال وسجل المنتجات'!$F$5:$F$590,$I95))</f>
        <v>RAW-CHL-045</v>
      </c>
      <c r="C95" s="8" t="str">
        <f>IF($I95=0,"",INDEX('إدخال وسجل المنتجات'!$B$5:$B$590,$I95))</f>
        <v>كاسريا بورينا جبنة ايطاليا</v>
      </c>
      <c r="D95" s="10" t="str">
        <f>IF($I95=0,"",INDEX('إدخال وسجل المنتجات'!$C$5:$C$590,$I95))</f>
        <v>Casarecce Burrina Cheese</v>
      </c>
      <c r="E95" s="11" t="str">
        <f>IF($I95=0,"",INDEX('إدخال وسجل المنتجات'!$D$5:$D$590,$I95))</f>
        <v>مواد خام</v>
      </c>
      <c r="F95" s="2" t="str">
        <f>IF($I95=0,"",INDEX('إدخال وسجل المنتجات'!$G$5:$G$590,$I95))</f>
        <v>كيلو</v>
      </c>
      <c r="G95" s="12"/>
      <c r="H95" s="13"/>
      <c r="I95">
        <f>SUMPRODUCT(('إدخال وسجل المنتجات'!$I$5:$I$590="CHL")*('إدخال وسجل المنتجات'!$M$5:$M$590=92)*(ROW('إدخال وسجل المنتجات'!$I$5:$I$590)-4))</f>
        <v>516</v>
      </c>
      <c r="J95" s="2" t="str">
        <f>IF($I95=0,"",IF($G95="","",$G95*IF(INDEX('إدخال وسجل المنتجات'!$U$5:$U$590,$I95)=0,1,INDEX('إدخال وسجل المنتجات'!$U$5:$U$590,$I95))))</f>
        <v/>
      </c>
    </row>
    <row r="96" spans="1:10" ht="16" x14ac:dyDescent="0.15">
      <c r="A96" s="2">
        <f>IF($I96=0,"",93)</f>
        <v>93</v>
      </c>
      <c r="B96" s="9" t="str">
        <f>IF($I96=0,"",INDEX('إدخال وسجل المنتجات'!$F$5:$F$590,$I96))</f>
        <v>RAW-CHL-046</v>
      </c>
      <c r="C96" s="8" t="str">
        <f>IF($I96=0,"",INDEX('إدخال وسجل المنتجات'!$B$5:$B$590,$I96))</f>
        <v>كريمة خفق نادك</v>
      </c>
      <c r="D96" s="10" t="str">
        <f>IF($I96=0,"",INDEX('إدخال وسجل المنتجات'!$C$5:$C$590,$I96))</f>
        <v>Whipping Cream Nadec</v>
      </c>
      <c r="E96" s="11" t="str">
        <f>IF($I96=0,"",INDEX('إدخال وسجل المنتجات'!$D$5:$D$590,$I96))</f>
        <v>مواد خام</v>
      </c>
      <c r="F96" s="2" t="str">
        <f>IF($I96=0,"",INDEX('إدخال وسجل المنتجات'!$G$5:$G$590,$I96))</f>
        <v>لتر</v>
      </c>
      <c r="G96" s="12"/>
      <c r="H96" s="13"/>
      <c r="I96">
        <f>SUMPRODUCT(('إدخال وسجل المنتجات'!$I$5:$I$590="CHL")*('إدخال وسجل المنتجات'!$M$5:$M$590=93)*(ROW('إدخال وسجل المنتجات'!$I$5:$I$590)-4))</f>
        <v>522</v>
      </c>
      <c r="J96" s="2" t="str">
        <f>IF($I96=0,"",IF($G96="","",$G96*IF(INDEX('إدخال وسجل المنتجات'!$U$5:$U$590,$I96)=0,1,INDEX('إدخال وسجل المنتجات'!$U$5:$U$590,$I96))))</f>
        <v/>
      </c>
    </row>
    <row r="97" spans="1:10" ht="16" x14ac:dyDescent="0.15">
      <c r="A97" s="2">
        <f>IF($I97=0,"",94)</f>
        <v>94</v>
      </c>
      <c r="B97" s="9" t="str">
        <f>IF($I97=0,"",INDEX('إدخال وسجل المنتجات'!$F$5:$F$590,$I97))</f>
        <v>RAW-CHL-047</v>
      </c>
      <c r="C97" s="8" t="str">
        <f>IF($I97=0,"",INDEX('إدخال وسجل المنتجات'!$B$5:$B$590,$I97))</f>
        <v>كريمة طبخ</v>
      </c>
      <c r="D97" s="10" t="str">
        <f>IF($I97=0,"",INDEX('إدخال وسجل المنتجات'!$C$5:$C$590,$I97))</f>
        <v>Cooking Cream</v>
      </c>
      <c r="E97" s="11" t="str">
        <f>IF($I97=0,"",INDEX('إدخال وسجل المنتجات'!$D$5:$D$590,$I97))</f>
        <v>مواد خام</v>
      </c>
      <c r="F97" s="2" t="str">
        <f>IF($I97=0,"",INDEX('إدخال وسجل المنتجات'!$G$5:$G$590,$I97))</f>
        <v>لتر</v>
      </c>
      <c r="G97" s="12"/>
      <c r="H97" s="13"/>
      <c r="I97">
        <f>SUMPRODUCT(('إدخال وسجل المنتجات'!$I$5:$I$590="CHL")*('إدخال وسجل المنتجات'!$M$5:$M$590=94)*(ROW('إدخال وسجل المنتجات'!$I$5:$I$590)-4))</f>
        <v>523</v>
      </c>
      <c r="J97" s="2" t="str">
        <f>IF($I97=0,"",IF($G97="","",$G97*IF(INDEX('إدخال وسجل المنتجات'!$U$5:$U$590,$I97)=0,1,INDEX('إدخال وسجل المنتجات'!$U$5:$U$590,$I97))))</f>
        <v/>
      </c>
    </row>
    <row r="98" spans="1:10" ht="16" x14ac:dyDescent="0.15">
      <c r="A98" s="2">
        <f>IF($I98=0,"",95)</f>
        <v>95</v>
      </c>
      <c r="B98" s="9" t="str">
        <f>IF($I98=0,"",INDEX('إدخال وسجل المنتجات'!$F$5:$F$590,$I98))</f>
        <v>RAW-CHL-048</v>
      </c>
      <c r="C98" s="8" t="str">
        <f>IF($I98=0,"",INDEX('إدخال وسجل المنتجات'!$B$5:$B$590,$I98))</f>
        <v>كريمة عابد</v>
      </c>
      <c r="D98" s="10" t="str">
        <f>IF($I98=0,"",INDEX('إدخال وسجل المنتجات'!$C$5:$C$590,$I98))</f>
        <v>Abed Cream</v>
      </c>
      <c r="E98" s="11" t="str">
        <f>IF($I98=0,"",INDEX('إدخال وسجل المنتجات'!$D$5:$D$590,$I98))</f>
        <v>مواد خام</v>
      </c>
      <c r="F98" s="2" t="str">
        <f>IF($I98=0,"",INDEX('إدخال وسجل المنتجات'!$G$5:$G$590,$I98))</f>
        <v>لتر</v>
      </c>
      <c r="G98" s="12"/>
      <c r="H98" s="13"/>
      <c r="I98">
        <f>SUMPRODUCT(('إدخال وسجل المنتجات'!$I$5:$I$590="CHL")*('إدخال وسجل المنتجات'!$M$5:$M$590=95)*(ROW('إدخال وسجل المنتجات'!$I$5:$I$590)-4))</f>
        <v>524</v>
      </c>
      <c r="J98" s="2" t="str">
        <f>IF($I98=0,"",IF($G98="","",$G98*IF(INDEX('إدخال وسجل المنتجات'!$U$5:$U$590,$I98)=0,1,INDEX('إدخال وسجل المنتجات'!$U$5:$U$590,$I98))))</f>
        <v/>
      </c>
    </row>
    <row r="99" spans="1:10" ht="16" x14ac:dyDescent="0.15">
      <c r="A99" s="2">
        <f>IF($I99=0,"",96)</f>
        <v>96</v>
      </c>
      <c r="B99" s="9" t="str">
        <f>IF($I99=0,"",INDEX('إدخال وسجل المنتجات'!$F$5:$F$590,$I99))</f>
        <v>RAW-CHL-049</v>
      </c>
      <c r="C99" s="8" t="str">
        <f>IF($I99=0,"",INDEX('إدخال وسجل المنتجات'!$B$5:$B$590,$I99))</f>
        <v>كزبرة خضراء</v>
      </c>
      <c r="D99" s="10" t="str">
        <f>IF($I99=0,"",INDEX('إدخال وسجل المنتجات'!$C$5:$C$590,$I99))</f>
        <v>Coriander</v>
      </c>
      <c r="E99" s="11" t="str">
        <f>IF($I99=0,"",INDEX('إدخال وسجل المنتجات'!$D$5:$D$590,$I99))</f>
        <v>مواد خام</v>
      </c>
      <c r="F99" s="2" t="str">
        <f>IF($I99=0,"",INDEX('إدخال وسجل المنتجات'!$G$5:$G$590,$I99))</f>
        <v>كيلو</v>
      </c>
      <c r="G99" s="12"/>
      <c r="H99" s="13"/>
      <c r="I99">
        <f>SUMPRODUCT(('إدخال وسجل المنتجات'!$I$5:$I$590="CHL")*('إدخال وسجل المنتجات'!$M$5:$M$590=96)*(ROW('إدخال وسجل المنتجات'!$I$5:$I$590)-4))</f>
        <v>525</v>
      </c>
      <c r="J99" s="2" t="str">
        <f>IF($I99=0,"",IF($G99="","",$G99*IF(INDEX('إدخال وسجل المنتجات'!$U$5:$U$590,$I99)=0,1,INDEX('إدخال وسجل المنتجات'!$U$5:$U$590,$I99))))</f>
        <v/>
      </c>
    </row>
    <row r="100" spans="1:10" ht="16" x14ac:dyDescent="0.15">
      <c r="A100" s="2">
        <f>IF($I100=0,"",97)</f>
        <v>97</v>
      </c>
      <c r="B100" s="9" t="str">
        <f>IF($I100=0,"",INDEX('إدخال وسجل المنتجات'!$F$5:$F$590,$I100))</f>
        <v>RAW-CHL-050</v>
      </c>
      <c r="C100" s="8" t="str">
        <f>IF($I100=0,"",INDEX('إدخال وسجل المنتجات'!$B$5:$B$590,$I100))</f>
        <v>كوسة</v>
      </c>
      <c r="D100" s="10" t="str">
        <f>IF($I100=0,"",INDEX('إدخال وسجل المنتجات'!$C$5:$C$590,$I100))</f>
        <v>Zucchini</v>
      </c>
      <c r="E100" s="11" t="str">
        <f>IF($I100=0,"",INDEX('إدخال وسجل المنتجات'!$D$5:$D$590,$I100))</f>
        <v>مواد خام</v>
      </c>
      <c r="F100" s="2" t="str">
        <f>IF($I100=0,"",INDEX('إدخال وسجل المنتجات'!$G$5:$G$590,$I100))</f>
        <v>كيلو</v>
      </c>
      <c r="G100" s="12"/>
      <c r="H100" s="13"/>
      <c r="I100">
        <f>SUMPRODUCT(('إدخال وسجل المنتجات'!$I$5:$I$590="CHL")*('إدخال وسجل المنتجات'!$M$5:$M$590=97)*(ROW('إدخال وسجل المنتجات'!$I$5:$I$590)-4))</f>
        <v>529</v>
      </c>
      <c r="J100" s="2" t="str">
        <f>IF($I100=0,"",IF($G100="","",$G100*IF(INDEX('إدخال وسجل المنتجات'!$U$5:$U$590,$I100)=0,1,INDEX('إدخال وسجل المنتجات'!$U$5:$U$590,$I100))))</f>
        <v/>
      </c>
    </row>
    <row r="101" spans="1:10" ht="16" x14ac:dyDescent="0.15">
      <c r="A101" s="2">
        <f>IF($I101=0,"",98)</f>
        <v>98</v>
      </c>
      <c r="B101" s="9" t="str">
        <f>IF($I101=0,"",INDEX('إدخال وسجل المنتجات'!$F$5:$F$590,$I101))</f>
        <v>RAW-CHL-051</v>
      </c>
      <c r="C101" s="8" t="str">
        <f>IF($I101=0,"",INDEX('إدخال وسجل المنتجات'!$B$5:$B$590,$I101))</f>
        <v>ليمون اصفر كبير</v>
      </c>
      <c r="D101" s="10" t="str">
        <f>IF($I101=0,"",INDEX('إدخال وسجل المنتجات'!$C$5:$C$590,$I101))</f>
        <v>Lemon</v>
      </c>
      <c r="E101" s="11" t="str">
        <f>IF($I101=0,"",INDEX('إدخال وسجل المنتجات'!$D$5:$D$590,$I101))</f>
        <v>مواد خام</v>
      </c>
      <c r="F101" s="2" t="str">
        <f>IF($I101=0,"",INDEX('إدخال وسجل المنتجات'!$G$5:$G$590,$I101))</f>
        <v>كيلو</v>
      </c>
      <c r="G101" s="12"/>
      <c r="H101" s="13"/>
      <c r="I101">
        <f>SUMPRODUCT(('إدخال وسجل المنتجات'!$I$5:$I$590="CHL")*('إدخال وسجل المنتجات'!$M$5:$M$590=98)*(ROW('إدخال وسجل المنتجات'!$I$5:$I$590)-4))</f>
        <v>542</v>
      </c>
      <c r="J101" s="2" t="str">
        <f>IF($I101=0,"",IF($G101="","",$G101*IF(INDEX('إدخال وسجل المنتجات'!$U$5:$U$590,$I101)=0,1,INDEX('إدخال وسجل المنتجات'!$U$5:$U$590,$I101))))</f>
        <v/>
      </c>
    </row>
    <row r="102" spans="1:10" ht="16" x14ac:dyDescent="0.15">
      <c r="A102" s="2">
        <f>IF($I102=0,"",99)</f>
        <v>99</v>
      </c>
      <c r="B102" s="9" t="str">
        <f>IF($I102=0,"",INDEX('إدخال وسجل المنتجات'!$F$5:$F$590,$I102))</f>
        <v>RAW-CHL-052</v>
      </c>
      <c r="C102" s="8" t="str">
        <f>IF($I102=0,"",INDEX('إدخال وسجل المنتجات'!$B$5:$B$590,$I102))</f>
        <v>ليمون صغير</v>
      </c>
      <c r="D102" s="10" t="str">
        <f>IF($I102=0,"",INDEX('إدخال وسجل المنتجات'!$C$5:$C$590,$I102))</f>
        <v>Lemon</v>
      </c>
      <c r="E102" s="11" t="str">
        <f>IF($I102=0,"",INDEX('إدخال وسجل المنتجات'!$D$5:$D$590,$I102))</f>
        <v>مواد خام</v>
      </c>
      <c r="F102" s="2" t="str">
        <f>IF($I102=0,"",INDEX('إدخال وسجل المنتجات'!$G$5:$G$590,$I102))</f>
        <v>كيلو</v>
      </c>
      <c r="G102" s="12"/>
      <c r="H102" s="13"/>
      <c r="I102">
        <f>SUMPRODUCT(('إدخال وسجل المنتجات'!$I$5:$I$590="CHL")*('إدخال وسجل المنتجات'!$M$5:$M$590=99)*(ROW('إدخال وسجل المنتجات'!$I$5:$I$590)-4))</f>
        <v>543</v>
      </c>
      <c r="J102" s="2" t="str">
        <f>IF($I102=0,"",IF($G102="","",$G102*IF(INDEX('إدخال وسجل المنتجات'!$U$5:$U$590,$I102)=0,1,INDEX('إدخال وسجل المنتجات'!$U$5:$U$590,$I102))))</f>
        <v/>
      </c>
    </row>
    <row r="103" spans="1:10" ht="16" x14ac:dyDescent="0.15">
      <c r="A103" s="2">
        <f>IF($I103=0,"",100)</f>
        <v>100</v>
      </c>
      <c r="B103" s="9" t="str">
        <f>IF($I103=0,"",INDEX('إدخال وسجل المنتجات'!$F$5:$F$590,$I103))</f>
        <v>RAW-CHL-053</v>
      </c>
      <c r="C103" s="8" t="str">
        <f>IF($I103=0,"",INDEX('إدخال وسجل المنتجات'!$B$5:$B$590,$I103))</f>
        <v>مايكرو جرين</v>
      </c>
      <c r="D103" s="10" t="str">
        <f>IF($I103=0,"",INDEX('إدخال وسجل المنتجات'!$C$5:$C$590,$I103))</f>
        <v>Micro Greens</v>
      </c>
      <c r="E103" s="11" t="str">
        <f>IF($I103=0,"",INDEX('إدخال وسجل المنتجات'!$D$5:$D$590,$I103))</f>
        <v>مواد خام</v>
      </c>
      <c r="F103" s="2" t="str">
        <f>IF($I103=0,"",INDEX('إدخال وسجل المنتجات'!$G$5:$G$590,$I103))</f>
        <v>كيلو</v>
      </c>
      <c r="G103" s="12"/>
      <c r="H103" s="13"/>
      <c r="I103">
        <f>SUMPRODUCT(('إدخال وسجل المنتجات'!$I$5:$I$590="CHL")*('إدخال وسجل المنتجات'!$M$5:$M$590=100)*(ROW('إدخال وسجل المنتجات'!$I$5:$I$590)-4))</f>
        <v>547</v>
      </c>
      <c r="J103" s="2" t="str">
        <f>IF($I103=0,"",IF($G103="","",$G103*IF(INDEX('إدخال وسجل المنتجات'!$U$5:$U$590,$I103)=0,1,INDEX('إدخال وسجل المنتجات'!$U$5:$U$590,$I103))))</f>
        <v/>
      </c>
    </row>
    <row r="104" spans="1:10" ht="16" x14ac:dyDescent="0.15">
      <c r="A104" s="2">
        <f>IF($I104=0,"",101)</f>
        <v>101</v>
      </c>
      <c r="B104" s="9" t="str">
        <f>IF($I104=0,"",INDEX('إدخال وسجل المنتجات'!$F$5:$F$590,$I104))</f>
        <v>RAW-CHL-054</v>
      </c>
      <c r="C104" s="8" t="str">
        <f>IF($I104=0,"",INDEX('إدخال وسجل المنتجات'!$B$5:$B$590,$I104))</f>
        <v>مكس جرين</v>
      </c>
      <c r="D104" s="10" t="str">
        <f>IF($I104=0,"",INDEX('إدخال وسجل المنتجات'!$C$5:$C$590,$I104))</f>
        <v>Mixed Greens</v>
      </c>
      <c r="E104" s="11" t="str">
        <f>IF($I104=0,"",INDEX('إدخال وسجل المنتجات'!$D$5:$D$590,$I104))</f>
        <v>مواد خام</v>
      </c>
      <c r="F104" s="2" t="str">
        <f>IF($I104=0,"",INDEX('إدخال وسجل المنتجات'!$G$5:$G$590,$I104))</f>
        <v>كيلو</v>
      </c>
      <c r="G104" s="12"/>
      <c r="H104" s="13"/>
      <c r="I104">
        <f>SUMPRODUCT(('إدخال وسجل المنتجات'!$I$5:$I$590="CHL")*('إدخال وسجل المنتجات'!$M$5:$M$590=101)*(ROW('إدخال وسجل المنتجات'!$I$5:$I$590)-4))</f>
        <v>561</v>
      </c>
      <c r="J104" s="2" t="str">
        <f>IF($I104=0,"",IF($G104="","",$G104*IF(INDEX('إدخال وسجل المنتجات'!$U$5:$U$590,$I104)=0,1,INDEX('إدخال وسجل المنتجات'!$U$5:$U$590,$I104))))</f>
        <v/>
      </c>
    </row>
    <row r="105" spans="1:10" ht="16" x14ac:dyDescent="0.15">
      <c r="A105" s="2">
        <f>IF($I105=0,"",102)</f>
        <v>102</v>
      </c>
      <c r="B105" s="9" t="str">
        <f>IF($I105=0,"",INDEX('إدخال وسجل المنتجات'!$F$5:$F$590,$I105))</f>
        <v>RAW-CHL-055</v>
      </c>
      <c r="C105" s="8" t="str">
        <f>IF($I105=0,"",INDEX('إدخال وسجل المنتجات'!$B$5:$B$590,$I105))</f>
        <v>ملفوف احمر</v>
      </c>
      <c r="D105" s="10" t="str">
        <f>IF($I105=0,"",INDEX('إدخال وسجل المنتجات'!$C$5:$C$590,$I105))</f>
        <v>Cabbage</v>
      </c>
      <c r="E105" s="11" t="str">
        <f>IF($I105=0,"",INDEX('إدخال وسجل المنتجات'!$D$5:$D$590,$I105))</f>
        <v>مواد خام</v>
      </c>
      <c r="F105" s="2" t="str">
        <f>IF($I105=0,"",INDEX('إدخال وسجل المنتجات'!$G$5:$G$590,$I105))</f>
        <v>كيلو</v>
      </c>
      <c r="G105" s="12"/>
      <c r="H105" s="13"/>
      <c r="I105">
        <f>SUMPRODUCT(('إدخال وسجل المنتجات'!$I$5:$I$590="CHL")*('إدخال وسجل المنتجات'!$M$5:$M$590=102)*(ROW('إدخال وسجل المنتجات'!$I$5:$I$590)-4))</f>
        <v>565</v>
      </c>
      <c r="J105" s="2" t="str">
        <f>IF($I105=0,"",IF($G105="","",$G105*IF(INDEX('إدخال وسجل المنتجات'!$U$5:$U$590,$I105)=0,1,INDEX('إدخال وسجل المنتجات'!$U$5:$U$590,$I105))))</f>
        <v/>
      </c>
    </row>
    <row r="106" spans="1:10" ht="16" x14ac:dyDescent="0.15">
      <c r="A106" s="2">
        <f>IF($I106=0,"",103)</f>
        <v>103</v>
      </c>
      <c r="B106" s="9" t="str">
        <f>IF($I106=0,"",INDEX('إدخال وسجل المنتجات'!$F$5:$F$590,$I106))</f>
        <v>RAW-CHL-056</v>
      </c>
      <c r="C106" s="8" t="str">
        <f>IF($I106=0,"",INDEX('إدخال وسجل المنتجات'!$B$5:$B$590,$I106))</f>
        <v>موزاريلا</v>
      </c>
      <c r="D106" s="10" t="str">
        <f>IF($I106=0,"",INDEX('إدخال وسجل المنتجات'!$C$5:$C$590,$I106))</f>
        <v>Mozzarella</v>
      </c>
      <c r="E106" s="11" t="str">
        <f>IF($I106=0,"",INDEX('إدخال وسجل المنتجات'!$D$5:$D$590,$I106))</f>
        <v>مواد خام</v>
      </c>
      <c r="F106" s="2" t="str">
        <f>IF($I106=0,"",INDEX('إدخال وسجل المنتجات'!$G$5:$G$590,$I106))</f>
        <v>كيلو</v>
      </c>
      <c r="G106" s="12"/>
      <c r="H106" s="13"/>
      <c r="I106">
        <f>SUMPRODUCT(('إدخال وسجل المنتجات'!$I$5:$I$590="CHL")*('إدخال وسجل المنتجات'!$M$5:$M$590=103)*(ROW('إدخال وسجل المنتجات'!$I$5:$I$590)-4))</f>
        <v>577</v>
      </c>
      <c r="J106" s="2" t="str">
        <f>IF($I106=0,"",IF($G106="","",$G106*IF(INDEX('إدخال وسجل المنتجات'!$U$5:$U$590,$I106)=0,1,INDEX('إدخال وسجل المنتجات'!$U$5:$U$590,$I106))))</f>
        <v/>
      </c>
    </row>
    <row r="107" spans="1:10" ht="16" x14ac:dyDescent="0.15">
      <c r="A107" s="2">
        <f>IF($I107=0,"",104)</f>
        <v>104</v>
      </c>
      <c r="B107" s="9" t="str">
        <f>IF($I107=0,"",INDEX('إدخال وسجل المنتجات'!$F$5:$F$590,$I107))</f>
        <v>RAW-CHL-057</v>
      </c>
      <c r="C107" s="8" t="str">
        <f>IF($I107=0,"",INDEX('إدخال وسجل المنتجات'!$B$5:$B$590,$I107))</f>
        <v>نعناع</v>
      </c>
      <c r="D107" s="10" t="str">
        <f>IF($I107=0,"",INDEX('إدخال وسجل المنتجات'!$C$5:$C$590,$I107))</f>
        <v>Mint</v>
      </c>
      <c r="E107" s="11" t="str">
        <f>IF($I107=0,"",INDEX('إدخال وسجل المنتجات'!$D$5:$D$590,$I107))</f>
        <v>مواد خام</v>
      </c>
      <c r="F107" s="2" t="str">
        <f>IF($I107=0,"",INDEX('إدخال وسجل المنتجات'!$G$5:$G$590,$I107))</f>
        <v>كيلو</v>
      </c>
      <c r="G107" s="12"/>
      <c r="H107" s="13"/>
      <c r="I107">
        <f>SUMPRODUCT(('إدخال وسجل المنتجات'!$I$5:$I$590="CHL")*('إدخال وسجل المنتجات'!$M$5:$M$590=104)*(ROW('إدخال وسجل المنتجات'!$I$5:$I$590)-4))</f>
        <v>579</v>
      </c>
      <c r="J107" s="2" t="str">
        <f>IF($I107=0,"",IF($G107="","",$G107*IF(INDEX('إدخال وسجل المنتجات'!$U$5:$U$590,$I107)=0,1,INDEX('إدخال وسجل المنتجات'!$U$5:$U$590,$I107))))</f>
        <v/>
      </c>
    </row>
    <row r="108" spans="1:10" ht="16" x14ac:dyDescent="0.15">
      <c r="A108" s="2" t="str">
        <f>IF($I108=0,"",105)</f>
        <v/>
      </c>
      <c r="B108" s="9" t="str">
        <f>IF($I108=0,"",INDEX('إدخال وسجل المنتجات'!$F$5:$F$590,$I108))</f>
        <v/>
      </c>
      <c r="C108" s="8" t="str">
        <f>IF($I108=0,"",INDEX('إدخال وسجل المنتجات'!$B$5:$B$590,$I108))</f>
        <v/>
      </c>
      <c r="D108" s="10" t="str">
        <f>IF($I108=0,"",INDEX('إدخال وسجل المنتجات'!$C$5:$C$590,$I108))</f>
        <v/>
      </c>
      <c r="E108" s="11" t="str">
        <f>IF($I108=0,"",INDEX('إدخال وسجل المنتجات'!$D$5:$D$590,$I108))</f>
        <v/>
      </c>
      <c r="F108" s="2" t="str">
        <f>IF($I108=0,"",INDEX('إدخال وسجل المنتجات'!$G$5:$G$590,$I108))</f>
        <v/>
      </c>
      <c r="G108" s="12"/>
      <c r="H108" s="13"/>
      <c r="I108">
        <f>SUMPRODUCT(('إدخال وسجل المنتجات'!$I$5:$I$590="CHL")*('إدخال وسجل المنتجات'!$M$5:$M$590=105)*(ROW('إدخال وسجل المنتجات'!$I$5:$I$590)-4))</f>
        <v>0</v>
      </c>
      <c r="J108" s="2" t="str">
        <f>IF($I108=0,"",IF($G108="","",$G108*IF(INDEX('إدخال وسجل المنتجات'!$U$5:$U$590,$I108)=0,1,INDEX('إدخال وسجل المنتجات'!$U$5:$U$590,$I108))))</f>
        <v/>
      </c>
    </row>
    <row r="109" spans="1:10" ht="16" x14ac:dyDescent="0.15">
      <c r="A109" s="2" t="str">
        <f>IF($I109=0,"",106)</f>
        <v/>
      </c>
      <c r="B109" s="9" t="str">
        <f>IF($I109=0,"",INDEX('إدخال وسجل المنتجات'!$F$5:$F$590,$I109))</f>
        <v/>
      </c>
      <c r="C109" s="8" t="str">
        <f>IF($I109=0,"",INDEX('إدخال وسجل المنتجات'!$B$5:$B$590,$I109))</f>
        <v/>
      </c>
      <c r="D109" s="10" t="str">
        <f>IF($I109=0,"",INDEX('إدخال وسجل المنتجات'!$C$5:$C$590,$I109))</f>
        <v/>
      </c>
      <c r="E109" s="11" t="str">
        <f>IF($I109=0,"",INDEX('إدخال وسجل المنتجات'!$D$5:$D$590,$I109))</f>
        <v/>
      </c>
      <c r="F109" s="2" t="str">
        <f>IF($I109=0,"",INDEX('إدخال وسجل المنتجات'!$G$5:$G$590,$I109))</f>
        <v/>
      </c>
      <c r="G109" s="12"/>
      <c r="H109" s="13"/>
      <c r="I109">
        <f>SUMPRODUCT(('إدخال وسجل المنتجات'!$I$5:$I$590="CHL")*('إدخال وسجل المنتجات'!$M$5:$M$590=106)*(ROW('إدخال وسجل المنتجات'!$I$5:$I$590)-4))</f>
        <v>0</v>
      </c>
      <c r="J109" s="2" t="str">
        <f>IF($I109=0,"",IF($G109="","",$G109*IF(INDEX('إدخال وسجل المنتجات'!$U$5:$U$590,$I109)=0,1,INDEX('إدخال وسجل المنتجات'!$U$5:$U$590,$I109))))</f>
        <v/>
      </c>
    </row>
    <row r="110" spans="1:10" ht="16" x14ac:dyDescent="0.15">
      <c r="A110" s="2" t="str">
        <f>IF($I110=0,"",107)</f>
        <v/>
      </c>
      <c r="B110" s="9" t="str">
        <f>IF($I110=0,"",INDEX('إدخال وسجل المنتجات'!$F$5:$F$590,$I110))</f>
        <v/>
      </c>
      <c r="C110" s="8" t="str">
        <f>IF($I110=0,"",INDEX('إدخال وسجل المنتجات'!$B$5:$B$590,$I110))</f>
        <v/>
      </c>
      <c r="D110" s="10" t="str">
        <f>IF($I110=0,"",INDEX('إدخال وسجل المنتجات'!$C$5:$C$590,$I110))</f>
        <v/>
      </c>
      <c r="E110" s="11" t="str">
        <f>IF($I110=0,"",INDEX('إدخال وسجل المنتجات'!$D$5:$D$590,$I110))</f>
        <v/>
      </c>
      <c r="F110" s="2" t="str">
        <f>IF($I110=0,"",INDEX('إدخال وسجل المنتجات'!$G$5:$G$590,$I110))</f>
        <v/>
      </c>
      <c r="G110" s="12"/>
      <c r="H110" s="13"/>
      <c r="I110">
        <f>SUMPRODUCT(('إدخال وسجل المنتجات'!$I$5:$I$590="CHL")*('إدخال وسجل المنتجات'!$M$5:$M$590=107)*(ROW('إدخال وسجل المنتجات'!$I$5:$I$590)-4))</f>
        <v>0</v>
      </c>
      <c r="J110" s="2" t="str">
        <f>IF($I110=0,"",IF($G110="","",$G110*IF(INDEX('إدخال وسجل المنتجات'!$U$5:$U$590,$I110)=0,1,INDEX('إدخال وسجل المنتجات'!$U$5:$U$590,$I110))))</f>
        <v/>
      </c>
    </row>
    <row r="111" spans="1:10" ht="16" x14ac:dyDescent="0.15">
      <c r="A111" s="2" t="str">
        <f>IF($I111=0,"",108)</f>
        <v/>
      </c>
      <c r="B111" s="9" t="str">
        <f>IF($I111=0,"",INDEX('إدخال وسجل المنتجات'!$F$5:$F$590,$I111))</f>
        <v/>
      </c>
      <c r="C111" s="8" t="str">
        <f>IF($I111=0,"",INDEX('إدخال وسجل المنتجات'!$B$5:$B$590,$I111))</f>
        <v/>
      </c>
      <c r="D111" s="10" t="str">
        <f>IF($I111=0,"",INDEX('إدخال وسجل المنتجات'!$C$5:$C$590,$I111))</f>
        <v/>
      </c>
      <c r="E111" s="11" t="str">
        <f>IF($I111=0,"",INDEX('إدخال وسجل المنتجات'!$D$5:$D$590,$I111))</f>
        <v/>
      </c>
      <c r="F111" s="2" t="str">
        <f>IF($I111=0,"",INDEX('إدخال وسجل المنتجات'!$G$5:$G$590,$I111))</f>
        <v/>
      </c>
      <c r="G111" s="12"/>
      <c r="H111" s="13"/>
      <c r="I111">
        <f>SUMPRODUCT(('إدخال وسجل المنتجات'!$I$5:$I$590="CHL")*('إدخال وسجل المنتجات'!$M$5:$M$590=108)*(ROW('إدخال وسجل المنتجات'!$I$5:$I$590)-4))</f>
        <v>0</v>
      </c>
      <c r="J111" s="2" t="str">
        <f>IF($I111=0,"",IF($G111="","",$G111*IF(INDEX('إدخال وسجل المنتجات'!$U$5:$U$590,$I111)=0,1,INDEX('إدخال وسجل المنتجات'!$U$5:$U$590,$I111))))</f>
        <v/>
      </c>
    </row>
    <row r="112" spans="1:10" ht="16" x14ac:dyDescent="0.15">
      <c r="A112" s="2" t="str">
        <f>IF($I112=0,"",109)</f>
        <v/>
      </c>
      <c r="B112" s="9" t="str">
        <f>IF($I112=0,"",INDEX('إدخال وسجل المنتجات'!$F$5:$F$590,$I112))</f>
        <v/>
      </c>
      <c r="C112" s="8" t="str">
        <f>IF($I112=0,"",INDEX('إدخال وسجل المنتجات'!$B$5:$B$590,$I112))</f>
        <v/>
      </c>
      <c r="D112" s="10" t="str">
        <f>IF($I112=0,"",INDEX('إدخال وسجل المنتجات'!$C$5:$C$590,$I112))</f>
        <v/>
      </c>
      <c r="E112" s="11" t="str">
        <f>IF($I112=0,"",INDEX('إدخال وسجل المنتجات'!$D$5:$D$590,$I112))</f>
        <v/>
      </c>
      <c r="F112" s="2" t="str">
        <f>IF($I112=0,"",INDEX('إدخال وسجل المنتجات'!$G$5:$G$590,$I112))</f>
        <v/>
      </c>
      <c r="G112" s="12"/>
      <c r="H112" s="13"/>
      <c r="I112">
        <f>SUMPRODUCT(('إدخال وسجل المنتجات'!$I$5:$I$590="CHL")*('إدخال وسجل المنتجات'!$M$5:$M$590=109)*(ROW('إدخال وسجل المنتجات'!$I$5:$I$590)-4))</f>
        <v>0</v>
      </c>
      <c r="J112" s="2" t="str">
        <f>IF($I112=0,"",IF($G112="","",$G112*IF(INDEX('إدخال وسجل المنتجات'!$U$5:$U$590,$I112)=0,1,INDEX('إدخال وسجل المنتجات'!$U$5:$U$590,$I112))))</f>
        <v/>
      </c>
    </row>
    <row r="113" spans="1:10" ht="16" x14ac:dyDescent="0.15">
      <c r="A113" s="2" t="str">
        <f>IF($I113=0,"",110)</f>
        <v/>
      </c>
      <c r="B113" s="9" t="str">
        <f>IF($I113=0,"",INDEX('إدخال وسجل المنتجات'!$F$5:$F$590,$I113))</f>
        <v/>
      </c>
      <c r="C113" s="8" t="str">
        <f>IF($I113=0,"",INDEX('إدخال وسجل المنتجات'!$B$5:$B$590,$I113))</f>
        <v/>
      </c>
      <c r="D113" s="10" t="str">
        <f>IF($I113=0,"",INDEX('إدخال وسجل المنتجات'!$C$5:$C$590,$I113))</f>
        <v/>
      </c>
      <c r="E113" s="11" t="str">
        <f>IF($I113=0,"",INDEX('إدخال وسجل المنتجات'!$D$5:$D$590,$I113))</f>
        <v/>
      </c>
      <c r="F113" s="2" t="str">
        <f>IF($I113=0,"",INDEX('إدخال وسجل المنتجات'!$G$5:$G$590,$I113))</f>
        <v/>
      </c>
      <c r="G113" s="12"/>
      <c r="H113" s="13"/>
      <c r="I113">
        <f>SUMPRODUCT(('إدخال وسجل المنتجات'!$I$5:$I$590="CHL")*('إدخال وسجل المنتجات'!$M$5:$M$590=110)*(ROW('إدخال وسجل المنتجات'!$I$5:$I$590)-4))</f>
        <v>0</v>
      </c>
      <c r="J113" s="2" t="str">
        <f>IF($I113=0,"",IF($G113="","",$G113*IF(INDEX('إدخال وسجل المنتجات'!$U$5:$U$590,$I113)=0,1,INDEX('إدخال وسجل المنتجات'!$U$5:$U$590,$I113))))</f>
        <v/>
      </c>
    </row>
    <row r="114" spans="1:10" ht="16" x14ac:dyDescent="0.15">
      <c r="A114" s="2" t="str">
        <f>IF($I114=0,"",111)</f>
        <v/>
      </c>
      <c r="B114" s="9" t="str">
        <f>IF($I114=0,"",INDEX('إدخال وسجل المنتجات'!$F$5:$F$590,$I114))</f>
        <v/>
      </c>
      <c r="C114" s="8" t="str">
        <f>IF($I114=0,"",INDEX('إدخال وسجل المنتجات'!$B$5:$B$590,$I114))</f>
        <v/>
      </c>
      <c r="D114" s="10" t="str">
        <f>IF($I114=0,"",INDEX('إدخال وسجل المنتجات'!$C$5:$C$590,$I114))</f>
        <v/>
      </c>
      <c r="E114" s="11" t="str">
        <f>IF($I114=0,"",INDEX('إدخال وسجل المنتجات'!$D$5:$D$590,$I114))</f>
        <v/>
      </c>
      <c r="F114" s="2" t="str">
        <f>IF($I114=0,"",INDEX('إدخال وسجل المنتجات'!$G$5:$G$590,$I114))</f>
        <v/>
      </c>
      <c r="G114" s="12"/>
      <c r="H114" s="13"/>
      <c r="I114">
        <f>SUMPRODUCT(('إدخال وسجل المنتجات'!$I$5:$I$590="CHL")*('إدخال وسجل المنتجات'!$M$5:$M$590=111)*(ROW('إدخال وسجل المنتجات'!$I$5:$I$590)-4))</f>
        <v>0</v>
      </c>
      <c r="J114" s="2" t="str">
        <f>IF($I114=0,"",IF($G114="","",$G114*IF(INDEX('إدخال وسجل المنتجات'!$U$5:$U$590,$I114)=0,1,INDEX('إدخال وسجل المنتجات'!$U$5:$U$590,$I114))))</f>
        <v/>
      </c>
    </row>
    <row r="115" spans="1:10" ht="16" x14ac:dyDescent="0.15">
      <c r="A115" s="2" t="str">
        <f>IF($I115=0,"",112)</f>
        <v/>
      </c>
      <c r="B115" s="9" t="str">
        <f>IF($I115=0,"",INDEX('إدخال وسجل المنتجات'!$F$5:$F$590,$I115))</f>
        <v/>
      </c>
      <c r="C115" s="8" t="str">
        <f>IF($I115=0,"",INDEX('إدخال وسجل المنتجات'!$B$5:$B$590,$I115))</f>
        <v/>
      </c>
      <c r="D115" s="10" t="str">
        <f>IF($I115=0,"",INDEX('إدخال وسجل المنتجات'!$C$5:$C$590,$I115))</f>
        <v/>
      </c>
      <c r="E115" s="11" t="str">
        <f>IF($I115=0,"",INDEX('إدخال وسجل المنتجات'!$D$5:$D$590,$I115))</f>
        <v/>
      </c>
      <c r="F115" s="2" t="str">
        <f>IF($I115=0,"",INDEX('إدخال وسجل المنتجات'!$G$5:$G$590,$I115))</f>
        <v/>
      </c>
      <c r="G115" s="12"/>
      <c r="H115" s="13"/>
      <c r="I115">
        <f>SUMPRODUCT(('إدخال وسجل المنتجات'!$I$5:$I$590="CHL")*('إدخال وسجل المنتجات'!$M$5:$M$590=112)*(ROW('إدخال وسجل المنتجات'!$I$5:$I$590)-4))</f>
        <v>0</v>
      </c>
      <c r="J115" s="2" t="str">
        <f>IF($I115=0,"",IF($G115="","",$G115*IF(INDEX('إدخال وسجل المنتجات'!$U$5:$U$590,$I115)=0,1,INDEX('إدخال وسجل المنتجات'!$U$5:$U$590,$I115))))</f>
        <v/>
      </c>
    </row>
    <row r="116" spans="1:10" ht="16" x14ac:dyDescent="0.15">
      <c r="A116" s="2" t="str">
        <f>IF($I116=0,"",113)</f>
        <v/>
      </c>
      <c r="B116" s="9" t="str">
        <f>IF($I116=0,"",INDEX('إدخال وسجل المنتجات'!$F$5:$F$590,$I116))</f>
        <v/>
      </c>
      <c r="C116" s="8" t="str">
        <f>IF($I116=0,"",INDEX('إدخال وسجل المنتجات'!$B$5:$B$590,$I116))</f>
        <v/>
      </c>
      <c r="D116" s="10" t="str">
        <f>IF($I116=0,"",INDEX('إدخال وسجل المنتجات'!$C$5:$C$590,$I116))</f>
        <v/>
      </c>
      <c r="E116" s="11" t="str">
        <f>IF($I116=0,"",INDEX('إدخال وسجل المنتجات'!$D$5:$D$590,$I116))</f>
        <v/>
      </c>
      <c r="F116" s="2" t="str">
        <f>IF($I116=0,"",INDEX('إدخال وسجل المنتجات'!$G$5:$G$590,$I116))</f>
        <v/>
      </c>
      <c r="G116" s="12"/>
      <c r="H116" s="13"/>
      <c r="I116">
        <f>SUMPRODUCT(('إدخال وسجل المنتجات'!$I$5:$I$590="CHL")*('إدخال وسجل المنتجات'!$M$5:$M$590=113)*(ROW('إدخال وسجل المنتجات'!$I$5:$I$590)-4))</f>
        <v>0</v>
      </c>
      <c r="J116" s="2" t="str">
        <f>IF($I116=0,"",IF($G116="","",$G116*IF(INDEX('إدخال وسجل المنتجات'!$U$5:$U$590,$I116)=0,1,INDEX('إدخال وسجل المنتجات'!$U$5:$U$590,$I116))))</f>
        <v/>
      </c>
    </row>
    <row r="117" spans="1:10" ht="16" x14ac:dyDescent="0.15">
      <c r="A117" s="2" t="str">
        <f>IF($I117=0,"",114)</f>
        <v/>
      </c>
      <c r="B117" s="9" t="str">
        <f>IF($I117=0,"",INDEX('إدخال وسجل المنتجات'!$F$5:$F$590,$I117))</f>
        <v/>
      </c>
      <c r="C117" s="8" t="str">
        <f>IF($I117=0,"",INDEX('إدخال وسجل المنتجات'!$B$5:$B$590,$I117))</f>
        <v/>
      </c>
      <c r="D117" s="10" t="str">
        <f>IF($I117=0,"",INDEX('إدخال وسجل المنتجات'!$C$5:$C$590,$I117))</f>
        <v/>
      </c>
      <c r="E117" s="11" t="str">
        <f>IF($I117=0,"",INDEX('إدخال وسجل المنتجات'!$D$5:$D$590,$I117))</f>
        <v/>
      </c>
      <c r="F117" s="2" t="str">
        <f>IF($I117=0,"",INDEX('إدخال وسجل المنتجات'!$G$5:$G$590,$I117))</f>
        <v/>
      </c>
      <c r="G117" s="12"/>
      <c r="H117" s="13"/>
      <c r="I117">
        <f>SUMPRODUCT(('إدخال وسجل المنتجات'!$I$5:$I$590="CHL")*('إدخال وسجل المنتجات'!$M$5:$M$590=114)*(ROW('إدخال وسجل المنتجات'!$I$5:$I$590)-4))</f>
        <v>0</v>
      </c>
      <c r="J117" s="2" t="str">
        <f>IF($I117=0,"",IF($G117="","",$G117*IF(INDEX('إدخال وسجل المنتجات'!$U$5:$U$590,$I117)=0,1,INDEX('إدخال وسجل المنتجات'!$U$5:$U$590,$I117))))</f>
        <v/>
      </c>
    </row>
    <row r="118" spans="1:10" ht="16" x14ac:dyDescent="0.15">
      <c r="A118" s="2" t="str">
        <f>IF($I118=0,"",115)</f>
        <v/>
      </c>
      <c r="B118" s="9" t="str">
        <f>IF($I118=0,"",INDEX('إدخال وسجل المنتجات'!$F$5:$F$590,$I118))</f>
        <v/>
      </c>
      <c r="C118" s="8" t="str">
        <f>IF($I118=0,"",INDEX('إدخال وسجل المنتجات'!$B$5:$B$590,$I118))</f>
        <v/>
      </c>
      <c r="D118" s="10" t="str">
        <f>IF($I118=0,"",INDEX('إدخال وسجل المنتجات'!$C$5:$C$590,$I118))</f>
        <v/>
      </c>
      <c r="E118" s="11" t="str">
        <f>IF($I118=0,"",INDEX('إدخال وسجل المنتجات'!$D$5:$D$590,$I118))</f>
        <v/>
      </c>
      <c r="F118" s="2" t="str">
        <f>IF($I118=0,"",INDEX('إدخال وسجل المنتجات'!$G$5:$G$590,$I118))</f>
        <v/>
      </c>
      <c r="G118" s="12"/>
      <c r="H118" s="13"/>
      <c r="I118">
        <f>SUMPRODUCT(('إدخال وسجل المنتجات'!$I$5:$I$590="CHL")*('إدخال وسجل المنتجات'!$M$5:$M$590=115)*(ROW('إدخال وسجل المنتجات'!$I$5:$I$590)-4))</f>
        <v>0</v>
      </c>
      <c r="J118" s="2" t="str">
        <f>IF($I118=0,"",IF($G118="","",$G118*IF(INDEX('إدخال وسجل المنتجات'!$U$5:$U$590,$I118)=0,1,INDEX('إدخال وسجل المنتجات'!$U$5:$U$590,$I118))))</f>
        <v/>
      </c>
    </row>
    <row r="119" spans="1:10" ht="16" x14ac:dyDescent="0.15">
      <c r="A119" s="2" t="str">
        <f>IF($I119=0,"",116)</f>
        <v/>
      </c>
      <c r="B119" s="9" t="str">
        <f>IF($I119=0,"",INDEX('إدخال وسجل المنتجات'!$F$5:$F$590,$I119))</f>
        <v/>
      </c>
      <c r="C119" s="8" t="str">
        <f>IF($I119=0,"",INDEX('إدخال وسجل المنتجات'!$B$5:$B$590,$I119))</f>
        <v/>
      </c>
      <c r="D119" s="10" t="str">
        <f>IF($I119=0,"",INDEX('إدخال وسجل المنتجات'!$C$5:$C$590,$I119))</f>
        <v/>
      </c>
      <c r="E119" s="11" t="str">
        <f>IF($I119=0,"",INDEX('إدخال وسجل المنتجات'!$D$5:$D$590,$I119))</f>
        <v/>
      </c>
      <c r="F119" s="2" t="str">
        <f>IF($I119=0,"",INDEX('إدخال وسجل المنتجات'!$G$5:$G$590,$I119))</f>
        <v/>
      </c>
      <c r="G119" s="12"/>
      <c r="H119" s="13"/>
      <c r="I119">
        <f>SUMPRODUCT(('إدخال وسجل المنتجات'!$I$5:$I$590="CHL")*('إدخال وسجل المنتجات'!$M$5:$M$590=116)*(ROW('إدخال وسجل المنتجات'!$I$5:$I$590)-4))</f>
        <v>0</v>
      </c>
      <c r="J119" s="2" t="str">
        <f>IF($I119=0,"",IF($G119="","",$G119*IF(INDEX('إدخال وسجل المنتجات'!$U$5:$U$590,$I119)=0,1,INDEX('إدخال وسجل المنتجات'!$U$5:$U$590,$I119))))</f>
        <v/>
      </c>
    </row>
    <row r="120" spans="1:10" ht="16" x14ac:dyDescent="0.15">
      <c r="A120" s="2" t="str">
        <f>IF($I120=0,"",117)</f>
        <v/>
      </c>
      <c r="B120" s="9" t="str">
        <f>IF($I120=0,"",INDEX('إدخال وسجل المنتجات'!$F$5:$F$590,$I120))</f>
        <v/>
      </c>
      <c r="C120" s="8" t="str">
        <f>IF($I120=0,"",INDEX('إدخال وسجل المنتجات'!$B$5:$B$590,$I120))</f>
        <v/>
      </c>
      <c r="D120" s="10" t="str">
        <f>IF($I120=0,"",INDEX('إدخال وسجل المنتجات'!$C$5:$C$590,$I120))</f>
        <v/>
      </c>
      <c r="E120" s="11" t="str">
        <f>IF($I120=0,"",INDEX('إدخال وسجل المنتجات'!$D$5:$D$590,$I120))</f>
        <v/>
      </c>
      <c r="F120" s="2" t="str">
        <f>IF($I120=0,"",INDEX('إدخال وسجل المنتجات'!$G$5:$G$590,$I120))</f>
        <v/>
      </c>
      <c r="G120" s="12"/>
      <c r="H120" s="13"/>
      <c r="I120">
        <f>SUMPRODUCT(('إدخال وسجل المنتجات'!$I$5:$I$590="CHL")*('إدخال وسجل المنتجات'!$M$5:$M$590=117)*(ROW('إدخال وسجل المنتجات'!$I$5:$I$590)-4))</f>
        <v>0</v>
      </c>
      <c r="J120" s="2" t="str">
        <f>IF($I120=0,"",IF($G120="","",$G120*IF(INDEX('إدخال وسجل المنتجات'!$U$5:$U$590,$I120)=0,1,INDEX('إدخال وسجل المنتجات'!$U$5:$U$590,$I120))))</f>
        <v/>
      </c>
    </row>
    <row r="121" spans="1:10" ht="16" x14ac:dyDescent="0.15">
      <c r="A121" s="2" t="str">
        <f>IF($I121=0,"",118)</f>
        <v/>
      </c>
      <c r="B121" s="9" t="str">
        <f>IF($I121=0,"",INDEX('إدخال وسجل المنتجات'!$F$5:$F$590,$I121))</f>
        <v/>
      </c>
      <c r="C121" s="8" t="str">
        <f>IF($I121=0,"",INDEX('إدخال وسجل المنتجات'!$B$5:$B$590,$I121))</f>
        <v/>
      </c>
      <c r="D121" s="10" t="str">
        <f>IF($I121=0,"",INDEX('إدخال وسجل المنتجات'!$C$5:$C$590,$I121))</f>
        <v/>
      </c>
      <c r="E121" s="11" t="str">
        <f>IF($I121=0,"",INDEX('إدخال وسجل المنتجات'!$D$5:$D$590,$I121))</f>
        <v/>
      </c>
      <c r="F121" s="2" t="str">
        <f>IF($I121=0,"",INDEX('إدخال وسجل المنتجات'!$G$5:$G$590,$I121))</f>
        <v/>
      </c>
      <c r="G121" s="12"/>
      <c r="H121" s="13"/>
      <c r="I121">
        <f>SUMPRODUCT(('إدخال وسجل المنتجات'!$I$5:$I$590="CHL")*('إدخال وسجل المنتجات'!$M$5:$M$590=118)*(ROW('إدخال وسجل المنتجات'!$I$5:$I$590)-4))</f>
        <v>0</v>
      </c>
      <c r="J121" s="2" t="str">
        <f>IF($I121=0,"",IF($G121="","",$G121*IF(INDEX('إدخال وسجل المنتجات'!$U$5:$U$590,$I121)=0,1,INDEX('إدخال وسجل المنتجات'!$U$5:$U$590,$I121))))</f>
        <v/>
      </c>
    </row>
    <row r="122" spans="1:10" ht="16" x14ac:dyDescent="0.15">
      <c r="A122" s="2" t="str">
        <f>IF($I122=0,"",119)</f>
        <v/>
      </c>
      <c r="B122" s="9" t="str">
        <f>IF($I122=0,"",INDEX('إدخال وسجل المنتجات'!$F$5:$F$590,$I122))</f>
        <v/>
      </c>
      <c r="C122" s="8" t="str">
        <f>IF($I122=0,"",INDEX('إدخال وسجل المنتجات'!$B$5:$B$590,$I122))</f>
        <v/>
      </c>
      <c r="D122" s="10" t="str">
        <f>IF($I122=0,"",INDEX('إدخال وسجل المنتجات'!$C$5:$C$590,$I122))</f>
        <v/>
      </c>
      <c r="E122" s="11" t="str">
        <f>IF($I122=0,"",INDEX('إدخال وسجل المنتجات'!$D$5:$D$590,$I122))</f>
        <v/>
      </c>
      <c r="F122" s="2" t="str">
        <f>IF($I122=0,"",INDEX('إدخال وسجل المنتجات'!$G$5:$G$590,$I122))</f>
        <v/>
      </c>
      <c r="G122" s="12"/>
      <c r="H122" s="13"/>
      <c r="I122">
        <f>SUMPRODUCT(('إدخال وسجل المنتجات'!$I$5:$I$590="CHL")*('إدخال وسجل المنتجات'!$M$5:$M$590=119)*(ROW('إدخال وسجل المنتجات'!$I$5:$I$590)-4))</f>
        <v>0</v>
      </c>
      <c r="J122" s="2" t="str">
        <f>IF($I122=0,"",IF($G122="","",$G122*IF(INDEX('إدخال وسجل المنتجات'!$U$5:$U$590,$I122)=0,1,INDEX('إدخال وسجل المنتجات'!$U$5:$U$590,$I122))))</f>
        <v/>
      </c>
    </row>
    <row r="123" spans="1:10" ht="16" x14ac:dyDescent="0.15">
      <c r="A123" s="2" t="str">
        <f>IF($I123=0,"",120)</f>
        <v/>
      </c>
      <c r="B123" s="9" t="str">
        <f>IF($I123=0,"",INDEX('إدخال وسجل المنتجات'!$F$5:$F$590,$I123))</f>
        <v/>
      </c>
      <c r="C123" s="8" t="str">
        <f>IF($I123=0,"",INDEX('إدخال وسجل المنتجات'!$B$5:$B$590,$I123))</f>
        <v/>
      </c>
      <c r="D123" s="10" t="str">
        <f>IF($I123=0,"",INDEX('إدخال وسجل المنتجات'!$C$5:$C$590,$I123))</f>
        <v/>
      </c>
      <c r="E123" s="11" t="str">
        <f>IF($I123=0,"",INDEX('إدخال وسجل المنتجات'!$D$5:$D$590,$I123))</f>
        <v/>
      </c>
      <c r="F123" s="2" t="str">
        <f>IF($I123=0,"",INDEX('إدخال وسجل المنتجات'!$G$5:$G$590,$I123))</f>
        <v/>
      </c>
      <c r="G123" s="12"/>
      <c r="H123" s="13"/>
      <c r="I123">
        <f>SUMPRODUCT(('إدخال وسجل المنتجات'!$I$5:$I$590="CHL")*('إدخال وسجل المنتجات'!$M$5:$M$590=120)*(ROW('إدخال وسجل المنتجات'!$I$5:$I$590)-4))</f>
        <v>0</v>
      </c>
      <c r="J123" s="2" t="str">
        <f>IF($I123=0,"",IF($G123="","",$G123*IF(INDEX('إدخال وسجل المنتجات'!$U$5:$U$590,$I123)=0,1,INDEX('إدخال وسجل المنتجات'!$U$5:$U$590,$I123))))</f>
        <v/>
      </c>
    </row>
    <row r="124" spans="1:10" ht="16" x14ac:dyDescent="0.15">
      <c r="A124" s="2" t="str">
        <f>IF($I124=0,"",121)</f>
        <v/>
      </c>
      <c r="B124" s="9" t="str">
        <f>IF($I124=0,"",INDEX('إدخال وسجل المنتجات'!$F$5:$F$590,$I124))</f>
        <v/>
      </c>
      <c r="C124" s="8" t="str">
        <f>IF($I124=0,"",INDEX('إدخال وسجل المنتجات'!$B$5:$B$590,$I124))</f>
        <v/>
      </c>
      <c r="D124" s="10" t="str">
        <f>IF($I124=0,"",INDEX('إدخال وسجل المنتجات'!$C$5:$C$590,$I124))</f>
        <v/>
      </c>
      <c r="E124" s="11" t="str">
        <f>IF($I124=0,"",INDEX('إدخال وسجل المنتجات'!$D$5:$D$590,$I124))</f>
        <v/>
      </c>
      <c r="F124" s="2" t="str">
        <f>IF($I124=0,"",INDEX('إدخال وسجل المنتجات'!$G$5:$G$590,$I124))</f>
        <v/>
      </c>
      <c r="G124" s="12"/>
      <c r="H124" s="13"/>
      <c r="I124">
        <f>SUMPRODUCT(('إدخال وسجل المنتجات'!$I$5:$I$590="CHL")*('إدخال وسجل المنتجات'!$M$5:$M$590=121)*(ROW('إدخال وسجل المنتجات'!$I$5:$I$590)-4))</f>
        <v>0</v>
      </c>
      <c r="J124" s="2" t="str">
        <f>IF($I124=0,"",IF($G124="","",$G124*IF(INDEX('إدخال وسجل المنتجات'!$U$5:$U$590,$I124)=0,1,INDEX('إدخال وسجل المنتجات'!$U$5:$U$590,$I124))))</f>
        <v/>
      </c>
    </row>
    <row r="125" spans="1:10" ht="16" x14ac:dyDescent="0.15">
      <c r="A125" s="2" t="str">
        <f>IF($I125=0,"",122)</f>
        <v/>
      </c>
      <c r="B125" s="9" t="str">
        <f>IF($I125=0,"",INDEX('إدخال وسجل المنتجات'!$F$5:$F$590,$I125))</f>
        <v/>
      </c>
      <c r="C125" s="8" t="str">
        <f>IF($I125=0,"",INDEX('إدخال وسجل المنتجات'!$B$5:$B$590,$I125))</f>
        <v/>
      </c>
      <c r="D125" s="10" t="str">
        <f>IF($I125=0,"",INDEX('إدخال وسجل المنتجات'!$C$5:$C$590,$I125))</f>
        <v/>
      </c>
      <c r="E125" s="11" t="str">
        <f>IF($I125=0,"",INDEX('إدخال وسجل المنتجات'!$D$5:$D$590,$I125))</f>
        <v/>
      </c>
      <c r="F125" s="2" t="str">
        <f>IF($I125=0,"",INDEX('إدخال وسجل المنتجات'!$G$5:$G$590,$I125))</f>
        <v/>
      </c>
      <c r="G125" s="12"/>
      <c r="H125" s="13"/>
      <c r="I125">
        <f>SUMPRODUCT(('إدخال وسجل المنتجات'!$I$5:$I$590="CHL")*('إدخال وسجل المنتجات'!$M$5:$M$590=122)*(ROW('إدخال وسجل المنتجات'!$I$5:$I$590)-4))</f>
        <v>0</v>
      </c>
      <c r="J125" s="2" t="str">
        <f>IF($I125=0,"",IF($G125="","",$G125*IF(INDEX('إدخال وسجل المنتجات'!$U$5:$U$590,$I125)=0,1,INDEX('إدخال وسجل المنتجات'!$U$5:$U$590,$I125))))</f>
        <v/>
      </c>
    </row>
    <row r="126" spans="1:10" ht="16" x14ac:dyDescent="0.15">
      <c r="A126" s="2" t="str">
        <f>IF($I126=0,"",123)</f>
        <v/>
      </c>
      <c r="B126" s="9" t="str">
        <f>IF($I126=0,"",INDEX('إدخال وسجل المنتجات'!$F$5:$F$590,$I126))</f>
        <v/>
      </c>
      <c r="C126" s="8" t="str">
        <f>IF($I126=0,"",INDEX('إدخال وسجل المنتجات'!$B$5:$B$590,$I126))</f>
        <v/>
      </c>
      <c r="D126" s="10" t="str">
        <f>IF($I126=0,"",INDEX('إدخال وسجل المنتجات'!$C$5:$C$590,$I126))</f>
        <v/>
      </c>
      <c r="E126" s="11" t="str">
        <f>IF($I126=0,"",INDEX('إدخال وسجل المنتجات'!$D$5:$D$590,$I126))</f>
        <v/>
      </c>
      <c r="F126" s="2" t="str">
        <f>IF($I126=0,"",INDEX('إدخال وسجل المنتجات'!$G$5:$G$590,$I126))</f>
        <v/>
      </c>
      <c r="G126" s="12"/>
      <c r="H126" s="13"/>
      <c r="I126">
        <f>SUMPRODUCT(('إدخال وسجل المنتجات'!$I$5:$I$590="CHL")*('إدخال وسجل المنتجات'!$M$5:$M$590=123)*(ROW('إدخال وسجل المنتجات'!$I$5:$I$590)-4))</f>
        <v>0</v>
      </c>
      <c r="J126" s="2" t="str">
        <f>IF($I126=0,"",IF($G126="","",$G126*IF(INDEX('إدخال وسجل المنتجات'!$U$5:$U$590,$I126)=0,1,INDEX('إدخال وسجل المنتجات'!$U$5:$U$590,$I126))))</f>
        <v/>
      </c>
    </row>
    <row r="127" spans="1:10" ht="16" x14ac:dyDescent="0.15">
      <c r="A127" s="2" t="str">
        <f>IF($I127=0,"",124)</f>
        <v/>
      </c>
      <c r="B127" s="9" t="str">
        <f>IF($I127=0,"",INDEX('إدخال وسجل المنتجات'!$F$5:$F$590,$I127))</f>
        <v/>
      </c>
      <c r="C127" s="8" t="str">
        <f>IF($I127=0,"",INDEX('إدخال وسجل المنتجات'!$B$5:$B$590,$I127))</f>
        <v/>
      </c>
      <c r="D127" s="10" t="str">
        <f>IF($I127=0,"",INDEX('إدخال وسجل المنتجات'!$C$5:$C$590,$I127))</f>
        <v/>
      </c>
      <c r="E127" s="11" t="str">
        <f>IF($I127=0,"",INDEX('إدخال وسجل المنتجات'!$D$5:$D$590,$I127))</f>
        <v/>
      </c>
      <c r="F127" s="2" t="str">
        <f>IF($I127=0,"",INDEX('إدخال وسجل المنتجات'!$G$5:$G$590,$I127))</f>
        <v/>
      </c>
      <c r="G127" s="12"/>
      <c r="H127" s="13"/>
      <c r="I127">
        <f>SUMPRODUCT(('إدخال وسجل المنتجات'!$I$5:$I$590="CHL")*('إدخال وسجل المنتجات'!$M$5:$M$590=124)*(ROW('إدخال وسجل المنتجات'!$I$5:$I$590)-4))</f>
        <v>0</v>
      </c>
      <c r="J127" s="2" t="str">
        <f>IF($I127=0,"",IF($G127="","",$G127*IF(INDEX('إدخال وسجل المنتجات'!$U$5:$U$590,$I127)=0,1,INDEX('إدخال وسجل المنتجات'!$U$5:$U$590,$I127))))</f>
        <v/>
      </c>
    </row>
    <row r="128" spans="1:10" ht="16" x14ac:dyDescent="0.15">
      <c r="A128" s="2" t="str">
        <f>IF($I128=0,"",125)</f>
        <v/>
      </c>
      <c r="B128" s="9" t="str">
        <f>IF($I128=0,"",INDEX('إدخال وسجل المنتجات'!$F$5:$F$590,$I128))</f>
        <v/>
      </c>
      <c r="C128" s="8" t="str">
        <f>IF($I128=0,"",INDEX('إدخال وسجل المنتجات'!$B$5:$B$590,$I128))</f>
        <v/>
      </c>
      <c r="D128" s="10" t="str">
        <f>IF($I128=0,"",INDEX('إدخال وسجل المنتجات'!$C$5:$C$590,$I128))</f>
        <v/>
      </c>
      <c r="E128" s="11" t="str">
        <f>IF($I128=0,"",INDEX('إدخال وسجل المنتجات'!$D$5:$D$590,$I128))</f>
        <v/>
      </c>
      <c r="F128" s="2" t="str">
        <f>IF($I128=0,"",INDEX('إدخال وسجل المنتجات'!$G$5:$G$590,$I128))</f>
        <v/>
      </c>
      <c r="G128" s="12"/>
      <c r="H128" s="13"/>
      <c r="I128">
        <f>SUMPRODUCT(('إدخال وسجل المنتجات'!$I$5:$I$590="CHL")*('إدخال وسجل المنتجات'!$M$5:$M$590=125)*(ROW('إدخال وسجل المنتجات'!$I$5:$I$590)-4))</f>
        <v>0</v>
      </c>
      <c r="J128" s="2" t="str">
        <f>IF($I128=0,"",IF($G128="","",$G128*IF(INDEX('إدخال وسجل المنتجات'!$U$5:$U$590,$I128)=0,1,INDEX('إدخال وسجل المنتجات'!$U$5:$U$590,$I128))))</f>
        <v/>
      </c>
    </row>
    <row r="129" spans="1:10" ht="16" x14ac:dyDescent="0.15">
      <c r="A129" s="2" t="str">
        <f>IF($I129=0,"",126)</f>
        <v/>
      </c>
      <c r="B129" s="9" t="str">
        <f>IF($I129=0,"",INDEX('إدخال وسجل المنتجات'!$F$5:$F$590,$I129))</f>
        <v/>
      </c>
      <c r="C129" s="8" t="str">
        <f>IF($I129=0,"",INDEX('إدخال وسجل المنتجات'!$B$5:$B$590,$I129))</f>
        <v/>
      </c>
      <c r="D129" s="10" t="str">
        <f>IF($I129=0,"",INDEX('إدخال وسجل المنتجات'!$C$5:$C$590,$I129))</f>
        <v/>
      </c>
      <c r="E129" s="11" t="str">
        <f>IF($I129=0,"",INDEX('إدخال وسجل المنتجات'!$D$5:$D$590,$I129))</f>
        <v/>
      </c>
      <c r="F129" s="2" t="str">
        <f>IF($I129=0,"",INDEX('إدخال وسجل المنتجات'!$G$5:$G$590,$I129))</f>
        <v/>
      </c>
      <c r="G129" s="12"/>
      <c r="H129" s="13"/>
      <c r="I129">
        <f>SUMPRODUCT(('إدخال وسجل المنتجات'!$I$5:$I$590="CHL")*('إدخال وسجل المنتجات'!$M$5:$M$590=126)*(ROW('إدخال وسجل المنتجات'!$I$5:$I$590)-4))</f>
        <v>0</v>
      </c>
      <c r="J129" s="2" t="str">
        <f>IF($I129=0,"",IF($G129="","",$G129*IF(INDEX('إدخال وسجل المنتجات'!$U$5:$U$590,$I129)=0,1,INDEX('إدخال وسجل المنتجات'!$U$5:$U$590,$I129))))</f>
        <v/>
      </c>
    </row>
    <row r="130" spans="1:10" ht="16" x14ac:dyDescent="0.15">
      <c r="A130" s="2" t="str">
        <f>IF($I130=0,"",127)</f>
        <v/>
      </c>
      <c r="B130" s="9" t="str">
        <f>IF($I130=0,"",INDEX('إدخال وسجل المنتجات'!$F$5:$F$590,$I130))</f>
        <v/>
      </c>
      <c r="C130" s="8" t="str">
        <f>IF($I130=0,"",INDEX('إدخال وسجل المنتجات'!$B$5:$B$590,$I130))</f>
        <v/>
      </c>
      <c r="D130" s="10" t="str">
        <f>IF($I130=0,"",INDEX('إدخال وسجل المنتجات'!$C$5:$C$590,$I130))</f>
        <v/>
      </c>
      <c r="E130" s="11" t="str">
        <f>IF($I130=0,"",INDEX('إدخال وسجل المنتجات'!$D$5:$D$590,$I130))</f>
        <v/>
      </c>
      <c r="F130" s="2" t="str">
        <f>IF($I130=0,"",INDEX('إدخال وسجل المنتجات'!$G$5:$G$590,$I130))</f>
        <v/>
      </c>
      <c r="G130" s="12"/>
      <c r="H130" s="13"/>
      <c r="I130">
        <f>SUMPRODUCT(('إدخال وسجل المنتجات'!$I$5:$I$590="CHL")*('إدخال وسجل المنتجات'!$M$5:$M$590=127)*(ROW('إدخال وسجل المنتجات'!$I$5:$I$590)-4))</f>
        <v>0</v>
      </c>
      <c r="J130" s="2" t="str">
        <f>IF($I130=0,"",IF($G130="","",$G130*IF(INDEX('إدخال وسجل المنتجات'!$U$5:$U$590,$I130)=0,1,INDEX('إدخال وسجل المنتجات'!$U$5:$U$590,$I130))))</f>
        <v/>
      </c>
    </row>
    <row r="131" spans="1:10" ht="16" x14ac:dyDescent="0.15">
      <c r="A131" s="2" t="str">
        <f>IF($I131=0,"",128)</f>
        <v/>
      </c>
      <c r="B131" s="9" t="str">
        <f>IF($I131=0,"",INDEX('إدخال وسجل المنتجات'!$F$5:$F$590,$I131))</f>
        <v/>
      </c>
      <c r="C131" s="8" t="str">
        <f>IF($I131=0,"",INDEX('إدخال وسجل المنتجات'!$B$5:$B$590,$I131))</f>
        <v/>
      </c>
      <c r="D131" s="10" t="str">
        <f>IF($I131=0,"",INDEX('إدخال وسجل المنتجات'!$C$5:$C$590,$I131))</f>
        <v/>
      </c>
      <c r="E131" s="11" t="str">
        <f>IF($I131=0,"",INDEX('إدخال وسجل المنتجات'!$D$5:$D$590,$I131))</f>
        <v/>
      </c>
      <c r="F131" s="2" t="str">
        <f>IF($I131=0,"",INDEX('إدخال وسجل المنتجات'!$G$5:$G$590,$I131))</f>
        <v/>
      </c>
      <c r="G131" s="12"/>
      <c r="H131" s="13"/>
      <c r="I131">
        <f>SUMPRODUCT(('إدخال وسجل المنتجات'!$I$5:$I$590="CHL")*('إدخال وسجل المنتجات'!$M$5:$M$590=128)*(ROW('إدخال وسجل المنتجات'!$I$5:$I$590)-4))</f>
        <v>0</v>
      </c>
      <c r="J131" s="2" t="str">
        <f>IF($I131=0,"",IF($G131="","",$G131*IF(INDEX('إدخال وسجل المنتجات'!$U$5:$U$590,$I131)=0,1,INDEX('إدخال وسجل المنتجات'!$U$5:$U$590,$I131))))</f>
        <v/>
      </c>
    </row>
    <row r="132" spans="1:10" ht="16" x14ac:dyDescent="0.15">
      <c r="A132" s="2" t="str">
        <f>IF($I132=0,"",129)</f>
        <v/>
      </c>
      <c r="B132" s="9" t="str">
        <f>IF($I132=0,"",INDEX('إدخال وسجل المنتجات'!$F$5:$F$590,$I132))</f>
        <v/>
      </c>
      <c r="C132" s="8" t="str">
        <f>IF($I132=0,"",INDEX('إدخال وسجل المنتجات'!$B$5:$B$590,$I132))</f>
        <v/>
      </c>
      <c r="D132" s="10" t="str">
        <f>IF($I132=0,"",INDEX('إدخال وسجل المنتجات'!$C$5:$C$590,$I132))</f>
        <v/>
      </c>
      <c r="E132" s="11" t="str">
        <f>IF($I132=0,"",INDEX('إدخال وسجل المنتجات'!$D$5:$D$590,$I132))</f>
        <v/>
      </c>
      <c r="F132" s="2" t="str">
        <f>IF($I132=0,"",INDEX('إدخال وسجل المنتجات'!$G$5:$G$590,$I132))</f>
        <v/>
      </c>
      <c r="G132" s="12"/>
      <c r="H132" s="13"/>
      <c r="I132">
        <f>SUMPRODUCT(('إدخال وسجل المنتجات'!$I$5:$I$590="CHL")*('إدخال وسجل المنتجات'!$M$5:$M$590=129)*(ROW('إدخال وسجل المنتجات'!$I$5:$I$590)-4))</f>
        <v>0</v>
      </c>
      <c r="J132" s="2" t="str">
        <f>IF($I132=0,"",IF($G132="","",$G132*IF(INDEX('إدخال وسجل المنتجات'!$U$5:$U$590,$I132)=0,1,INDEX('إدخال وسجل المنتجات'!$U$5:$U$590,$I132))))</f>
        <v/>
      </c>
    </row>
    <row r="133" spans="1:10" ht="16" x14ac:dyDescent="0.15">
      <c r="A133" s="2" t="str">
        <f>IF($I133=0,"",130)</f>
        <v/>
      </c>
      <c r="B133" s="9" t="str">
        <f>IF($I133=0,"",INDEX('إدخال وسجل المنتجات'!$F$5:$F$590,$I133))</f>
        <v/>
      </c>
      <c r="C133" s="8" t="str">
        <f>IF($I133=0,"",INDEX('إدخال وسجل المنتجات'!$B$5:$B$590,$I133))</f>
        <v/>
      </c>
      <c r="D133" s="10" t="str">
        <f>IF($I133=0,"",INDEX('إدخال وسجل المنتجات'!$C$5:$C$590,$I133))</f>
        <v/>
      </c>
      <c r="E133" s="11" t="str">
        <f>IF($I133=0,"",INDEX('إدخال وسجل المنتجات'!$D$5:$D$590,$I133))</f>
        <v/>
      </c>
      <c r="F133" s="2" t="str">
        <f>IF($I133=0,"",INDEX('إدخال وسجل المنتجات'!$G$5:$G$590,$I133))</f>
        <v/>
      </c>
      <c r="G133" s="12"/>
      <c r="H133" s="13"/>
      <c r="I133">
        <f>SUMPRODUCT(('إدخال وسجل المنتجات'!$I$5:$I$590="CHL")*('إدخال وسجل المنتجات'!$M$5:$M$590=130)*(ROW('إدخال وسجل المنتجات'!$I$5:$I$590)-4))</f>
        <v>0</v>
      </c>
      <c r="J133" s="2" t="str">
        <f>IF($I133=0,"",IF($G133="","",$G133*IF(INDEX('إدخال وسجل المنتجات'!$U$5:$U$590,$I133)=0,1,INDEX('إدخال وسجل المنتجات'!$U$5:$U$590,$I133))))</f>
        <v/>
      </c>
    </row>
    <row r="134" spans="1:10" ht="16" x14ac:dyDescent="0.15">
      <c r="A134" s="2" t="str">
        <f>IF($I134=0,"",131)</f>
        <v/>
      </c>
      <c r="B134" s="9" t="str">
        <f>IF($I134=0,"",INDEX('إدخال وسجل المنتجات'!$F$5:$F$590,$I134))</f>
        <v/>
      </c>
      <c r="C134" s="8" t="str">
        <f>IF($I134=0,"",INDEX('إدخال وسجل المنتجات'!$B$5:$B$590,$I134))</f>
        <v/>
      </c>
      <c r="D134" s="10" t="str">
        <f>IF($I134=0,"",INDEX('إدخال وسجل المنتجات'!$C$5:$C$590,$I134))</f>
        <v/>
      </c>
      <c r="E134" s="11" t="str">
        <f>IF($I134=0,"",INDEX('إدخال وسجل المنتجات'!$D$5:$D$590,$I134))</f>
        <v/>
      </c>
      <c r="F134" s="2" t="str">
        <f>IF($I134=0,"",INDEX('إدخال وسجل المنتجات'!$G$5:$G$590,$I134))</f>
        <v/>
      </c>
      <c r="G134" s="12"/>
      <c r="H134" s="13"/>
      <c r="I134">
        <f>SUMPRODUCT(('إدخال وسجل المنتجات'!$I$5:$I$590="CHL")*('إدخال وسجل المنتجات'!$M$5:$M$590=131)*(ROW('إدخال وسجل المنتجات'!$I$5:$I$590)-4))</f>
        <v>0</v>
      </c>
      <c r="J134" s="2" t="str">
        <f>IF($I134=0,"",IF($G134="","",$G134*IF(INDEX('إدخال وسجل المنتجات'!$U$5:$U$590,$I134)=0,1,INDEX('إدخال وسجل المنتجات'!$U$5:$U$590,$I134))))</f>
        <v/>
      </c>
    </row>
    <row r="135" spans="1:10" ht="16" x14ac:dyDescent="0.15">
      <c r="A135" s="2" t="str">
        <f>IF($I135=0,"",132)</f>
        <v/>
      </c>
      <c r="B135" s="9" t="str">
        <f>IF($I135=0,"",INDEX('إدخال وسجل المنتجات'!$F$5:$F$590,$I135))</f>
        <v/>
      </c>
      <c r="C135" s="8" t="str">
        <f>IF($I135=0,"",INDEX('إدخال وسجل المنتجات'!$B$5:$B$590,$I135))</f>
        <v/>
      </c>
      <c r="D135" s="10" t="str">
        <f>IF($I135=0,"",INDEX('إدخال وسجل المنتجات'!$C$5:$C$590,$I135))</f>
        <v/>
      </c>
      <c r="E135" s="11" t="str">
        <f>IF($I135=0,"",INDEX('إدخال وسجل المنتجات'!$D$5:$D$590,$I135))</f>
        <v/>
      </c>
      <c r="F135" s="2" t="str">
        <f>IF($I135=0,"",INDEX('إدخال وسجل المنتجات'!$G$5:$G$590,$I135))</f>
        <v/>
      </c>
      <c r="G135" s="12"/>
      <c r="H135" s="13"/>
      <c r="I135">
        <f>SUMPRODUCT(('إدخال وسجل المنتجات'!$I$5:$I$590="CHL")*('إدخال وسجل المنتجات'!$M$5:$M$590=132)*(ROW('إدخال وسجل المنتجات'!$I$5:$I$590)-4))</f>
        <v>0</v>
      </c>
      <c r="J135" s="2" t="str">
        <f>IF($I135=0,"",IF($G135="","",$G135*IF(INDEX('إدخال وسجل المنتجات'!$U$5:$U$590,$I135)=0,1,INDEX('إدخال وسجل المنتجات'!$U$5:$U$590,$I135))))</f>
        <v/>
      </c>
    </row>
    <row r="136" spans="1:10" ht="16" x14ac:dyDescent="0.15">
      <c r="A136" s="2" t="str">
        <f>IF($I136=0,"",133)</f>
        <v/>
      </c>
      <c r="B136" s="9" t="str">
        <f>IF($I136=0,"",INDEX('إدخال وسجل المنتجات'!$F$5:$F$590,$I136))</f>
        <v/>
      </c>
      <c r="C136" s="8" t="str">
        <f>IF($I136=0,"",INDEX('إدخال وسجل المنتجات'!$B$5:$B$590,$I136))</f>
        <v/>
      </c>
      <c r="D136" s="10" t="str">
        <f>IF($I136=0,"",INDEX('إدخال وسجل المنتجات'!$C$5:$C$590,$I136))</f>
        <v/>
      </c>
      <c r="E136" s="11" t="str">
        <f>IF($I136=0,"",INDEX('إدخال وسجل المنتجات'!$D$5:$D$590,$I136))</f>
        <v/>
      </c>
      <c r="F136" s="2" t="str">
        <f>IF($I136=0,"",INDEX('إدخال وسجل المنتجات'!$G$5:$G$590,$I136))</f>
        <v/>
      </c>
      <c r="G136" s="12"/>
      <c r="H136" s="13"/>
      <c r="I136">
        <f>SUMPRODUCT(('إدخال وسجل المنتجات'!$I$5:$I$590="CHL")*('إدخال وسجل المنتجات'!$M$5:$M$590=133)*(ROW('إدخال وسجل المنتجات'!$I$5:$I$590)-4))</f>
        <v>0</v>
      </c>
      <c r="J136" s="2" t="str">
        <f>IF($I136=0,"",IF($G136="","",$G136*IF(INDEX('إدخال وسجل المنتجات'!$U$5:$U$590,$I136)=0,1,INDEX('إدخال وسجل المنتجات'!$U$5:$U$590,$I136))))</f>
        <v/>
      </c>
    </row>
    <row r="137" spans="1:10" ht="16" x14ac:dyDescent="0.15">
      <c r="A137" s="2" t="str">
        <f>IF($I137=0,"",134)</f>
        <v/>
      </c>
      <c r="B137" s="9" t="str">
        <f>IF($I137=0,"",INDEX('إدخال وسجل المنتجات'!$F$5:$F$590,$I137))</f>
        <v/>
      </c>
      <c r="C137" s="8" t="str">
        <f>IF($I137=0,"",INDEX('إدخال وسجل المنتجات'!$B$5:$B$590,$I137))</f>
        <v/>
      </c>
      <c r="D137" s="10" t="str">
        <f>IF($I137=0,"",INDEX('إدخال وسجل المنتجات'!$C$5:$C$590,$I137))</f>
        <v/>
      </c>
      <c r="E137" s="11" t="str">
        <f>IF($I137=0,"",INDEX('إدخال وسجل المنتجات'!$D$5:$D$590,$I137))</f>
        <v/>
      </c>
      <c r="F137" s="2" t="str">
        <f>IF($I137=0,"",INDEX('إدخال وسجل المنتجات'!$G$5:$G$590,$I137))</f>
        <v/>
      </c>
      <c r="G137" s="12"/>
      <c r="H137" s="13"/>
      <c r="I137">
        <f>SUMPRODUCT(('إدخال وسجل المنتجات'!$I$5:$I$590="CHL")*('إدخال وسجل المنتجات'!$M$5:$M$590=134)*(ROW('إدخال وسجل المنتجات'!$I$5:$I$590)-4))</f>
        <v>0</v>
      </c>
      <c r="J137" s="2" t="str">
        <f>IF($I137=0,"",IF($G137="","",$G137*IF(INDEX('إدخال وسجل المنتجات'!$U$5:$U$590,$I137)=0,1,INDEX('إدخال وسجل المنتجات'!$U$5:$U$590,$I137))))</f>
        <v/>
      </c>
    </row>
    <row r="138" spans="1:10" ht="16" x14ac:dyDescent="0.15">
      <c r="A138" s="2" t="str">
        <f>IF($I138=0,"",135)</f>
        <v/>
      </c>
      <c r="B138" s="9" t="str">
        <f>IF($I138=0,"",INDEX('إدخال وسجل المنتجات'!$F$5:$F$590,$I138))</f>
        <v/>
      </c>
      <c r="C138" s="8" t="str">
        <f>IF($I138=0,"",INDEX('إدخال وسجل المنتجات'!$B$5:$B$590,$I138))</f>
        <v/>
      </c>
      <c r="D138" s="10" t="str">
        <f>IF($I138=0,"",INDEX('إدخال وسجل المنتجات'!$C$5:$C$590,$I138))</f>
        <v/>
      </c>
      <c r="E138" s="11" t="str">
        <f>IF($I138=0,"",INDEX('إدخال وسجل المنتجات'!$D$5:$D$590,$I138))</f>
        <v/>
      </c>
      <c r="F138" s="2" t="str">
        <f>IF($I138=0,"",INDEX('إدخال وسجل المنتجات'!$G$5:$G$590,$I138))</f>
        <v/>
      </c>
      <c r="G138" s="12"/>
      <c r="H138" s="13"/>
      <c r="I138">
        <f>SUMPRODUCT(('إدخال وسجل المنتجات'!$I$5:$I$590="CHL")*('إدخال وسجل المنتجات'!$M$5:$M$590=135)*(ROW('إدخال وسجل المنتجات'!$I$5:$I$590)-4))</f>
        <v>0</v>
      </c>
      <c r="J138" s="2" t="str">
        <f>IF($I138=0,"",IF($G138="","",$G138*IF(INDEX('إدخال وسجل المنتجات'!$U$5:$U$590,$I138)=0,1,INDEX('إدخال وسجل المنتجات'!$U$5:$U$590,$I138))))</f>
        <v/>
      </c>
    </row>
    <row r="139" spans="1:10" ht="16" x14ac:dyDescent="0.15">
      <c r="A139" s="2" t="str">
        <f>IF($I139=0,"",136)</f>
        <v/>
      </c>
      <c r="B139" s="9" t="str">
        <f>IF($I139=0,"",INDEX('إدخال وسجل المنتجات'!$F$5:$F$590,$I139))</f>
        <v/>
      </c>
      <c r="C139" s="8" t="str">
        <f>IF($I139=0,"",INDEX('إدخال وسجل المنتجات'!$B$5:$B$590,$I139))</f>
        <v/>
      </c>
      <c r="D139" s="10" t="str">
        <f>IF($I139=0,"",INDEX('إدخال وسجل المنتجات'!$C$5:$C$590,$I139))</f>
        <v/>
      </c>
      <c r="E139" s="11" t="str">
        <f>IF($I139=0,"",INDEX('إدخال وسجل المنتجات'!$D$5:$D$590,$I139))</f>
        <v/>
      </c>
      <c r="F139" s="2" t="str">
        <f>IF($I139=0,"",INDEX('إدخال وسجل المنتجات'!$G$5:$G$590,$I139))</f>
        <v/>
      </c>
      <c r="G139" s="12"/>
      <c r="H139" s="13"/>
      <c r="I139">
        <f>SUMPRODUCT(('إدخال وسجل المنتجات'!$I$5:$I$590="CHL")*('إدخال وسجل المنتجات'!$M$5:$M$590=136)*(ROW('إدخال وسجل المنتجات'!$I$5:$I$590)-4))</f>
        <v>0</v>
      </c>
      <c r="J139" s="2" t="str">
        <f>IF($I139=0,"",IF($G139="","",$G139*IF(INDEX('إدخال وسجل المنتجات'!$U$5:$U$590,$I139)=0,1,INDEX('إدخال وسجل المنتجات'!$U$5:$U$590,$I139))))</f>
        <v/>
      </c>
    </row>
    <row r="140" spans="1:10" ht="16" x14ac:dyDescent="0.15">
      <c r="A140" s="2" t="str">
        <f>IF($I140=0,"",137)</f>
        <v/>
      </c>
      <c r="B140" s="9" t="str">
        <f>IF($I140=0,"",INDEX('إدخال وسجل المنتجات'!$F$5:$F$590,$I140))</f>
        <v/>
      </c>
      <c r="C140" s="8" t="str">
        <f>IF($I140=0,"",INDEX('إدخال وسجل المنتجات'!$B$5:$B$590,$I140))</f>
        <v/>
      </c>
      <c r="D140" s="10" t="str">
        <f>IF($I140=0,"",INDEX('إدخال وسجل المنتجات'!$C$5:$C$590,$I140))</f>
        <v/>
      </c>
      <c r="E140" s="11" t="str">
        <f>IF($I140=0,"",INDEX('إدخال وسجل المنتجات'!$D$5:$D$590,$I140))</f>
        <v/>
      </c>
      <c r="F140" s="2" t="str">
        <f>IF($I140=0,"",INDEX('إدخال وسجل المنتجات'!$G$5:$G$590,$I140))</f>
        <v/>
      </c>
      <c r="G140" s="12"/>
      <c r="H140" s="13"/>
      <c r="I140">
        <f>SUMPRODUCT(('إدخال وسجل المنتجات'!$I$5:$I$590="CHL")*('إدخال وسجل المنتجات'!$M$5:$M$590=137)*(ROW('إدخال وسجل المنتجات'!$I$5:$I$590)-4))</f>
        <v>0</v>
      </c>
      <c r="J140" s="2" t="str">
        <f>IF($I140=0,"",IF($G140="","",$G140*IF(INDEX('إدخال وسجل المنتجات'!$U$5:$U$590,$I140)=0,1,INDEX('إدخال وسجل المنتجات'!$U$5:$U$590,$I140))))</f>
        <v/>
      </c>
    </row>
    <row r="141" spans="1:10" ht="16" x14ac:dyDescent="0.15">
      <c r="A141" s="2" t="str">
        <f>IF($I141=0,"",138)</f>
        <v/>
      </c>
      <c r="B141" s="9" t="str">
        <f>IF($I141=0,"",INDEX('إدخال وسجل المنتجات'!$F$5:$F$590,$I141))</f>
        <v/>
      </c>
      <c r="C141" s="8" t="str">
        <f>IF($I141=0,"",INDEX('إدخال وسجل المنتجات'!$B$5:$B$590,$I141))</f>
        <v/>
      </c>
      <c r="D141" s="10" t="str">
        <f>IF($I141=0,"",INDEX('إدخال وسجل المنتجات'!$C$5:$C$590,$I141))</f>
        <v/>
      </c>
      <c r="E141" s="11" t="str">
        <f>IF($I141=0,"",INDEX('إدخال وسجل المنتجات'!$D$5:$D$590,$I141))</f>
        <v/>
      </c>
      <c r="F141" s="2" t="str">
        <f>IF($I141=0,"",INDEX('إدخال وسجل المنتجات'!$G$5:$G$590,$I141))</f>
        <v/>
      </c>
      <c r="G141" s="12"/>
      <c r="H141" s="13"/>
      <c r="I141">
        <f>SUMPRODUCT(('إدخال وسجل المنتجات'!$I$5:$I$590="CHL")*('إدخال وسجل المنتجات'!$M$5:$M$590=138)*(ROW('إدخال وسجل المنتجات'!$I$5:$I$590)-4))</f>
        <v>0</v>
      </c>
      <c r="J141" s="2" t="str">
        <f>IF($I141=0,"",IF($G141="","",$G141*IF(INDEX('إدخال وسجل المنتجات'!$U$5:$U$590,$I141)=0,1,INDEX('إدخال وسجل المنتجات'!$U$5:$U$590,$I141))))</f>
        <v/>
      </c>
    </row>
    <row r="142" spans="1:10" ht="16" x14ac:dyDescent="0.15">
      <c r="A142" s="2" t="str">
        <f>IF($I142=0,"",139)</f>
        <v/>
      </c>
      <c r="B142" s="9" t="str">
        <f>IF($I142=0,"",INDEX('إدخال وسجل المنتجات'!$F$5:$F$590,$I142))</f>
        <v/>
      </c>
      <c r="C142" s="8" t="str">
        <f>IF($I142=0,"",INDEX('إدخال وسجل المنتجات'!$B$5:$B$590,$I142))</f>
        <v/>
      </c>
      <c r="D142" s="10" t="str">
        <f>IF($I142=0,"",INDEX('إدخال وسجل المنتجات'!$C$5:$C$590,$I142))</f>
        <v/>
      </c>
      <c r="E142" s="11" t="str">
        <f>IF($I142=0,"",INDEX('إدخال وسجل المنتجات'!$D$5:$D$590,$I142))</f>
        <v/>
      </c>
      <c r="F142" s="2" t="str">
        <f>IF($I142=0,"",INDEX('إدخال وسجل المنتجات'!$G$5:$G$590,$I142))</f>
        <v/>
      </c>
      <c r="G142" s="12"/>
      <c r="H142" s="13"/>
      <c r="I142">
        <f>SUMPRODUCT(('إدخال وسجل المنتجات'!$I$5:$I$590="CHL")*('إدخال وسجل المنتجات'!$M$5:$M$590=139)*(ROW('إدخال وسجل المنتجات'!$I$5:$I$590)-4))</f>
        <v>0</v>
      </c>
      <c r="J142" s="2" t="str">
        <f>IF($I142=0,"",IF($G142="","",$G142*IF(INDEX('إدخال وسجل المنتجات'!$U$5:$U$590,$I142)=0,1,INDEX('إدخال وسجل المنتجات'!$U$5:$U$590,$I142))))</f>
        <v/>
      </c>
    </row>
    <row r="143" spans="1:10" ht="16" x14ac:dyDescent="0.15">
      <c r="A143" s="2" t="str">
        <f>IF($I143=0,"",140)</f>
        <v/>
      </c>
      <c r="B143" s="9" t="str">
        <f>IF($I143=0,"",INDEX('إدخال وسجل المنتجات'!$F$5:$F$590,$I143))</f>
        <v/>
      </c>
      <c r="C143" s="8" t="str">
        <f>IF($I143=0,"",INDEX('إدخال وسجل المنتجات'!$B$5:$B$590,$I143))</f>
        <v/>
      </c>
      <c r="D143" s="10" t="str">
        <f>IF($I143=0,"",INDEX('إدخال وسجل المنتجات'!$C$5:$C$590,$I143))</f>
        <v/>
      </c>
      <c r="E143" s="11" t="str">
        <f>IF($I143=0,"",INDEX('إدخال وسجل المنتجات'!$D$5:$D$590,$I143))</f>
        <v/>
      </c>
      <c r="F143" s="2" t="str">
        <f>IF($I143=0,"",INDEX('إدخال وسجل المنتجات'!$G$5:$G$590,$I143))</f>
        <v/>
      </c>
      <c r="G143" s="12"/>
      <c r="H143" s="13"/>
      <c r="I143">
        <f>SUMPRODUCT(('إدخال وسجل المنتجات'!$I$5:$I$590="CHL")*('إدخال وسجل المنتجات'!$M$5:$M$590=140)*(ROW('إدخال وسجل المنتجات'!$I$5:$I$590)-4))</f>
        <v>0</v>
      </c>
      <c r="J143" s="2" t="str">
        <f>IF($I143=0,"",IF($G143="","",$G143*IF(INDEX('إدخال وسجل المنتجات'!$U$5:$U$590,$I143)=0,1,INDEX('إدخال وسجل المنتجات'!$U$5:$U$590,$I143))))</f>
        <v/>
      </c>
    </row>
    <row r="144" spans="1:10" ht="16" x14ac:dyDescent="0.15">
      <c r="A144" s="2" t="str">
        <f>IF($I144=0,"",141)</f>
        <v/>
      </c>
      <c r="B144" s="9" t="str">
        <f>IF($I144=0,"",INDEX('إدخال وسجل المنتجات'!$F$5:$F$590,$I144))</f>
        <v/>
      </c>
      <c r="C144" s="8" t="str">
        <f>IF($I144=0,"",INDEX('إدخال وسجل المنتجات'!$B$5:$B$590,$I144))</f>
        <v/>
      </c>
      <c r="D144" s="10" t="str">
        <f>IF($I144=0,"",INDEX('إدخال وسجل المنتجات'!$C$5:$C$590,$I144))</f>
        <v/>
      </c>
      <c r="E144" s="11" t="str">
        <f>IF($I144=0,"",INDEX('إدخال وسجل المنتجات'!$D$5:$D$590,$I144))</f>
        <v/>
      </c>
      <c r="F144" s="2" t="str">
        <f>IF($I144=0,"",INDEX('إدخال وسجل المنتجات'!$G$5:$G$590,$I144))</f>
        <v/>
      </c>
      <c r="G144" s="12"/>
      <c r="H144" s="13"/>
      <c r="I144">
        <f>SUMPRODUCT(('إدخال وسجل المنتجات'!$I$5:$I$590="CHL")*('إدخال وسجل المنتجات'!$M$5:$M$590=141)*(ROW('إدخال وسجل المنتجات'!$I$5:$I$590)-4))</f>
        <v>0</v>
      </c>
      <c r="J144" s="2" t="str">
        <f>IF($I144=0,"",IF($G144="","",$G144*IF(INDEX('إدخال وسجل المنتجات'!$U$5:$U$590,$I144)=0,1,INDEX('إدخال وسجل المنتجات'!$U$5:$U$590,$I144))))</f>
        <v/>
      </c>
    </row>
    <row r="145" spans="1:10" ht="16" x14ac:dyDescent="0.15">
      <c r="A145" s="2" t="str">
        <f>IF($I145=0,"",142)</f>
        <v/>
      </c>
      <c r="B145" s="9" t="str">
        <f>IF($I145=0,"",INDEX('إدخال وسجل المنتجات'!$F$5:$F$590,$I145))</f>
        <v/>
      </c>
      <c r="C145" s="8" t="str">
        <f>IF($I145=0,"",INDEX('إدخال وسجل المنتجات'!$B$5:$B$590,$I145))</f>
        <v/>
      </c>
      <c r="D145" s="10" t="str">
        <f>IF($I145=0,"",INDEX('إدخال وسجل المنتجات'!$C$5:$C$590,$I145))</f>
        <v/>
      </c>
      <c r="E145" s="11" t="str">
        <f>IF($I145=0,"",INDEX('إدخال وسجل المنتجات'!$D$5:$D$590,$I145))</f>
        <v/>
      </c>
      <c r="F145" s="2" t="str">
        <f>IF($I145=0,"",INDEX('إدخال وسجل المنتجات'!$G$5:$G$590,$I145))</f>
        <v/>
      </c>
      <c r="G145" s="12"/>
      <c r="H145" s="13"/>
      <c r="I145">
        <f>SUMPRODUCT(('إدخال وسجل المنتجات'!$I$5:$I$590="CHL")*('إدخال وسجل المنتجات'!$M$5:$M$590=142)*(ROW('إدخال وسجل المنتجات'!$I$5:$I$590)-4))</f>
        <v>0</v>
      </c>
      <c r="J145" s="2" t="str">
        <f>IF($I145=0,"",IF($G145="","",$G145*IF(INDEX('إدخال وسجل المنتجات'!$U$5:$U$590,$I145)=0,1,INDEX('إدخال وسجل المنتجات'!$U$5:$U$590,$I145))))</f>
        <v/>
      </c>
    </row>
    <row r="146" spans="1:10" ht="16" x14ac:dyDescent="0.15">
      <c r="A146" s="2" t="str">
        <f>IF($I146=0,"",143)</f>
        <v/>
      </c>
      <c r="B146" s="9" t="str">
        <f>IF($I146=0,"",INDEX('إدخال وسجل المنتجات'!$F$5:$F$590,$I146))</f>
        <v/>
      </c>
      <c r="C146" s="8" t="str">
        <f>IF($I146=0,"",INDEX('إدخال وسجل المنتجات'!$B$5:$B$590,$I146))</f>
        <v/>
      </c>
      <c r="D146" s="10" t="str">
        <f>IF($I146=0,"",INDEX('إدخال وسجل المنتجات'!$C$5:$C$590,$I146))</f>
        <v/>
      </c>
      <c r="E146" s="11" t="str">
        <f>IF($I146=0,"",INDEX('إدخال وسجل المنتجات'!$D$5:$D$590,$I146))</f>
        <v/>
      </c>
      <c r="F146" s="2" t="str">
        <f>IF($I146=0,"",INDEX('إدخال وسجل المنتجات'!$G$5:$G$590,$I146))</f>
        <v/>
      </c>
      <c r="G146" s="12"/>
      <c r="H146" s="13"/>
      <c r="I146">
        <f>SUMPRODUCT(('إدخال وسجل المنتجات'!$I$5:$I$590="CHL")*('إدخال وسجل المنتجات'!$M$5:$M$590=143)*(ROW('إدخال وسجل المنتجات'!$I$5:$I$590)-4))</f>
        <v>0</v>
      </c>
      <c r="J146" s="2" t="str">
        <f>IF($I146=0,"",IF($G146="","",$G146*IF(INDEX('إدخال وسجل المنتجات'!$U$5:$U$590,$I146)=0,1,INDEX('إدخال وسجل المنتجات'!$U$5:$U$590,$I146))))</f>
        <v/>
      </c>
    </row>
    <row r="147" spans="1:10" ht="16" x14ac:dyDescent="0.15">
      <c r="A147" s="2" t="str">
        <f>IF($I147=0,"",144)</f>
        <v/>
      </c>
      <c r="B147" s="9" t="str">
        <f>IF($I147=0,"",INDEX('إدخال وسجل المنتجات'!$F$5:$F$590,$I147))</f>
        <v/>
      </c>
      <c r="C147" s="8" t="str">
        <f>IF($I147=0,"",INDEX('إدخال وسجل المنتجات'!$B$5:$B$590,$I147))</f>
        <v/>
      </c>
      <c r="D147" s="10" t="str">
        <f>IF($I147=0,"",INDEX('إدخال وسجل المنتجات'!$C$5:$C$590,$I147))</f>
        <v/>
      </c>
      <c r="E147" s="11" t="str">
        <f>IF($I147=0,"",INDEX('إدخال وسجل المنتجات'!$D$5:$D$590,$I147))</f>
        <v/>
      </c>
      <c r="F147" s="2" t="str">
        <f>IF($I147=0,"",INDEX('إدخال وسجل المنتجات'!$G$5:$G$590,$I147))</f>
        <v/>
      </c>
      <c r="G147" s="12"/>
      <c r="H147" s="13"/>
      <c r="I147">
        <f>SUMPRODUCT(('إدخال وسجل المنتجات'!$I$5:$I$590="CHL")*('إدخال وسجل المنتجات'!$M$5:$M$590=144)*(ROW('إدخال وسجل المنتجات'!$I$5:$I$590)-4))</f>
        <v>0</v>
      </c>
      <c r="J147" s="2" t="str">
        <f>IF($I147=0,"",IF($G147="","",$G147*IF(INDEX('إدخال وسجل المنتجات'!$U$5:$U$590,$I147)=0,1,INDEX('إدخال وسجل المنتجات'!$U$5:$U$590,$I147))))</f>
        <v/>
      </c>
    </row>
    <row r="148" spans="1:10" ht="16" x14ac:dyDescent="0.15">
      <c r="A148" s="2" t="str">
        <f>IF($I148=0,"",145)</f>
        <v/>
      </c>
      <c r="B148" s="9" t="str">
        <f>IF($I148=0,"",INDEX('إدخال وسجل المنتجات'!$F$5:$F$590,$I148))</f>
        <v/>
      </c>
      <c r="C148" s="8" t="str">
        <f>IF($I148=0,"",INDEX('إدخال وسجل المنتجات'!$B$5:$B$590,$I148))</f>
        <v/>
      </c>
      <c r="D148" s="10" t="str">
        <f>IF($I148=0,"",INDEX('إدخال وسجل المنتجات'!$C$5:$C$590,$I148))</f>
        <v/>
      </c>
      <c r="E148" s="11" t="str">
        <f>IF($I148=0,"",INDEX('إدخال وسجل المنتجات'!$D$5:$D$590,$I148))</f>
        <v/>
      </c>
      <c r="F148" s="2" t="str">
        <f>IF($I148=0,"",INDEX('إدخال وسجل المنتجات'!$G$5:$G$590,$I148))</f>
        <v/>
      </c>
      <c r="G148" s="12"/>
      <c r="H148" s="13"/>
      <c r="I148">
        <f>SUMPRODUCT(('إدخال وسجل المنتجات'!$I$5:$I$590="CHL")*('إدخال وسجل المنتجات'!$M$5:$M$590=145)*(ROW('إدخال وسجل المنتجات'!$I$5:$I$590)-4))</f>
        <v>0</v>
      </c>
      <c r="J148" s="2" t="str">
        <f>IF($I148=0,"",IF($G148="","",$G148*IF(INDEX('إدخال وسجل المنتجات'!$U$5:$U$590,$I148)=0,1,INDEX('إدخال وسجل المنتجات'!$U$5:$U$590,$I148))))</f>
        <v/>
      </c>
    </row>
    <row r="149" spans="1:10" ht="16" x14ac:dyDescent="0.15">
      <c r="A149" s="2" t="str">
        <f>IF($I149=0,"",146)</f>
        <v/>
      </c>
      <c r="B149" s="9" t="str">
        <f>IF($I149=0,"",INDEX('إدخال وسجل المنتجات'!$F$5:$F$590,$I149))</f>
        <v/>
      </c>
      <c r="C149" s="8" t="str">
        <f>IF($I149=0,"",INDEX('إدخال وسجل المنتجات'!$B$5:$B$590,$I149))</f>
        <v/>
      </c>
      <c r="D149" s="10" t="str">
        <f>IF($I149=0,"",INDEX('إدخال وسجل المنتجات'!$C$5:$C$590,$I149))</f>
        <v/>
      </c>
      <c r="E149" s="11" t="str">
        <f>IF($I149=0,"",INDEX('إدخال وسجل المنتجات'!$D$5:$D$590,$I149))</f>
        <v/>
      </c>
      <c r="F149" s="2" t="str">
        <f>IF($I149=0,"",INDEX('إدخال وسجل المنتجات'!$G$5:$G$590,$I149))</f>
        <v/>
      </c>
      <c r="G149" s="12"/>
      <c r="H149" s="13"/>
      <c r="I149">
        <f>SUMPRODUCT(('إدخال وسجل المنتجات'!$I$5:$I$590="CHL")*('إدخال وسجل المنتجات'!$M$5:$M$590=146)*(ROW('إدخال وسجل المنتجات'!$I$5:$I$590)-4))</f>
        <v>0</v>
      </c>
      <c r="J149" s="2" t="str">
        <f>IF($I149=0,"",IF($G149="","",$G149*IF(INDEX('إدخال وسجل المنتجات'!$U$5:$U$590,$I149)=0,1,INDEX('إدخال وسجل المنتجات'!$U$5:$U$590,$I149))))</f>
        <v/>
      </c>
    </row>
    <row r="150" spans="1:10" ht="16" x14ac:dyDescent="0.15">
      <c r="A150" s="2" t="str">
        <f>IF($I150=0,"",147)</f>
        <v/>
      </c>
      <c r="B150" s="9" t="str">
        <f>IF($I150=0,"",INDEX('إدخال وسجل المنتجات'!$F$5:$F$590,$I150))</f>
        <v/>
      </c>
      <c r="C150" s="8" t="str">
        <f>IF($I150=0,"",INDEX('إدخال وسجل المنتجات'!$B$5:$B$590,$I150))</f>
        <v/>
      </c>
      <c r="D150" s="10" t="str">
        <f>IF($I150=0,"",INDEX('إدخال وسجل المنتجات'!$C$5:$C$590,$I150))</f>
        <v/>
      </c>
      <c r="E150" s="11" t="str">
        <f>IF($I150=0,"",INDEX('إدخال وسجل المنتجات'!$D$5:$D$590,$I150))</f>
        <v/>
      </c>
      <c r="F150" s="2" t="str">
        <f>IF($I150=0,"",INDEX('إدخال وسجل المنتجات'!$G$5:$G$590,$I150))</f>
        <v/>
      </c>
      <c r="G150" s="12"/>
      <c r="H150" s="13"/>
      <c r="I150">
        <f>SUMPRODUCT(('إدخال وسجل المنتجات'!$I$5:$I$590="CHL")*('إدخال وسجل المنتجات'!$M$5:$M$590=147)*(ROW('إدخال وسجل المنتجات'!$I$5:$I$590)-4))</f>
        <v>0</v>
      </c>
      <c r="J150" s="2" t="str">
        <f>IF($I150=0,"",IF($G150="","",$G150*IF(INDEX('إدخال وسجل المنتجات'!$U$5:$U$590,$I150)=0,1,INDEX('إدخال وسجل المنتجات'!$U$5:$U$590,$I150))))</f>
        <v/>
      </c>
    </row>
    <row r="151" spans="1:10" ht="16" x14ac:dyDescent="0.15">
      <c r="A151" s="2" t="str">
        <f>IF($I151=0,"",148)</f>
        <v/>
      </c>
      <c r="B151" s="9" t="str">
        <f>IF($I151=0,"",INDEX('إدخال وسجل المنتجات'!$F$5:$F$590,$I151))</f>
        <v/>
      </c>
      <c r="C151" s="8" t="str">
        <f>IF($I151=0,"",INDEX('إدخال وسجل المنتجات'!$B$5:$B$590,$I151))</f>
        <v/>
      </c>
      <c r="D151" s="10" t="str">
        <f>IF($I151=0,"",INDEX('إدخال وسجل المنتجات'!$C$5:$C$590,$I151))</f>
        <v/>
      </c>
      <c r="E151" s="11" t="str">
        <f>IF($I151=0,"",INDEX('إدخال وسجل المنتجات'!$D$5:$D$590,$I151))</f>
        <v/>
      </c>
      <c r="F151" s="2" t="str">
        <f>IF($I151=0,"",INDEX('إدخال وسجل المنتجات'!$G$5:$G$590,$I151))</f>
        <v/>
      </c>
      <c r="G151" s="12"/>
      <c r="H151" s="13"/>
      <c r="I151">
        <f>SUMPRODUCT(('إدخال وسجل المنتجات'!$I$5:$I$590="CHL")*('إدخال وسجل المنتجات'!$M$5:$M$590=148)*(ROW('إدخال وسجل المنتجات'!$I$5:$I$590)-4))</f>
        <v>0</v>
      </c>
      <c r="J151" s="2" t="str">
        <f>IF($I151=0,"",IF($G151="","",$G151*IF(INDEX('إدخال وسجل المنتجات'!$U$5:$U$590,$I151)=0,1,INDEX('إدخال وسجل المنتجات'!$U$5:$U$590,$I151))))</f>
        <v/>
      </c>
    </row>
    <row r="152" spans="1:10" ht="16" x14ac:dyDescent="0.15">
      <c r="A152" s="2" t="str">
        <f>IF($I152=0,"",149)</f>
        <v/>
      </c>
      <c r="B152" s="9" t="str">
        <f>IF($I152=0,"",INDEX('إدخال وسجل المنتجات'!$F$5:$F$590,$I152))</f>
        <v/>
      </c>
      <c r="C152" s="8" t="str">
        <f>IF($I152=0,"",INDEX('إدخال وسجل المنتجات'!$B$5:$B$590,$I152))</f>
        <v/>
      </c>
      <c r="D152" s="10" t="str">
        <f>IF($I152=0,"",INDEX('إدخال وسجل المنتجات'!$C$5:$C$590,$I152))</f>
        <v/>
      </c>
      <c r="E152" s="11" t="str">
        <f>IF($I152=0,"",INDEX('إدخال وسجل المنتجات'!$D$5:$D$590,$I152))</f>
        <v/>
      </c>
      <c r="F152" s="2" t="str">
        <f>IF($I152=0,"",INDEX('إدخال وسجل المنتجات'!$G$5:$G$590,$I152))</f>
        <v/>
      </c>
      <c r="G152" s="12"/>
      <c r="H152" s="13"/>
      <c r="I152">
        <f>SUMPRODUCT(('إدخال وسجل المنتجات'!$I$5:$I$590="CHL")*('إدخال وسجل المنتجات'!$M$5:$M$590=149)*(ROW('إدخال وسجل المنتجات'!$I$5:$I$590)-4))</f>
        <v>0</v>
      </c>
      <c r="J152" s="2" t="str">
        <f>IF($I152=0,"",IF($G152="","",$G152*IF(INDEX('إدخال وسجل المنتجات'!$U$5:$U$590,$I152)=0,1,INDEX('إدخال وسجل المنتجات'!$U$5:$U$590,$I152))))</f>
        <v/>
      </c>
    </row>
    <row r="153" spans="1:10" ht="16" x14ac:dyDescent="0.15">
      <c r="A153" s="2" t="str">
        <f>IF($I153=0,"",150)</f>
        <v/>
      </c>
      <c r="B153" s="9" t="str">
        <f>IF($I153=0,"",INDEX('إدخال وسجل المنتجات'!$F$5:$F$590,$I153))</f>
        <v/>
      </c>
      <c r="C153" s="8" t="str">
        <f>IF($I153=0,"",INDEX('إدخال وسجل المنتجات'!$B$5:$B$590,$I153))</f>
        <v/>
      </c>
      <c r="D153" s="10" t="str">
        <f>IF($I153=0,"",INDEX('إدخال وسجل المنتجات'!$C$5:$C$590,$I153))</f>
        <v/>
      </c>
      <c r="E153" s="11" t="str">
        <f>IF($I153=0,"",INDEX('إدخال وسجل المنتجات'!$D$5:$D$590,$I153))</f>
        <v/>
      </c>
      <c r="F153" s="2" t="str">
        <f>IF($I153=0,"",INDEX('إدخال وسجل المنتجات'!$G$5:$G$590,$I153))</f>
        <v/>
      </c>
      <c r="G153" s="12"/>
      <c r="H153" s="13"/>
      <c r="I153">
        <f>SUMPRODUCT(('إدخال وسجل المنتجات'!$I$5:$I$590="CHL")*('إدخال وسجل المنتجات'!$M$5:$M$590=150)*(ROW('إدخال وسجل المنتجات'!$I$5:$I$590)-4))</f>
        <v>0</v>
      </c>
      <c r="J153" s="2" t="str">
        <f>IF($I153=0,"",IF($G153="","",$G153*IF(INDEX('إدخال وسجل المنتجات'!$U$5:$U$590,$I153)=0,1,INDEX('إدخال وسجل المنتجات'!$U$5:$U$590,$I153))))</f>
        <v/>
      </c>
    </row>
    <row r="154" spans="1:10" ht="16" x14ac:dyDescent="0.15">
      <c r="A154" s="2" t="str">
        <f>IF($I154=0,"",151)</f>
        <v/>
      </c>
      <c r="B154" s="9" t="str">
        <f>IF($I154=0,"",INDEX('إدخال وسجل المنتجات'!$F$5:$F$590,$I154))</f>
        <v/>
      </c>
      <c r="C154" s="8" t="str">
        <f>IF($I154=0,"",INDEX('إدخال وسجل المنتجات'!$B$5:$B$590,$I154))</f>
        <v/>
      </c>
      <c r="D154" s="10" t="str">
        <f>IF($I154=0,"",INDEX('إدخال وسجل المنتجات'!$C$5:$C$590,$I154))</f>
        <v/>
      </c>
      <c r="E154" s="11" t="str">
        <f>IF($I154=0,"",INDEX('إدخال وسجل المنتجات'!$D$5:$D$590,$I154))</f>
        <v/>
      </c>
      <c r="F154" s="2" t="str">
        <f>IF($I154=0,"",INDEX('إدخال وسجل المنتجات'!$G$5:$G$590,$I154))</f>
        <v/>
      </c>
      <c r="G154" s="12"/>
      <c r="H154" s="13"/>
      <c r="I154">
        <f>SUMPRODUCT(('إدخال وسجل المنتجات'!$I$5:$I$590="CHL")*('إدخال وسجل المنتجات'!$M$5:$M$590=151)*(ROW('إدخال وسجل المنتجات'!$I$5:$I$590)-4))</f>
        <v>0</v>
      </c>
      <c r="J154" s="2" t="str">
        <f>IF($I154=0,"",IF($G154="","",$G154*IF(INDEX('إدخال وسجل المنتجات'!$U$5:$U$590,$I154)=0,1,INDEX('إدخال وسجل المنتجات'!$U$5:$U$590,$I154))))</f>
        <v/>
      </c>
    </row>
    <row r="155" spans="1:10" ht="16" x14ac:dyDescent="0.15">
      <c r="A155" s="2" t="str">
        <f>IF($I155=0,"",152)</f>
        <v/>
      </c>
      <c r="B155" s="9" t="str">
        <f>IF($I155=0,"",INDEX('إدخال وسجل المنتجات'!$F$5:$F$590,$I155))</f>
        <v/>
      </c>
      <c r="C155" s="8" t="str">
        <f>IF($I155=0,"",INDEX('إدخال وسجل المنتجات'!$B$5:$B$590,$I155))</f>
        <v/>
      </c>
      <c r="D155" s="10" t="str">
        <f>IF($I155=0,"",INDEX('إدخال وسجل المنتجات'!$C$5:$C$590,$I155))</f>
        <v/>
      </c>
      <c r="E155" s="11" t="str">
        <f>IF($I155=0,"",INDEX('إدخال وسجل المنتجات'!$D$5:$D$590,$I155))</f>
        <v/>
      </c>
      <c r="F155" s="2" t="str">
        <f>IF($I155=0,"",INDEX('إدخال وسجل المنتجات'!$G$5:$G$590,$I155))</f>
        <v/>
      </c>
      <c r="G155" s="12"/>
      <c r="H155" s="13"/>
      <c r="I155">
        <f>SUMPRODUCT(('إدخال وسجل المنتجات'!$I$5:$I$590="CHL")*('إدخال وسجل المنتجات'!$M$5:$M$590=152)*(ROW('إدخال وسجل المنتجات'!$I$5:$I$590)-4))</f>
        <v>0</v>
      </c>
      <c r="J155" s="2" t="str">
        <f>IF($I155=0,"",IF($G155="","",$G155*IF(INDEX('إدخال وسجل المنتجات'!$U$5:$U$590,$I155)=0,1,INDEX('إدخال وسجل المنتجات'!$U$5:$U$590,$I155))))</f>
        <v/>
      </c>
    </row>
    <row r="156" spans="1:10" ht="16" x14ac:dyDescent="0.15">
      <c r="A156" s="2" t="str">
        <f>IF($I156=0,"",153)</f>
        <v/>
      </c>
      <c r="B156" s="9" t="str">
        <f>IF($I156=0,"",INDEX('إدخال وسجل المنتجات'!$F$5:$F$590,$I156))</f>
        <v/>
      </c>
      <c r="C156" s="8" t="str">
        <f>IF($I156=0,"",INDEX('إدخال وسجل المنتجات'!$B$5:$B$590,$I156))</f>
        <v/>
      </c>
      <c r="D156" s="10" t="str">
        <f>IF($I156=0,"",INDEX('إدخال وسجل المنتجات'!$C$5:$C$590,$I156))</f>
        <v/>
      </c>
      <c r="E156" s="11" t="str">
        <f>IF($I156=0,"",INDEX('إدخال وسجل المنتجات'!$D$5:$D$590,$I156))</f>
        <v/>
      </c>
      <c r="F156" s="2" t="str">
        <f>IF($I156=0,"",INDEX('إدخال وسجل المنتجات'!$G$5:$G$590,$I156))</f>
        <v/>
      </c>
      <c r="G156" s="12"/>
      <c r="H156" s="13"/>
      <c r="I156">
        <f>SUMPRODUCT(('إدخال وسجل المنتجات'!$I$5:$I$590="CHL")*('إدخال وسجل المنتجات'!$M$5:$M$590=153)*(ROW('إدخال وسجل المنتجات'!$I$5:$I$590)-4))</f>
        <v>0</v>
      </c>
      <c r="J156" s="2" t="str">
        <f>IF($I156=0,"",IF($G156="","",$G156*IF(INDEX('إدخال وسجل المنتجات'!$U$5:$U$590,$I156)=0,1,INDEX('إدخال وسجل المنتجات'!$U$5:$U$590,$I156))))</f>
        <v/>
      </c>
    </row>
    <row r="157" spans="1:10" ht="16" x14ac:dyDescent="0.15">
      <c r="A157" s="2" t="str">
        <f>IF($I157=0,"",154)</f>
        <v/>
      </c>
      <c r="B157" s="9" t="str">
        <f>IF($I157=0,"",INDEX('إدخال وسجل المنتجات'!$F$5:$F$590,$I157))</f>
        <v/>
      </c>
      <c r="C157" s="8" t="str">
        <f>IF($I157=0,"",INDEX('إدخال وسجل المنتجات'!$B$5:$B$590,$I157))</f>
        <v/>
      </c>
      <c r="D157" s="10" t="str">
        <f>IF($I157=0,"",INDEX('إدخال وسجل المنتجات'!$C$5:$C$590,$I157))</f>
        <v/>
      </c>
      <c r="E157" s="11" t="str">
        <f>IF($I157=0,"",INDEX('إدخال وسجل المنتجات'!$D$5:$D$590,$I157))</f>
        <v/>
      </c>
      <c r="F157" s="2" t="str">
        <f>IF($I157=0,"",INDEX('إدخال وسجل المنتجات'!$G$5:$G$590,$I157))</f>
        <v/>
      </c>
      <c r="G157" s="12"/>
      <c r="H157" s="13"/>
      <c r="I157">
        <f>SUMPRODUCT(('إدخال وسجل المنتجات'!$I$5:$I$590="CHL")*('إدخال وسجل المنتجات'!$M$5:$M$590=154)*(ROW('إدخال وسجل المنتجات'!$I$5:$I$590)-4))</f>
        <v>0</v>
      </c>
      <c r="J157" s="2" t="str">
        <f>IF($I157=0,"",IF($G157="","",$G157*IF(INDEX('إدخال وسجل المنتجات'!$U$5:$U$590,$I157)=0,1,INDEX('إدخال وسجل المنتجات'!$U$5:$U$590,$I157))))</f>
        <v/>
      </c>
    </row>
    <row r="158" spans="1:10" ht="16" x14ac:dyDescent="0.15">
      <c r="A158" s="2" t="str">
        <f>IF($I158=0,"",155)</f>
        <v/>
      </c>
      <c r="B158" s="9" t="str">
        <f>IF($I158=0,"",INDEX('إدخال وسجل المنتجات'!$F$5:$F$590,$I158))</f>
        <v/>
      </c>
      <c r="C158" s="8" t="str">
        <f>IF($I158=0,"",INDEX('إدخال وسجل المنتجات'!$B$5:$B$590,$I158))</f>
        <v/>
      </c>
      <c r="D158" s="10" t="str">
        <f>IF($I158=0,"",INDEX('إدخال وسجل المنتجات'!$C$5:$C$590,$I158))</f>
        <v/>
      </c>
      <c r="E158" s="11" t="str">
        <f>IF($I158=0,"",INDEX('إدخال وسجل المنتجات'!$D$5:$D$590,$I158))</f>
        <v/>
      </c>
      <c r="F158" s="2" t="str">
        <f>IF($I158=0,"",INDEX('إدخال وسجل المنتجات'!$G$5:$G$590,$I158))</f>
        <v/>
      </c>
      <c r="G158" s="12"/>
      <c r="H158" s="13"/>
      <c r="I158">
        <f>SUMPRODUCT(('إدخال وسجل المنتجات'!$I$5:$I$590="CHL")*('إدخال وسجل المنتجات'!$M$5:$M$590=155)*(ROW('إدخال وسجل المنتجات'!$I$5:$I$590)-4))</f>
        <v>0</v>
      </c>
      <c r="J158" s="2" t="str">
        <f>IF($I158=0,"",IF($G158="","",$G158*IF(INDEX('إدخال وسجل المنتجات'!$U$5:$U$590,$I158)=0,1,INDEX('إدخال وسجل المنتجات'!$U$5:$U$590,$I158))))</f>
        <v/>
      </c>
    </row>
    <row r="159" spans="1:10" ht="16" x14ac:dyDescent="0.15">
      <c r="A159" s="2" t="str">
        <f>IF($I159=0,"",156)</f>
        <v/>
      </c>
      <c r="B159" s="9" t="str">
        <f>IF($I159=0,"",INDEX('إدخال وسجل المنتجات'!$F$5:$F$590,$I159))</f>
        <v/>
      </c>
      <c r="C159" s="8" t="str">
        <f>IF($I159=0,"",INDEX('إدخال وسجل المنتجات'!$B$5:$B$590,$I159))</f>
        <v/>
      </c>
      <c r="D159" s="10" t="str">
        <f>IF($I159=0,"",INDEX('إدخال وسجل المنتجات'!$C$5:$C$590,$I159))</f>
        <v/>
      </c>
      <c r="E159" s="11" t="str">
        <f>IF($I159=0,"",INDEX('إدخال وسجل المنتجات'!$D$5:$D$590,$I159))</f>
        <v/>
      </c>
      <c r="F159" s="2" t="str">
        <f>IF($I159=0,"",INDEX('إدخال وسجل المنتجات'!$G$5:$G$590,$I159))</f>
        <v/>
      </c>
      <c r="G159" s="12"/>
      <c r="H159" s="13"/>
      <c r="I159">
        <f>SUMPRODUCT(('إدخال وسجل المنتجات'!$I$5:$I$590="CHL")*('إدخال وسجل المنتجات'!$M$5:$M$590=156)*(ROW('إدخال وسجل المنتجات'!$I$5:$I$590)-4))</f>
        <v>0</v>
      </c>
      <c r="J159" s="2" t="str">
        <f>IF($I159=0,"",IF($G159="","",$G159*IF(INDEX('إدخال وسجل المنتجات'!$U$5:$U$590,$I159)=0,1,INDEX('إدخال وسجل المنتجات'!$U$5:$U$590,$I159))))</f>
        <v/>
      </c>
    </row>
    <row r="160" spans="1:10" ht="16" x14ac:dyDescent="0.15">
      <c r="A160" s="2" t="str">
        <f>IF($I160=0,"",157)</f>
        <v/>
      </c>
      <c r="B160" s="9" t="str">
        <f>IF($I160=0,"",INDEX('إدخال وسجل المنتجات'!$F$5:$F$590,$I160))</f>
        <v/>
      </c>
      <c r="C160" s="8" t="str">
        <f>IF($I160=0,"",INDEX('إدخال وسجل المنتجات'!$B$5:$B$590,$I160))</f>
        <v/>
      </c>
      <c r="D160" s="10" t="str">
        <f>IF($I160=0,"",INDEX('إدخال وسجل المنتجات'!$C$5:$C$590,$I160))</f>
        <v/>
      </c>
      <c r="E160" s="11" t="str">
        <f>IF($I160=0,"",INDEX('إدخال وسجل المنتجات'!$D$5:$D$590,$I160))</f>
        <v/>
      </c>
      <c r="F160" s="2" t="str">
        <f>IF($I160=0,"",INDEX('إدخال وسجل المنتجات'!$G$5:$G$590,$I160))</f>
        <v/>
      </c>
      <c r="G160" s="12"/>
      <c r="H160" s="13"/>
      <c r="I160">
        <f>SUMPRODUCT(('إدخال وسجل المنتجات'!$I$5:$I$590="CHL")*('إدخال وسجل المنتجات'!$M$5:$M$590=157)*(ROW('إدخال وسجل المنتجات'!$I$5:$I$590)-4))</f>
        <v>0</v>
      </c>
      <c r="J160" s="2" t="str">
        <f>IF($I160=0,"",IF($G160="","",$G160*IF(INDEX('إدخال وسجل المنتجات'!$U$5:$U$590,$I160)=0,1,INDEX('إدخال وسجل المنتجات'!$U$5:$U$590,$I160))))</f>
        <v/>
      </c>
    </row>
    <row r="161" spans="1:10" ht="16" x14ac:dyDescent="0.15">
      <c r="A161" s="2" t="str">
        <f>IF($I161=0,"",158)</f>
        <v/>
      </c>
      <c r="B161" s="9" t="str">
        <f>IF($I161=0,"",INDEX('إدخال وسجل المنتجات'!$F$5:$F$590,$I161))</f>
        <v/>
      </c>
      <c r="C161" s="8" t="str">
        <f>IF($I161=0,"",INDEX('إدخال وسجل المنتجات'!$B$5:$B$590,$I161))</f>
        <v/>
      </c>
      <c r="D161" s="10" t="str">
        <f>IF($I161=0,"",INDEX('إدخال وسجل المنتجات'!$C$5:$C$590,$I161))</f>
        <v/>
      </c>
      <c r="E161" s="11" t="str">
        <f>IF($I161=0,"",INDEX('إدخال وسجل المنتجات'!$D$5:$D$590,$I161))</f>
        <v/>
      </c>
      <c r="F161" s="2" t="str">
        <f>IF($I161=0,"",INDEX('إدخال وسجل المنتجات'!$G$5:$G$590,$I161))</f>
        <v/>
      </c>
      <c r="G161" s="12"/>
      <c r="H161" s="13"/>
      <c r="I161">
        <f>SUMPRODUCT(('إدخال وسجل المنتجات'!$I$5:$I$590="CHL")*('إدخال وسجل المنتجات'!$M$5:$M$590=158)*(ROW('إدخال وسجل المنتجات'!$I$5:$I$590)-4))</f>
        <v>0</v>
      </c>
      <c r="J161" s="2" t="str">
        <f>IF($I161=0,"",IF($G161="","",$G161*IF(INDEX('إدخال وسجل المنتجات'!$U$5:$U$590,$I161)=0,1,INDEX('إدخال وسجل المنتجات'!$U$5:$U$590,$I161))))</f>
        <v/>
      </c>
    </row>
    <row r="162" spans="1:10" ht="16" x14ac:dyDescent="0.15">
      <c r="A162" s="2" t="str">
        <f>IF($I162=0,"",159)</f>
        <v/>
      </c>
      <c r="B162" s="9" t="str">
        <f>IF($I162=0,"",INDEX('إدخال وسجل المنتجات'!$F$5:$F$590,$I162))</f>
        <v/>
      </c>
      <c r="C162" s="8" t="str">
        <f>IF($I162=0,"",INDEX('إدخال وسجل المنتجات'!$B$5:$B$590,$I162))</f>
        <v/>
      </c>
      <c r="D162" s="10" t="str">
        <f>IF($I162=0,"",INDEX('إدخال وسجل المنتجات'!$C$5:$C$590,$I162))</f>
        <v/>
      </c>
      <c r="E162" s="11" t="str">
        <f>IF($I162=0,"",INDEX('إدخال وسجل المنتجات'!$D$5:$D$590,$I162))</f>
        <v/>
      </c>
      <c r="F162" s="2" t="str">
        <f>IF($I162=0,"",INDEX('إدخال وسجل المنتجات'!$G$5:$G$590,$I162))</f>
        <v/>
      </c>
      <c r="G162" s="12"/>
      <c r="H162" s="13"/>
      <c r="I162">
        <f>SUMPRODUCT(('إدخال وسجل المنتجات'!$I$5:$I$590="CHL")*('إدخال وسجل المنتجات'!$M$5:$M$590=159)*(ROW('إدخال وسجل المنتجات'!$I$5:$I$590)-4))</f>
        <v>0</v>
      </c>
      <c r="J162" s="2" t="str">
        <f>IF($I162=0,"",IF($G162="","",$G162*IF(INDEX('إدخال وسجل المنتجات'!$U$5:$U$590,$I162)=0,1,INDEX('إدخال وسجل المنتجات'!$U$5:$U$590,$I162))))</f>
        <v/>
      </c>
    </row>
    <row r="163" spans="1:10" ht="16" x14ac:dyDescent="0.15">
      <c r="A163" s="2" t="str">
        <f>IF($I163=0,"",160)</f>
        <v/>
      </c>
      <c r="B163" s="9" t="str">
        <f>IF($I163=0,"",INDEX('إدخال وسجل المنتجات'!$F$5:$F$590,$I163))</f>
        <v/>
      </c>
      <c r="C163" s="8" t="str">
        <f>IF($I163=0,"",INDEX('إدخال وسجل المنتجات'!$B$5:$B$590,$I163))</f>
        <v/>
      </c>
      <c r="D163" s="10" t="str">
        <f>IF($I163=0,"",INDEX('إدخال وسجل المنتجات'!$C$5:$C$590,$I163))</f>
        <v/>
      </c>
      <c r="E163" s="11" t="str">
        <f>IF($I163=0,"",INDEX('إدخال وسجل المنتجات'!$D$5:$D$590,$I163))</f>
        <v/>
      </c>
      <c r="F163" s="2" t="str">
        <f>IF($I163=0,"",INDEX('إدخال وسجل المنتجات'!$G$5:$G$590,$I163))</f>
        <v/>
      </c>
      <c r="G163" s="12"/>
      <c r="H163" s="13"/>
      <c r="I163">
        <f>SUMPRODUCT(('إدخال وسجل المنتجات'!$I$5:$I$590="CHL")*('إدخال وسجل المنتجات'!$M$5:$M$590=160)*(ROW('إدخال وسجل المنتجات'!$I$5:$I$590)-4))</f>
        <v>0</v>
      </c>
      <c r="J163" s="2" t="str">
        <f>IF($I163=0,"",IF($G163="","",$G163*IF(INDEX('إدخال وسجل المنتجات'!$U$5:$U$590,$I163)=0,1,INDEX('إدخال وسجل المنتجات'!$U$5:$U$590,$I163))))</f>
        <v/>
      </c>
    </row>
    <row r="164" spans="1:10" ht="16" x14ac:dyDescent="0.15">
      <c r="A164" s="2" t="str">
        <f>IF($I164=0,"",161)</f>
        <v/>
      </c>
      <c r="B164" s="9" t="str">
        <f>IF($I164=0,"",INDEX('إدخال وسجل المنتجات'!$F$5:$F$590,$I164))</f>
        <v/>
      </c>
      <c r="C164" s="8" t="str">
        <f>IF($I164=0,"",INDEX('إدخال وسجل المنتجات'!$B$5:$B$590,$I164))</f>
        <v/>
      </c>
      <c r="D164" s="10" t="str">
        <f>IF($I164=0,"",INDEX('إدخال وسجل المنتجات'!$C$5:$C$590,$I164))</f>
        <v/>
      </c>
      <c r="E164" s="11" t="str">
        <f>IF($I164=0,"",INDEX('إدخال وسجل المنتجات'!$D$5:$D$590,$I164))</f>
        <v/>
      </c>
      <c r="F164" s="2" t="str">
        <f>IF($I164=0,"",INDEX('إدخال وسجل المنتجات'!$G$5:$G$590,$I164))</f>
        <v/>
      </c>
      <c r="G164" s="12"/>
      <c r="H164" s="13"/>
      <c r="I164">
        <f>SUMPRODUCT(('إدخال وسجل المنتجات'!$I$5:$I$590="CHL")*('إدخال وسجل المنتجات'!$M$5:$M$590=161)*(ROW('إدخال وسجل المنتجات'!$I$5:$I$590)-4))</f>
        <v>0</v>
      </c>
      <c r="J164" s="2" t="str">
        <f>IF($I164=0,"",IF($G164="","",$G164*IF(INDEX('إدخال وسجل المنتجات'!$U$5:$U$590,$I164)=0,1,INDEX('إدخال وسجل المنتجات'!$U$5:$U$590,$I164))))</f>
        <v/>
      </c>
    </row>
    <row r="165" spans="1:10" ht="16" x14ac:dyDescent="0.15">
      <c r="A165" s="2" t="str">
        <f>IF($I165=0,"",162)</f>
        <v/>
      </c>
      <c r="B165" s="9" t="str">
        <f>IF($I165=0,"",INDEX('إدخال وسجل المنتجات'!$F$5:$F$590,$I165))</f>
        <v/>
      </c>
      <c r="C165" s="8" t="str">
        <f>IF($I165=0,"",INDEX('إدخال وسجل المنتجات'!$B$5:$B$590,$I165))</f>
        <v/>
      </c>
      <c r="D165" s="10" t="str">
        <f>IF($I165=0,"",INDEX('إدخال وسجل المنتجات'!$C$5:$C$590,$I165))</f>
        <v/>
      </c>
      <c r="E165" s="11" t="str">
        <f>IF($I165=0,"",INDEX('إدخال وسجل المنتجات'!$D$5:$D$590,$I165))</f>
        <v/>
      </c>
      <c r="F165" s="2" t="str">
        <f>IF($I165=0,"",INDEX('إدخال وسجل المنتجات'!$G$5:$G$590,$I165))</f>
        <v/>
      </c>
      <c r="G165" s="12"/>
      <c r="H165" s="13"/>
      <c r="I165">
        <f>SUMPRODUCT(('إدخال وسجل المنتجات'!$I$5:$I$590="CHL")*('إدخال وسجل المنتجات'!$M$5:$M$590=162)*(ROW('إدخال وسجل المنتجات'!$I$5:$I$590)-4))</f>
        <v>0</v>
      </c>
      <c r="J165" s="2" t="str">
        <f>IF($I165=0,"",IF($G165="","",$G165*IF(INDEX('إدخال وسجل المنتجات'!$U$5:$U$590,$I165)=0,1,INDEX('إدخال وسجل المنتجات'!$U$5:$U$590,$I165))))</f>
        <v/>
      </c>
    </row>
    <row r="166" spans="1:10" ht="16" x14ac:dyDescent="0.15">
      <c r="A166" s="2" t="str">
        <f>IF($I166=0,"",163)</f>
        <v/>
      </c>
      <c r="B166" s="9" t="str">
        <f>IF($I166=0,"",INDEX('إدخال وسجل المنتجات'!$F$5:$F$590,$I166))</f>
        <v/>
      </c>
      <c r="C166" s="8" t="str">
        <f>IF($I166=0,"",INDEX('إدخال وسجل المنتجات'!$B$5:$B$590,$I166))</f>
        <v/>
      </c>
      <c r="D166" s="10" t="str">
        <f>IF($I166=0,"",INDEX('إدخال وسجل المنتجات'!$C$5:$C$590,$I166))</f>
        <v/>
      </c>
      <c r="E166" s="11" t="str">
        <f>IF($I166=0,"",INDEX('إدخال وسجل المنتجات'!$D$5:$D$590,$I166))</f>
        <v/>
      </c>
      <c r="F166" s="2" t="str">
        <f>IF($I166=0,"",INDEX('إدخال وسجل المنتجات'!$G$5:$G$590,$I166))</f>
        <v/>
      </c>
      <c r="G166" s="12"/>
      <c r="H166" s="13"/>
      <c r="I166">
        <f>SUMPRODUCT(('إدخال وسجل المنتجات'!$I$5:$I$590="CHL")*('إدخال وسجل المنتجات'!$M$5:$M$590=163)*(ROW('إدخال وسجل المنتجات'!$I$5:$I$590)-4))</f>
        <v>0</v>
      </c>
      <c r="J166" s="2" t="str">
        <f>IF($I166=0,"",IF($G166="","",$G166*IF(INDEX('إدخال وسجل المنتجات'!$U$5:$U$590,$I166)=0,1,INDEX('إدخال وسجل المنتجات'!$U$5:$U$590,$I166))))</f>
        <v/>
      </c>
    </row>
    <row r="167" spans="1:10" ht="16" x14ac:dyDescent="0.15">
      <c r="A167" s="2" t="str">
        <f>IF($I167=0,"",164)</f>
        <v/>
      </c>
      <c r="B167" s="9" t="str">
        <f>IF($I167=0,"",INDEX('إدخال وسجل المنتجات'!$F$5:$F$590,$I167))</f>
        <v/>
      </c>
      <c r="C167" s="8" t="str">
        <f>IF($I167=0,"",INDEX('إدخال وسجل المنتجات'!$B$5:$B$590,$I167))</f>
        <v/>
      </c>
      <c r="D167" s="10" t="str">
        <f>IF($I167=0,"",INDEX('إدخال وسجل المنتجات'!$C$5:$C$590,$I167))</f>
        <v/>
      </c>
      <c r="E167" s="11" t="str">
        <f>IF($I167=0,"",INDEX('إدخال وسجل المنتجات'!$D$5:$D$590,$I167))</f>
        <v/>
      </c>
      <c r="F167" s="2" t="str">
        <f>IF($I167=0,"",INDEX('إدخال وسجل المنتجات'!$G$5:$G$590,$I167))</f>
        <v/>
      </c>
      <c r="G167" s="12"/>
      <c r="H167" s="13"/>
      <c r="I167">
        <f>SUMPRODUCT(('إدخال وسجل المنتجات'!$I$5:$I$590="CHL")*('إدخال وسجل المنتجات'!$M$5:$M$590=164)*(ROW('إدخال وسجل المنتجات'!$I$5:$I$590)-4))</f>
        <v>0</v>
      </c>
      <c r="J167" s="2" t="str">
        <f>IF($I167=0,"",IF($G167="","",$G167*IF(INDEX('إدخال وسجل المنتجات'!$U$5:$U$590,$I167)=0,1,INDEX('إدخال وسجل المنتجات'!$U$5:$U$590,$I167))))</f>
        <v/>
      </c>
    </row>
    <row r="168" spans="1:10" ht="16" x14ac:dyDescent="0.15">
      <c r="A168" s="2" t="str">
        <f>IF($I168=0,"",165)</f>
        <v/>
      </c>
      <c r="B168" s="9" t="str">
        <f>IF($I168=0,"",INDEX('إدخال وسجل المنتجات'!$F$5:$F$590,$I168))</f>
        <v/>
      </c>
      <c r="C168" s="8" t="str">
        <f>IF($I168=0,"",INDEX('إدخال وسجل المنتجات'!$B$5:$B$590,$I168))</f>
        <v/>
      </c>
      <c r="D168" s="10" t="str">
        <f>IF($I168=0,"",INDEX('إدخال وسجل المنتجات'!$C$5:$C$590,$I168))</f>
        <v/>
      </c>
      <c r="E168" s="11" t="str">
        <f>IF($I168=0,"",INDEX('إدخال وسجل المنتجات'!$D$5:$D$590,$I168))</f>
        <v/>
      </c>
      <c r="F168" s="2" t="str">
        <f>IF($I168=0,"",INDEX('إدخال وسجل المنتجات'!$G$5:$G$590,$I168))</f>
        <v/>
      </c>
      <c r="G168" s="12"/>
      <c r="H168" s="13"/>
      <c r="I168">
        <f>SUMPRODUCT(('إدخال وسجل المنتجات'!$I$5:$I$590="CHL")*('إدخال وسجل المنتجات'!$M$5:$M$590=165)*(ROW('إدخال وسجل المنتجات'!$I$5:$I$590)-4))</f>
        <v>0</v>
      </c>
      <c r="J168" s="2" t="str">
        <f>IF($I168=0,"",IF($G168="","",$G168*IF(INDEX('إدخال وسجل المنتجات'!$U$5:$U$590,$I168)=0,1,INDEX('إدخال وسجل المنتجات'!$U$5:$U$590,$I168))))</f>
        <v/>
      </c>
    </row>
    <row r="169" spans="1:10" ht="16" x14ac:dyDescent="0.15">
      <c r="A169" s="2" t="str">
        <f>IF($I169=0,"",166)</f>
        <v/>
      </c>
      <c r="B169" s="9" t="str">
        <f>IF($I169=0,"",INDEX('إدخال وسجل المنتجات'!$F$5:$F$590,$I169))</f>
        <v/>
      </c>
      <c r="C169" s="8" t="str">
        <f>IF($I169=0,"",INDEX('إدخال وسجل المنتجات'!$B$5:$B$590,$I169))</f>
        <v/>
      </c>
      <c r="D169" s="10" t="str">
        <f>IF($I169=0,"",INDEX('إدخال وسجل المنتجات'!$C$5:$C$590,$I169))</f>
        <v/>
      </c>
      <c r="E169" s="11" t="str">
        <f>IF($I169=0,"",INDEX('إدخال وسجل المنتجات'!$D$5:$D$590,$I169))</f>
        <v/>
      </c>
      <c r="F169" s="2" t="str">
        <f>IF($I169=0,"",INDEX('إدخال وسجل المنتجات'!$G$5:$G$590,$I169))</f>
        <v/>
      </c>
      <c r="G169" s="12"/>
      <c r="H169" s="13"/>
      <c r="I169">
        <f>SUMPRODUCT(('إدخال وسجل المنتجات'!$I$5:$I$590="CHL")*('إدخال وسجل المنتجات'!$M$5:$M$590=166)*(ROW('إدخال وسجل المنتجات'!$I$5:$I$590)-4))</f>
        <v>0</v>
      </c>
      <c r="J169" s="2" t="str">
        <f>IF($I169=0,"",IF($G169="","",$G169*IF(INDEX('إدخال وسجل المنتجات'!$U$5:$U$590,$I169)=0,1,INDEX('إدخال وسجل المنتجات'!$U$5:$U$590,$I169))))</f>
        <v/>
      </c>
    </row>
    <row r="170" spans="1:10" ht="16" x14ac:dyDescent="0.15">
      <c r="A170" s="2" t="str">
        <f>IF($I170=0,"",167)</f>
        <v/>
      </c>
      <c r="B170" s="9" t="str">
        <f>IF($I170=0,"",INDEX('إدخال وسجل المنتجات'!$F$5:$F$590,$I170))</f>
        <v/>
      </c>
      <c r="C170" s="8" t="str">
        <f>IF($I170=0,"",INDEX('إدخال وسجل المنتجات'!$B$5:$B$590,$I170))</f>
        <v/>
      </c>
      <c r="D170" s="10" t="str">
        <f>IF($I170=0,"",INDEX('إدخال وسجل المنتجات'!$C$5:$C$590,$I170))</f>
        <v/>
      </c>
      <c r="E170" s="11" t="str">
        <f>IF($I170=0,"",INDEX('إدخال وسجل المنتجات'!$D$5:$D$590,$I170))</f>
        <v/>
      </c>
      <c r="F170" s="2" t="str">
        <f>IF($I170=0,"",INDEX('إدخال وسجل المنتجات'!$G$5:$G$590,$I170))</f>
        <v/>
      </c>
      <c r="G170" s="12"/>
      <c r="H170" s="13"/>
      <c r="I170">
        <f>SUMPRODUCT(('إدخال وسجل المنتجات'!$I$5:$I$590="CHL")*('إدخال وسجل المنتجات'!$M$5:$M$590=167)*(ROW('إدخال وسجل المنتجات'!$I$5:$I$590)-4))</f>
        <v>0</v>
      </c>
      <c r="J170" s="2" t="str">
        <f>IF($I170=0,"",IF($G170="","",$G170*IF(INDEX('إدخال وسجل المنتجات'!$U$5:$U$590,$I170)=0,1,INDEX('إدخال وسجل المنتجات'!$U$5:$U$590,$I170))))</f>
        <v/>
      </c>
    </row>
    <row r="171" spans="1:10" ht="16" x14ac:dyDescent="0.15">
      <c r="A171" s="2" t="str">
        <f>IF($I171=0,"",168)</f>
        <v/>
      </c>
      <c r="B171" s="9" t="str">
        <f>IF($I171=0,"",INDEX('إدخال وسجل المنتجات'!$F$5:$F$590,$I171))</f>
        <v/>
      </c>
      <c r="C171" s="8" t="str">
        <f>IF($I171=0,"",INDEX('إدخال وسجل المنتجات'!$B$5:$B$590,$I171))</f>
        <v/>
      </c>
      <c r="D171" s="10" t="str">
        <f>IF($I171=0,"",INDEX('إدخال وسجل المنتجات'!$C$5:$C$590,$I171))</f>
        <v/>
      </c>
      <c r="E171" s="11" t="str">
        <f>IF($I171=0,"",INDEX('إدخال وسجل المنتجات'!$D$5:$D$590,$I171))</f>
        <v/>
      </c>
      <c r="F171" s="2" t="str">
        <f>IF($I171=0,"",INDEX('إدخال وسجل المنتجات'!$G$5:$G$590,$I171))</f>
        <v/>
      </c>
      <c r="G171" s="12"/>
      <c r="H171" s="13"/>
      <c r="I171">
        <f>SUMPRODUCT(('إدخال وسجل المنتجات'!$I$5:$I$590="CHL")*('إدخال وسجل المنتجات'!$M$5:$M$590=168)*(ROW('إدخال وسجل المنتجات'!$I$5:$I$590)-4))</f>
        <v>0</v>
      </c>
      <c r="J171" s="2" t="str">
        <f>IF($I171=0,"",IF($G171="","",$G171*IF(INDEX('إدخال وسجل المنتجات'!$U$5:$U$590,$I171)=0,1,INDEX('إدخال وسجل المنتجات'!$U$5:$U$590,$I171))))</f>
        <v/>
      </c>
    </row>
    <row r="172" spans="1:10" ht="16" x14ac:dyDescent="0.15">
      <c r="A172" s="2" t="str">
        <f>IF($I172=0,"",169)</f>
        <v/>
      </c>
      <c r="B172" s="9" t="str">
        <f>IF($I172=0,"",INDEX('إدخال وسجل المنتجات'!$F$5:$F$590,$I172))</f>
        <v/>
      </c>
      <c r="C172" s="8" t="str">
        <f>IF($I172=0,"",INDEX('إدخال وسجل المنتجات'!$B$5:$B$590,$I172))</f>
        <v/>
      </c>
      <c r="D172" s="10" t="str">
        <f>IF($I172=0,"",INDEX('إدخال وسجل المنتجات'!$C$5:$C$590,$I172))</f>
        <v/>
      </c>
      <c r="E172" s="11" t="str">
        <f>IF($I172=0,"",INDEX('إدخال وسجل المنتجات'!$D$5:$D$590,$I172))</f>
        <v/>
      </c>
      <c r="F172" s="2" t="str">
        <f>IF($I172=0,"",INDEX('إدخال وسجل المنتجات'!$G$5:$G$590,$I172))</f>
        <v/>
      </c>
      <c r="G172" s="12"/>
      <c r="H172" s="13"/>
      <c r="I172">
        <f>SUMPRODUCT(('إدخال وسجل المنتجات'!$I$5:$I$590="CHL")*('إدخال وسجل المنتجات'!$M$5:$M$590=169)*(ROW('إدخال وسجل المنتجات'!$I$5:$I$590)-4))</f>
        <v>0</v>
      </c>
      <c r="J172" s="2" t="str">
        <f>IF($I172=0,"",IF($G172="","",$G172*IF(INDEX('إدخال وسجل المنتجات'!$U$5:$U$590,$I172)=0,1,INDEX('إدخال وسجل المنتجات'!$U$5:$U$590,$I172))))</f>
        <v/>
      </c>
    </row>
    <row r="173" spans="1:10" ht="16" x14ac:dyDescent="0.15">
      <c r="A173" s="2" t="str">
        <f>IF($I173=0,"",170)</f>
        <v/>
      </c>
      <c r="B173" s="9" t="str">
        <f>IF($I173=0,"",INDEX('إدخال وسجل المنتجات'!$F$5:$F$590,$I173))</f>
        <v/>
      </c>
      <c r="C173" s="8" t="str">
        <f>IF($I173=0,"",INDEX('إدخال وسجل المنتجات'!$B$5:$B$590,$I173))</f>
        <v/>
      </c>
      <c r="D173" s="10" t="str">
        <f>IF($I173=0,"",INDEX('إدخال وسجل المنتجات'!$C$5:$C$590,$I173))</f>
        <v/>
      </c>
      <c r="E173" s="11" t="str">
        <f>IF($I173=0,"",INDEX('إدخال وسجل المنتجات'!$D$5:$D$590,$I173))</f>
        <v/>
      </c>
      <c r="F173" s="2" t="str">
        <f>IF($I173=0,"",INDEX('إدخال وسجل المنتجات'!$G$5:$G$590,$I173))</f>
        <v/>
      </c>
      <c r="G173" s="12"/>
      <c r="H173" s="13"/>
      <c r="I173">
        <f>SUMPRODUCT(('إدخال وسجل المنتجات'!$I$5:$I$590="CHL")*('إدخال وسجل المنتجات'!$M$5:$M$590=170)*(ROW('إدخال وسجل المنتجات'!$I$5:$I$590)-4))</f>
        <v>0</v>
      </c>
      <c r="J173" s="2" t="str">
        <f>IF($I173=0,"",IF($G173="","",$G173*IF(INDEX('إدخال وسجل المنتجات'!$U$5:$U$590,$I173)=0,1,INDEX('إدخال وسجل المنتجات'!$U$5:$U$590,$I173))))</f>
        <v/>
      </c>
    </row>
    <row r="174" spans="1:10" ht="16" x14ac:dyDescent="0.15">
      <c r="A174" s="2" t="str">
        <f>IF($I174=0,"",171)</f>
        <v/>
      </c>
      <c r="B174" s="9" t="str">
        <f>IF($I174=0,"",INDEX('إدخال وسجل المنتجات'!$F$5:$F$590,$I174))</f>
        <v/>
      </c>
      <c r="C174" s="8" t="str">
        <f>IF($I174=0,"",INDEX('إدخال وسجل المنتجات'!$B$5:$B$590,$I174))</f>
        <v/>
      </c>
      <c r="D174" s="10" t="str">
        <f>IF($I174=0,"",INDEX('إدخال وسجل المنتجات'!$C$5:$C$590,$I174))</f>
        <v/>
      </c>
      <c r="E174" s="11" t="str">
        <f>IF($I174=0,"",INDEX('إدخال وسجل المنتجات'!$D$5:$D$590,$I174))</f>
        <v/>
      </c>
      <c r="F174" s="2" t="str">
        <f>IF($I174=0,"",INDEX('إدخال وسجل المنتجات'!$G$5:$G$590,$I174))</f>
        <v/>
      </c>
      <c r="G174" s="12"/>
      <c r="H174" s="13"/>
      <c r="I174">
        <f>SUMPRODUCT(('إدخال وسجل المنتجات'!$I$5:$I$590="CHL")*('إدخال وسجل المنتجات'!$M$5:$M$590=171)*(ROW('إدخال وسجل المنتجات'!$I$5:$I$590)-4))</f>
        <v>0</v>
      </c>
      <c r="J174" s="2" t="str">
        <f>IF($I174=0,"",IF($G174="","",$G174*IF(INDEX('إدخال وسجل المنتجات'!$U$5:$U$590,$I174)=0,1,INDEX('إدخال وسجل المنتجات'!$U$5:$U$590,$I174))))</f>
        <v/>
      </c>
    </row>
    <row r="175" spans="1:10" ht="16" x14ac:dyDescent="0.15">
      <c r="A175" s="2" t="str">
        <f>IF($I175=0,"",172)</f>
        <v/>
      </c>
      <c r="B175" s="9" t="str">
        <f>IF($I175=0,"",INDEX('إدخال وسجل المنتجات'!$F$5:$F$590,$I175))</f>
        <v/>
      </c>
      <c r="C175" s="8" t="str">
        <f>IF($I175=0,"",INDEX('إدخال وسجل المنتجات'!$B$5:$B$590,$I175))</f>
        <v/>
      </c>
      <c r="D175" s="10" t="str">
        <f>IF($I175=0,"",INDEX('إدخال وسجل المنتجات'!$C$5:$C$590,$I175))</f>
        <v/>
      </c>
      <c r="E175" s="11" t="str">
        <f>IF($I175=0,"",INDEX('إدخال وسجل المنتجات'!$D$5:$D$590,$I175))</f>
        <v/>
      </c>
      <c r="F175" s="2" t="str">
        <f>IF($I175=0,"",INDEX('إدخال وسجل المنتجات'!$G$5:$G$590,$I175))</f>
        <v/>
      </c>
      <c r="G175" s="12"/>
      <c r="H175" s="13"/>
      <c r="I175">
        <f>SUMPRODUCT(('إدخال وسجل المنتجات'!$I$5:$I$590="CHL")*('إدخال وسجل المنتجات'!$M$5:$M$590=172)*(ROW('إدخال وسجل المنتجات'!$I$5:$I$590)-4))</f>
        <v>0</v>
      </c>
      <c r="J175" s="2" t="str">
        <f>IF($I175=0,"",IF($G175="","",$G175*IF(INDEX('إدخال وسجل المنتجات'!$U$5:$U$590,$I175)=0,1,INDEX('إدخال وسجل المنتجات'!$U$5:$U$590,$I175))))</f>
        <v/>
      </c>
    </row>
    <row r="176" spans="1:10" ht="16" x14ac:dyDescent="0.15">
      <c r="A176" s="2" t="str">
        <f>IF($I176=0,"",173)</f>
        <v/>
      </c>
      <c r="B176" s="9" t="str">
        <f>IF($I176=0,"",INDEX('إدخال وسجل المنتجات'!$F$5:$F$590,$I176))</f>
        <v/>
      </c>
      <c r="C176" s="8" t="str">
        <f>IF($I176=0,"",INDEX('إدخال وسجل المنتجات'!$B$5:$B$590,$I176))</f>
        <v/>
      </c>
      <c r="D176" s="10" t="str">
        <f>IF($I176=0,"",INDEX('إدخال وسجل المنتجات'!$C$5:$C$590,$I176))</f>
        <v/>
      </c>
      <c r="E176" s="11" t="str">
        <f>IF($I176=0,"",INDEX('إدخال وسجل المنتجات'!$D$5:$D$590,$I176))</f>
        <v/>
      </c>
      <c r="F176" s="2" t="str">
        <f>IF($I176=0,"",INDEX('إدخال وسجل المنتجات'!$G$5:$G$590,$I176))</f>
        <v/>
      </c>
      <c r="G176" s="12"/>
      <c r="H176" s="13"/>
      <c r="I176">
        <f>SUMPRODUCT(('إدخال وسجل المنتجات'!$I$5:$I$590="CHL")*('إدخال وسجل المنتجات'!$M$5:$M$590=173)*(ROW('إدخال وسجل المنتجات'!$I$5:$I$590)-4))</f>
        <v>0</v>
      </c>
      <c r="J176" s="2" t="str">
        <f>IF($I176=0,"",IF($G176="","",$G176*IF(INDEX('إدخال وسجل المنتجات'!$U$5:$U$590,$I176)=0,1,INDEX('إدخال وسجل المنتجات'!$U$5:$U$590,$I176))))</f>
        <v/>
      </c>
    </row>
    <row r="177" spans="1:10" ht="16" x14ac:dyDescent="0.15">
      <c r="A177" s="2" t="str">
        <f>IF($I177=0,"",174)</f>
        <v/>
      </c>
      <c r="B177" s="9" t="str">
        <f>IF($I177=0,"",INDEX('إدخال وسجل المنتجات'!$F$5:$F$590,$I177))</f>
        <v/>
      </c>
      <c r="C177" s="8" t="str">
        <f>IF($I177=0,"",INDEX('إدخال وسجل المنتجات'!$B$5:$B$590,$I177))</f>
        <v/>
      </c>
      <c r="D177" s="10" t="str">
        <f>IF($I177=0,"",INDEX('إدخال وسجل المنتجات'!$C$5:$C$590,$I177))</f>
        <v/>
      </c>
      <c r="E177" s="11" t="str">
        <f>IF($I177=0,"",INDEX('إدخال وسجل المنتجات'!$D$5:$D$590,$I177))</f>
        <v/>
      </c>
      <c r="F177" s="2" t="str">
        <f>IF($I177=0,"",INDEX('إدخال وسجل المنتجات'!$G$5:$G$590,$I177))</f>
        <v/>
      </c>
      <c r="G177" s="12"/>
      <c r="H177" s="13"/>
      <c r="I177">
        <f>SUMPRODUCT(('إدخال وسجل المنتجات'!$I$5:$I$590="CHL")*('إدخال وسجل المنتجات'!$M$5:$M$590=174)*(ROW('إدخال وسجل المنتجات'!$I$5:$I$590)-4))</f>
        <v>0</v>
      </c>
      <c r="J177" s="2" t="str">
        <f>IF($I177=0,"",IF($G177="","",$G177*IF(INDEX('إدخال وسجل المنتجات'!$U$5:$U$590,$I177)=0,1,INDEX('إدخال وسجل المنتجات'!$U$5:$U$590,$I177))))</f>
        <v/>
      </c>
    </row>
    <row r="178" spans="1:10" ht="16" x14ac:dyDescent="0.15">
      <c r="A178" s="2" t="str">
        <f>IF($I178=0,"",175)</f>
        <v/>
      </c>
      <c r="B178" s="9" t="str">
        <f>IF($I178=0,"",INDEX('إدخال وسجل المنتجات'!$F$5:$F$590,$I178))</f>
        <v/>
      </c>
      <c r="C178" s="8" t="str">
        <f>IF($I178=0,"",INDEX('إدخال وسجل المنتجات'!$B$5:$B$590,$I178))</f>
        <v/>
      </c>
      <c r="D178" s="10" t="str">
        <f>IF($I178=0,"",INDEX('إدخال وسجل المنتجات'!$C$5:$C$590,$I178))</f>
        <v/>
      </c>
      <c r="E178" s="11" t="str">
        <f>IF($I178=0,"",INDEX('إدخال وسجل المنتجات'!$D$5:$D$590,$I178))</f>
        <v/>
      </c>
      <c r="F178" s="2" t="str">
        <f>IF($I178=0,"",INDEX('إدخال وسجل المنتجات'!$G$5:$G$590,$I178))</f>
        <v/>
      </c>
      <c r="G178" s="12"/>
      <c r="H178" s="13"/>
      <c r="I178">
        <f>SUMPRODUCT(('إدخال وسجل المنتجات'!$I$5:$I$590="CHL")*('إدخال وسجل المنتجات'!$M$5:$M$590=175)*(ROW('إدخال وسجل المنتجات'!$I$5:$I$590)-4))</f>
        <v>0</v>
      </c>
      <c r="J178" s="2" t="str">
        <f>IF($I178=0,"",IF($G178="","",$G178*IF(INDEX('إدخال وسجل المنتجات'!$U$5:$U$590,$I178)=0,1,INDEX('إدخال وسجل المنتجات'!$U$5:$U$590,$I178))))</f>
        <v/>
      </c>
    </row>
    <row r="179" spans="1:10" ht="16" x14ac:dyDescent="0.15">
      <c r="A179" s="2" t="str">
        <f>IF($I179=0,"",176)</f>
        <v/>
      </c>
      <c r="B179" s="9" t="str">
        <f>IF($I179=0,"",INDEX('إدخال وسجل المنتجات'!$F$5:$F$590,$I179))</f>
        <v/>
      </c>
      <c r="C179" s="8" t="str">
        <f>IF($I179=0,"",INDEX('إدخال وسجل المنتجات'!$B$5:$B$590,$I179))</f>
        <v/>
      </c>
      <c r="D179" s="10" t="str">
        <f>IF($I179=0,"",INDEX('إدخال وسجل المنتجات'!$C$5:$C$590,$I179))</f>
        <v/>
      </c>
      <c r="E179" s="11" t="str">
        <f>IF($I179=0,"",INDEX('إدخال وسجل المنتجات'!$D$5:$D$590,$I179))</f>
        <v/>
      </c>
      <c r="F179" s="2" t="str">
        <f>IF($I179=0,"",INDEX('إدخال وسجل المنتجات'!$G$5:$G$590,$I179))</f>
        <v/>
      </c>
      <c r="G179" s="12"/>
      <c r="H179" s="13"/>
      <c r="I179">
        <f>SUMPRODUCT(('إدخال وسجل المنتجات'!$I$5:$I$590="CHL")*('إدخال وسجل المنتجات'!$M$5:$M$590=176)*(ROW('إدخال وسجل المنتجات'!$I$5:$I$590)-4))</f>
        <v>0</v>
      </c>
      <c r="J179" s="2" t="str">
        <f>IF($I179=0,"",IF($G179="","",$G179*IF(INDEX('إدخال وسجل المنتجات'!$U$5:$U$590,$I179)=0,1,INDEX('إدخال وسجل المنتجات'!$U$5:$U$590,$I179))))</f>
        <v/>
      </c>
    </row>
    <row r="180" spans="1:10" ht="16" x14ac:dyDescent="0.15">
      <c r="A180" s="2" t="str">
        <f>IF($I180=0,"",177)</f>
        <v/>
      </c>
      <c r="B180" s="9" t="str">
        <f>IF($I180=0,"",INDEX('إدخال وسجل المنتجات'!$F$5:$F$590,$I180))</f>
        <v/>
      </c>
      <c r="C180" s="8" t="str">
        <f>IF($I180=0,"",INDEX('إدخال وسجل المنتجات'!$B$5:$B$590,$I180))</f>
        <v/>
      </c>
      <c r="D180" s="10" t="str">
        <f>IF($I180=0,"",INDEX('إدخال وسجل المنتجات'!$C$5:$C$590,$I180))</f>
        <v/>
      </c>
      <c r="E180" s="11" t="str">
        <f>IF($I180=0,"",INDEX('إدخال وسجل المنتجات'!$D$5:$D$590,$I180))</f>
        <v/>
      </c>
      <c r="F180" s="2" t="str">
        <f>IF($I180=0,"",INDEX('إدخال وسجل المنتجات'!$G$5:$G$590,$I180))</f>
        <v/>
      </c>
      <c r="G180" s="12"/>
      <c r="H180" s="13"/>
      <c r="I180">
        <f>SUMPRODUCT(('إدخال وسجل المنتجات'!$I$5:$I$590="CHL")*('إدخال وسجل المنتجات'!$M$5:$M$590=177)*(ROW('إدخال وسجل المنتجات'!$I$5:$I$590)-4))</f>
        <v>0</v>
      </c>
      <c r="J180" s="2" t="str">
        <f>IF($I180=0,"",IF($G180="","",$G180*IF(INDEX('إدخال وسجل المنتجات'!$U$5:$U$590,$I180)=0,1,INDEX('إدخال وسجل المنتجات'!$U$5:$U$590,$I180))))</f>
        <v/>
      </c>
    </row>
    <row r="181" spans="1:10" ht="16" x14ac:dyDescent="0.15">
      <c r="A181" s="2" t="str">
        <f>IF($I181=0,"",178)</f>
        <v/>
      </c>
      <c r="B181" s="9" t="str">
        <f>IF($I181=0,"",INDEX('إدخال وسجل المنتجات'!$F$5:$F$590,$I181))</f>
        <v/>
      </c>
      <c r="C181" s="8" t="str">
        <f>IF($I181=0,"",INDEX('إدخال وسجل المنتجات'!$B$5:$B$590,$I181))</f>
        <v/>
      </c>
      <c r="D181" s="10" t="str">
        <f>IF($I181=0,"",INDEX('إدخال وسجل المنتجات'!$C$5:$C$590,$I181))</f>
        <v/>
      </c>
      <c r="E181" s="11" t="str">
        <f>IF($I181=0,"",INDEX('إدخال وسجل المنتجات'!$D$5:$D$590,$I181))</f>
        <v/>
      </c>
      <c r="F181" s="2" t="str">
        <f>IF($I181=0,"",INDEX('إدخال وسجل المنتجات'!$G$5:$G$590,$I181))</f>
        <v/>
      </c>
      <c r="G181" s="12"/>
      <c r="H181" s="13"/>
      <c r="I181">
        <f>SUMPRODUCT(('إدخال وسجل المنتجات'!$I$5:$I$590="CHL")*('إدخال وسجل المنتجات'!$M$5:$M$590=178)*(ROW('إدخال وسجل المنتجات'!$I$5:$I$590)-4))</f>
        <v>0</v>
      </c>
      <c r="J181" s="2" t="str">
        <f>IF($I181=0,"",IF($G181="","",$G181*IF(INDEX('إدخال وسجل المنتجات'!$U$5:$U$590,$I181)=0,1,INDEX('إدخال وسجل المنتجات'!$U$5:$U$590,$I181))))</f>
        <v/>
      </c>
    </row>
    <row r="182" spans="1:10" ht="16" x14ac:dyDescent="0.15">
      <c r="A182" s="2" t="str">
        <f>IF($I182=0,"",179)</f>
        <v/>
      </c>
      <c r="B182" s="9" t="str">
        <f>IF($I182=0,"",INDEX('إدخال وسجل المنتجات'!$F$5:$F$590,$I182))</f>
        <v/>
      </c>
      <c r="C182" s="8" t="str">
        <f>IF($I182=0,"",INDEX('إدخال وسجل المنتجات'!$B$5:$B$590,$I182))</f>
        <v/>
      </c>
      <c r="D182" s="10" t="str">
        <f>IF($I182=0,"",INDEX('إدخال وسجل المنتجات'!$C$5:$C$590,$I182))</f>
        <v/>
      </c>
      <c r="E182" s="11" t="str">
        <f>IF($I182=0,"",INDEX('إدخال وسجل المنتجات'!$D$5:$D$590,$I182))</f>
        <v/>
      </c>
      <c r="F182" s="2" t="str">
        <f>IF($I182=0,"",INDEX('إدخال وسجل المنتجات'!$G$5:$G$590,$I182))</f>
        <v/>
      </c>
      <c r="G182" s="12"/>
      <c r="H182" s="13"/>
      <c r="I182">
        <f>SUMPRODUCT(('إدخال وسجل المنتجات'!$I$5:$I$590="CHL")*('إدخال وسجل المنتجات'!$M$5:$M$590=179)*(ROW('إدخال وسجل المنتجات'!$I$5:$I$590)-4))</f>
        <v>0</v>
      </c>
      <c r="J182" s="2" t="str">
        <f>IF($I182=0,"",IF($G182="","",$G182*IF(INDEX('إدخال وسجل المنتجات'!$U$5:$U$590,$I182)=0,1,INDEX('إدخال وسجل المنتجات'!$U$5:$U$590,$I182))))</f>
        <v/>
      </c>
    </row>
    <row r="183" spans="1:10" ht="16" x14ac:dyDescent="0.15">
      <c r="A183" s="2" t="str">
        <f>IF($I183=0,"",180)</f>
        <v/>
      </c>
      <c r="B183" s="9" t="str">
        <f>IF($I183=0,"",INDEX('إدخال وسجل المنتجات'!$F$5:$F$590,$I183))</f>
        <v/>
      </c>
      <c r="C183" s="8" t="str">
        <f>IF($I183=0,"",INDEX('إدخال وسجل المنتجات'!$B$5:$B$590,$I183))</f>
        <v/>
      </c>
      <c r="D183" s="10" t="str">
        <f>IF($I183=0,"",INDEX('إدخال وسجل المنتجات'!$C$5:$C$590,$I183))</f>
        <v/>
      </c>
      <c r="E183" s="11" t="str">
        <f>IF($I183=0,"",INDEX('إدخال وسجل المنتجات'!$D$5:$D$590,$I183))</f>
        <v/>
      </c>
      <c r="F183" s="2" t="str">
        <f>IF($I183=0,"",INDEX('إدخال وسجل المنتجات'!$G$5:$G$590,$I183))</f>
        <v/>
      </c>
      <c r="G183" s="12"/>
      <c r="H183" s="13"/>
      <c r="I183">
        <f>SUMPRODUCT(('إدخال وسجل المنتجات'!$I$5:$I$590="CHL")*('إدخال وسجل المنتجات'!$M$5:$M$590=180)*(ROW('إدخال وسجل المنتجات'!$I$5:$I$590)-4))</f>
        <v>0</v>
      </c>
      <c r="J183" s="2" t="str">
        <f>IF($I183=0,"",IF($G183="","",$G183*IF(INDEX('إدخال وسجل المنتجات'!$U$5:$U$590,$I183)=0,1,INDEX('إدخال وسجل المنتجات'!$U$5:$U$590,$I183))))</f>
        <v/>
      </c>
    </row>
    <row r="184" spans="1:10" ht="16" x14ac:dyDescent="0.15">
      <c r="A184" s="2" t="str">
        <f>IF($I184=0,"",181)</f>
        <v/>
      </c>
      <c r="B184" s="9" t="str">
        <f>IF($I184=0,"",INDEX('إدخال وسجل المنتجات'!$F$5:$F$590,$I184))</f>
        <v/>
      </c>
      <c r="C184" s="8" t="str">
        <f>IF($I184=0,"",INDEX('إدخال وسجل المنتجات'!$B$5:$B$590,$I184))</f>
        <v/>
      </c>
      <c r="D184" s="10" t="str">
        <f>IF($I184=0,"",INDEX('إدخال وسجل المنتجات'!$C$5:$C$590,$I184))</f>
        <v/>
      </c>
      <c r="E184" s="11" t="str">
        <f>IF($I184=0,"",INDEX('إدخال وسجل المنتجات'!$D$5:$D$590,$I184))</f>
        <v/>
      </c>
      <c r="F184" s="2" t="str">
        <f>IF($I184=0,"",INDEX('إدخال وسجل المنتجات'!$G$5:$G$590,$I184))</f>
        <v/>
      </c>
      <c r="G184" s="12"/>
      <c r="H184" s="13"/>
      <c r="I184">
        <f>SUMPRODUCT(('إدخال وسجل المنتجات'!$I$5:$I$590="CHL")*('إدخال وسجل المنتجات'!$M$5:$M$590=181)*(ROW('إدخال وسجل المنتجات'!$I$5:$I$590)-4))</f>
        <v>0</v>
      </c>
      <c r="J184" s="2" t="str">
        <f>IF($I184=0,"",IF($G184="","",$G184*IF(INDEX('إدخال وسجل المنتجات'!$U$5:$U$590,$I184)=0,1,INDEX('إدخال وسجل المنتجات'!$U$5:$U$590,$I184))))</f>
        <v/>
      </c>
    </row>
    <row r="185" spans="1:10" ht="16" x14ac:dyDescent="0.15">
      <c r="A185" s="2" t="str">
        <f>IF($I185=0,"",182)</f>
        <v/>
      </c>
      <c r="B185" s="9" t="str">
        <f>IF($I185=0,"",INDEX('إدخال وسجل المنتجات'!$F$5:$F$590,$I185))</f>
        <v/>
      </c>
      <c r="C185" s="8" t="str">
        <f>IF($I185=0,"",INDEX('إدخال وسجل المنتجات'!$B$5:$B$590,$I185))</f>
        <v/>
      </c>
      <c r="D185" s="10" t="str">
        <f>IF($I185=0,"",INDEX('إدخال وسجل المنتجات'!$C$5:$C$590,$I185))</f>
        <v/>
      </c>
      <c r="E185" s="11" t="str">
        <f>IF($I185=0,"",INDEX('إدخال وسجل المنتجات'!$D$5:$D$590,$I185))</f>
        <v/>
      </c>
      <c r="F185" s="2" t="str">
        <f>IF($I185=0,"",INDEX('إدخال وسجل المنتجات'!$G$5:$G$590,$I185))</f>
        <v/>
      </c>
      <c r="G185" s="12"/>
      <c r="H185" s="13"/>
      <c r="I185">
        <f>SUMPRODUCT(('إدخال وسجل المنتجات'!$I$5:$I$590="CHL")*('إدخال وسجل المنتجات'!$M$5:$M$590=182)*(ROW('إدخال وسجل المنتجات'!$I$5:$I$590)-4))</f>
        <v>0</v>
      </c>
      <c r="J185" s="2" t="str">
        <f>IF($I185=0,"",IF($G185="","",$G185*IF(INDEX('إدخال وسجل المنتجات'!$U$5:$U$590,$I185)=0,1,INDEX('إدخال وسجل المنتجات'!$U$5:$U$590,$I185))))</f>
        <v/>
      </c>
    </row>
    <row r="186" spans="1:10" ht="16" x14ac:dyDescent="0.15">
      <c r="A186" s="2" t="str">
        <f>IF($I186=0,"",183)</f>
        <v/>
      </c>
      <c r="B186" s="9" t="str">
        <f>IF($I186=0,"",INDEX('إدخال وسجل المنتجات'!$F$5:$F$590,$I186))</f>
        <v/>
      </c>
      <c r="C186" s="8" t="str">
        <f>IF($I186=0,"",INDEX('إدخال وسجل المنتجات'!$B$5:$B$590,$I186))</f>
        <v/>
      </c>
      <c r="D186" s="10" t="str">
        <f>IF($I186=0,"",INDEX('إدخال وسجل المنتجات'!$C$5:$C$590,$I186))</f>
        <v/>
      </c>
      <c r="E186" s="11" t="str">
        <f>IF($I186=0,"",INDEX('إدخال وسجل المنتجات'!$D$5:$D$590,$I186))</f>
        <v/>
      </c>
      <c r="F186" s="2" t="str">
        <f>IF($I186=0,"",INDEX('إدخال وسجل المنتجات'!$G$5:$G$590,$I186))</f>
        <v/>
      </c>
      <c r="G186" s="12"/>
      <c r="H186" s="13"/>
      <c r="I186">
        <f>SUMPRODUCT(('إدخال وسجل المنتجات'!$I$5:$I$590="CHL")*('إدخال وسجل المنتجات'!$M$5:$M$590=183)*(ROW('إدخال وسجل المنتجات'!$I$5:$I$590)-4))</f>
        <v>0</v>
      </c>
      <c r="J186" s="2" t="str">
        <f>IF($I186=0,"",IF($G186="","",$G186*IF(INDEX('إدخال وسجل المنتجات'!$U$5:$U$590,$I186)=0,1,INDEX('إدخال وسجل المنتجات'!$U$5:$U$590,$I186))))</f>
        <v/>
      </c>
    </row>
    <row r="187" spans="1:10" ht="16" x14ac:dyDescent="0.15">
      <c r="A187" s="2" t="str">
        <f>IF($I187=0,"",184)</f>
        <v/>
      </c>
      <c r="B187" s="9" t="str">
        <f>IF($I187=0,"",INDEX('إدخال وسجل المنتجات'!$F$5:$F$590,$I187))</f>
        <v/>
      </c>
      <c r="C187" s="8" t="str">
        <f>IF($I187=0,"",INDEX('إدخال وسجل المنتجات'!$B$5:$B$590,$I187))</f>
        <v/>
      </c>
      <c r="D187" s="10" t="str">
        <f>IF($I187=0,"",INDEX('إدخال وسجل المنتجات'!$C$5:$C$590,$I187))</f>
        <v/>
      </c>
      <c r="E187" s="11" t="str">
        <f>IF($I187=0,"",INDEX('إدخال وسجل المنتجات'!$D$5:$D$590,$I187))</f>
        <v/>
      </c>
      <c r="F187" s="2" t="str">
        <f>IF($I187=0,"",INDEX('إدخال وسجل المنتجات'!$G$5:$G$590,$I187))</f>
        <v/>
      </c>
      <c r="G187" s="12"/>
      <c r="H187" s="13"/>
      <c r="I187">
        <f>SUMPRODUCT(('إدخال وسجل المنتجات'!$I$5:$I$590="CHL")*('إدخال وسجل المنتجات'!$M$5:$M$590=184)*(ROW('إدخال وسجل المنتجات'!$I$5:$I$590)-4))</f>
        <v>0</v>
      </c>
      <c r="J187" s="2" t="str">
        <f>IF($I187=0,"",IF($G187="","",$G187*IF(INDEX('إدخال وسجل المنتجات'!$U$5:$U$590,$I187)=0,1,INDEX('إدخال وسجل المنتجات'!$U$5:$U$590,$I187))))</f>
        <v/>
      </c>
    </row>
    <row r="188" spans="1:10" ht="16" x14ac:dyDescent="0.15">
      <c r="A188" s="2" t="str">
        <f>IF($I188=0,"",185)</f>
        <v/>
      </c>
      <c r="B188" s="9" t="str">
        <f>IF($I188=0,"",INDEX('إدخال وسجل المنتجات'!$F$5:$F$590,$I188))</f>
        <v/>
      </c>
      <c r="C188" s="8" t="str">
        <f>IF($I188=0,"",INDEX('إدخال وسجل المنتجات'!$B$5:$B$590,$I188))</f>
        <v/>
      </c>
      <c r="D188" s="10" t="str">
        <f>IF($I188=0,"",INDEX('إدخال وسجل المنتجات'!$C$5:$C$590,$I188))</f>
        <v/>
      </c>
      <c r="E188" s="11" t="str">
        <f>IF($I188=0,"",INDEX('إدخال وسجل المنتجات'!$D$5:$D$590,$I188))</f>
        <v/>
      </c>
      <c r="F188" s="2" t="str">
        <f>IF($I188=0,"",INDEX('إدخال وسجل المنتجات'!$G$5:$G$590,$I188))</f>
        <v/>
      </c>
      <c r="G188" s="12"/>
      <c r="H188" s="13"/>
      <c r="I188">
        <f>SUMPRODUCT(('إدخال وسجل المنتجات'!$I$5:$I$590="CHL")*('إدخال وسجل المنتجات'!$M$5:$M$590=185)*(ROW('إدخال وسجل المنتجات'!$I$5:$I$590)-4))</f>
        <v>0</v>
      </c>
      <c r="J188" s="2" t="str">
        <f>IF($I188=0,"",IF($G188="","",$G188*IF(INDEX('إدخال وسجل المنتجات'!$U$5:$U$590,$I188)=0,1,INDEX('إدخال وسجل المنتجات'!$U$5:$U$590,$I188))))</f>
        <v/>
      </c>
    </row>
    <row r="189" spans="1:10" ht="16" x14ac:dyDescent="0.15">
      <c r="A189" s="2" t="str">
        <f>IF($I189=0,"",186)</f>
        <v/>
      </c>
      <c r="B189" s="9" t="str">
        <f>IF($I189=0,"",INDEX('إدخال وسجل المنتجات'!$F$5:$F$590,$I189))</f>
        <v/>
      </c>
      <c r="C189" s="8" t="str">
        <f>IF($I189=0,"",INDEX('إدخال وسجل المنتجات'!$B$5:$B$590,$I189))</f>
        <v/>
      </c>
      <c r="D189" s="10" t="str">
        <f>IF($I189=0,"",INDEX('إدخال وسجل المنتجات'!$C$5:$C$590,$I189))</f>
        <v/>
      </c>
      <c r="E189" s="11" t="str">
        <f>IF($I189=0,"",INDEX('إدخال وسجل المنتجات'!$D$5:$D$590,$I189))</f>
        <v/>
      </c>
      <c r="F189" s="2" t="str">
        <f>IF($I189=0,"",INDEX('إدخال وسجل المنتجات'!$G$5:$G$590,$I189))</f>
        <v/>
      </c>
      <c r="G189" s="12"/>
      <c r="H189" s="13"/>
      <c r="I189">
        <f>SUMPRODUCT(('إدخال وسجل المنتجات'!$I$5:$I$590="CHL")*('إدخال وسجل المنتجات'!$M$5:$M$590=186)*(ROW('إدخال وسجل المنتجات'!$I$5:$I$590)-4))</f>
        <v>0</v>
      </c>
      <c r="J189" s="2" t="str">
        <f>IF($I189=0,"",IF($G189="","",$G189*IF(INDEX('إدخال وسجل المنتجات'!$U$5:$U$590,$I189)=0,1,INDEX('إدخال وسجل المنتجات'!$U$5:$U$590,$I189))))</f>
        <v/>
      </c>
    </row>
    <row r="190" spans="1:10" ht="16" x14ac:dyDescent="0.15">
      <c r="A190" s="2" t="str">
        <f>IF($I190=0,"",187)</f>
        <v/>
      </c>
      <c r="B190" s="9" t="str">
        <f>IF($I190=0,"",INDEX('إدخال وسجل المنتجات'!$F$5:$F$590,$I190))</f>
        <v/>
      </c>
      <c r="C190" s="8" t="str">
        <f>IF($I190=0,"",INDEX('إدخال وسجل المنتجات'!$B$5:$B$590,$I190))</f>
        <v/>
      </c>
      <c r="D190" s="10" t="str">
        <f>IF($I190=0,"",INDEX('إدخال وسجل المنتجات'!$C$5:$C$590,$I190))</f>
        <v/>
      </c>
      <c r="E190" s="11" t="str">
        <f>IF($I190=0,"",INDEX('إدخال وسجل المنتجات'!$D$5:$D$590,$I190))</f>
        <v/>
      </c>
      <c r="F190" s="2" t="str">
        <f>IF($I190=0,"",INDEX('إدخال وسجل المنتجات'!$G$5:$G$590,$I190))</f>
        <v/>
      </c>
      <c r="G190" s="12"/>
      <c r="H190" s="13"/>
      <c r="I190">
        <f>SUMPRODUCT(('إدخال وسجل المنتجات'!$I$5:$I$590="CHL")*('إدخال وسجل المنتجات'!$M$5:$M$590=187)*(ROW('إدخال وسجل المنتجات'!$I$5:$I$590)-4))</f>
        <v>0</v>
      </c>
      <c r="J190" s="2" t="str">
        <f>IF($I190=0,"",IF($G190="","",$G190*IF(INDEX('إدخال وسجل المنتجات'!$U$5:$U$590,$I190)=0,1,INDEX('إدخال وسجل المنتجات'!$U$5:$U$590,$I190))))</f>
        <v/>
      </c>
    </row>
    <row r="191" spans="1:10" ht="16" x14ac:dyDescent="0.15">
      <c r="A191" s="2" t="str">
        <f>IF($I191=0,"",188)</f>
        <v/>
      </c>
      <c r="B191" s="9" t="str">
        <f>IF($I191=0,"",INDEX('إدخال وسجل المنتجات'!$F$5:$F$590,$I191))</f>
        <v/>
      </c>
      <c r="C191" s="8" t="str">
        <f>IF($I191=0,"",INDEX('إدخال وسجل المنتجات'!$B$5:$B$590,$I191))</f>
        <v/>
      </c>
      <c r="D191" s="10" t="str">
        <f>IF($I191=0,"",INDEX('إدخال وسجل المنتجات'!$C$5:$C$590,$I191))</f>
        <v/>
      </c>
      <c r="E191" s="11" t="str">
        <f>IF($I191=0,"",INDEX('إدخال وسجل المنتجات'!$D$5:$D$590,$I191))</f>
        <v/>
      </c>
      <c r="F191" s="2" t="str">
        <f>IF($I191=0,"",INDEX('إدخال وسجل المنتجات'!$G$5:$G$590,$I191))</f>
        <v/>
      </c>
      <c r="G191" s="12"/>
      <c r="H191" s="13"/>
      <c r="I191">
        <f>SUMPRODUCT(('إدخال وسجل المنتجات'!$I$5:$I$590="CHL")*('إدخال وسجل المنتجات'!$M$5:$M$590=188)*(ROW('إدخال وسجل المنتجات'!$I$5:$I$590)-4))</f>
        <v>0</v>
      </c>
      <c r="J191" s="2" t="str">
        <f>IF($I191=0,"",IF($G191="","",$G191*IF(INDEX('إدخال وسجل المنتجات'!$U$5:$U$590,$I191)=0,1,INDEX('إدخال وسجل المنتجات'!$U$5:$U$590,$I191))))</f>
        <v/>
      </c>
    </row>
    <row r="192" spans="1:10" ht="16" x14ac:dyDescent="0.15">
      <c r="A192" s="2" t="str">
        <f>IF($I192=0,"",189)</f>
        <v/>
      </c>
      <c r="B192" s="9" t="str">
        <f>IF($I192=0,"",INDEX('إدخال وسجل المنتجات'!$F$5:$F$590,$I192))</f>
        <v/>
      </c>
      <c r="C192" s="8" t="str">
        <f>IF($I192=0,"",INDEX('إدخال وسجل المنتجات'!$B$5:$B$590,$I192))</f>
        <v/>
      </c>
      <c r="D192" s="10" t="str">
        <f>IF($I192=0,"",INDEX('إدخال وسجل المنتجات'!$C$5:$C$590,$I192))</f>
        <v/>
      </c>
      <c r="E192" s="11" t="str">
        <f>IF($I192=0,"",INDEX('إدخال وسجل المنتجات'!$D$5:$D$590,$I192))</f>
        <v/>
      </c>
      <c r="F192" s="2" t="str">
        <f>IF($I192=0,"",INDEX('إدخال وسجل المنتجات'!$G$5:$G$590,$I192))</f>
        <v/>
      </c>
      <c r="G192" s="12"/>
      <c r="H192" s="13"/>
      <c r="I192">
        <f>SUMPRODUCT(('إدخال وسجل المنتجات'!$I$5:$I$590="CHL")*('إدخال وسجل المنتجات'!$M$5:$M$590=189)*(ROW('إدخال وسجل المنتجات'!$I$5:$I$590)-4))</f>
        <v>0</v>
      </c>
      <c r="J192" s="2" t="str">
        <f>IF($I192=0,"",IF($G192="","",$G192*IF(INDEX('إدخال وسجل المنتجات'!$U$5:$U$590,$I192)=0,1,INDEX('إدخال وسجل المنتجات'!$U$5:$U$590,$I192))))</f>
        <v/>
      </c>
    </row>
    <row r="193" spans="1:10" ht="16" x14ac:dyDescent="0.15">
      <c r="A193" s="2" t="str">
        <f>IF($I193=0,"",190)</f>
        <v/>
      </c>
      <c r="B193" s="9" t="str">
        <f>IF($I193=0,"",INDEX('إدخال وسجل المنتجات'!$F$5:$F$590,$I193))</f>
        <v/>
      </c>
      <c r="C193" s="8" t="str">
        <f>IF($I193=0,"",INDEX('إدخال وسجل المنتجات'!$B$5:$B$590,$I193))</f>
        <v/>
      </c>
      <c r="D193" s="10" t="str">
        <f>IF($I193=0,"",INDEX('إدخال وسجل المنتجات'!$C$5:$C$590,$I193))</f>
        <v/>
      </c>
      <c r="E193" s="11" t="str">
        <f>IF($I193=0,"",INDEX('إدخال وسجل المنتجات'!$D$5:$D$590,$I193))</f>
        <v/>
      </c>
      <c r="F193" s="2" t="str">
        <f>IF($I193=0,"",INDEX('إدخال وسجل المنتجات'!$G$5:$G$590,$I193))</f>
        <v/>
      </c>
      <c r="G193" s="12"/>
      <c r="H193" s="13"/>
      <c r="I193">
        <f>SUMPRODUCT(('إدخال وسجل المنتجات'!$I$5:$I$590="CHL")*('إدخال وسجل المنتجات'!$M$5:$M$590=190)*(ROW('إدخال وسجل المنتجات'!$I$5:$I$590)-4))</f>
        <v>0</v>
      </c>
      <c r="J193" s="2" t="str">
        <f>IF($I193=0,"",IF($G193="","",$G193*IF(INDEX('إدخال وسجل المنتجات'!$U$5:$U$590,$I193)=0,1,INDEX('إدخال وسجل المنتجات'!$U$5:$U$590,$I193))))</f>
        <v/>
      </c>
    </row>
    <row r="194" spans="1:10" ht="16" x14ac:dyDescent="0.15">
      <c r="A194" s="2" t="str">
        <f>IF($I194=0,"",191)</f>
        <v/>
      </c>
      <c r="B194" s="9" t="str">
        <f>IF($I194=0,"",INDEX('إدخال وسجل المنتجات'!$F$5:$F$590,$I194))</f>
        <v/>
      </c>
      <c r="C194" s="8" t="str">
        <f>IF($I194=0,"",INDEX('إدخال وسجل المنتجات'!$B$5:$B$590,$I194))</f>
        <v/>
      </c>
      <c r="D194" s="10" t="str">
        <f>IF($I194=0,"",INDEX('إدخال وسجل المنتجات'!$C$5:$C$590,$I194))</f>
        <v/>
      </c>
      <c r="E194" s="11" t="str">
        <f>IF($I194=0,"",INDEX('إدخال وسجل المنتجات'!$D$5:$D$590,$I194))</f>
        <v/>
      </c>
      <c r="F194" s="2" t="str">
        <f>IF($I194=0,"",INDEX('إدخال وسجل المنتجات'!$G$5:$G$590,$I194))</f>
        <v/>
      </c>
      <c r="G194" s="12"/>
      <c r="H194" s="13"/>
      <c r="I194">
        <f>SUMPRODUCT(('إدخال وسجل المنتجات'!$I$5:$I$590="CHL")*('إدخال وسجل المنتجات'!$M$5:$M$590=191)*(ROW('إدخال وسجل المنتجات'!$I$5:$I$590)-4))</f>
        <v>0</v>
      </c>
      <c r="J194" s="2" t="str">
        <f>IF($I194=0,"",IF($G194="","",$G194*IF(INDEX('إدخال وسجل المنتجات'!$U$5:$U$590,$I194)=0,1,INDEX('إدخال وسجل المنتجات'!$U$5:$U$590,$I194))))</f>
        <v/>
      </c>
    </row>
    <row r="195" spans="1:10" ht="16" x14ac:dyDescent="0.15">
      <c r="A195" s="2" t="str">
        <f>IF($I195=0,"",192)</f>
        <v/>
      </c>
      <c r="B195" s="9" t="str">
        <f>IF($I195=0,"",INDEX('إدخال وسجل المنتجات'!$F$5:$F$590,$I195))</f>
        <v/>
      </c>
      <c r="C195" s="8" t="str">
        <f>IF($I195=0,"",INDEX('إدخال وسجل المنتجات'!$B$5:$B$590,$I195))</f>
        <v/>
      </c>
      <c r="D195" s="10" t="str">
        <f>IF($I195=0,"",INDEX('إدخال وسجل المنتجات'!$C$5:$C$590,$I195))</f>
        <v/>
      </c>
      <c r="E195" s="11" t="str">
        <f>IF($I195=0,"",INDEX('إدخال وسجل المنتجات'!$D$5:$D$590,$I195))</f>
        <v/>
      </c>
      <c r="F195" s="2" t="str">
        <f>IF($I195=0,"",INDEX('إدخال وسجل المنتجات'!$G$5:$G$590,$I195))</f>
        <v/>
      </c>
      <c r="G195" s="12"/>
      <c r="H195" s="13"/>
      <c r="I195">
        <f>SUMPRODUCT(('إدخال وسجل المنتجات'!$I$5:$I$590="CHL")*('إدخال وسجل المنتجات'!$M$5:$M$590=192)*(ROW('إدخال وسجل المنتجات'!$I$5:$I$590)-4))</f>
        <v>0</v>
      </c>
      <c r="J195" s="2" t="str">
        <f>IF($I195=0,"",IF($G195="","",$G195*IF(INDEX('إدخال وسجل المنتجات'!$U$5:$U$590,$I195)=0,1,INDEX('إدخال وسجل المنتجات'!$U$5:$U$590,$I195))))</f>
        <v/>
      </c>
    </row>
    <row r="196" spans="1:10" ht="16" x14ac:dyDescent="0.15">
      <c r="A196" s="2" t="str">
        <f>IF($I196=0,"",193)</f>
        <v/>
      </c>
      <c r="B196" s="9" t="str">
        <f>IF($I196=0,"",INDEX('إدخال وسجل المنتجات'!$F$5:$F$590,$I196))</f>
        <v/>
      </c>
      <c r="C196" s="8" t="str">
        <f>IF($I196=0,"",INDEX('إدخال وسجل المنتجات'!$B$5:$B$590,$I196))</f>
        <v/>
      </c>
      <c r="D196" s="10" t="str">
        <f>IF($I196=0,"",INDEX('إدخال وسجل المنتجات'!$C$5:$C$590,$I196))</f>
        <v/>
      </c>
      <c r="E196" s="11" t="str">
        <f>IF($I196=0,"",INDEX('إدخال وسجل المنتجات'!$D$5:$D$590,$I196))</f>
        <v/>
      </c>
      <c r="F196" s="2" t="str">
        <f>IF($I196=0,"",INDEX('إدخال وسجل المنتجات'!$G$5:$G$590,$I196))</f>
        <v/>
      </c>
      <c r="G196" s="12"/>
      <c r="H196" s="13"/>
      <c r="I196">
        <f>SUMPRODUCT(('إدخال وسجل المنتجات'!$I$5:$I$590="CHL")*('إدخال وسجل المنتجات'!$M$5:$M$590=193)*(ROW('إدخال وسجل المنتجات'!$I$5:$I$590)-4))</f>
        <v>0</v>
      </c>
      <c r="J196" s="2" t="str">
        <f>IF($I196=0,"",IF($G196="","",$G196*IF(INDEX('إدخال وسجل المنتجات'!$U$5:$U$590,$I196)=0,1,INDEX('إدخال وسجل المنتجات'!$U$5:$U$590,$I196))))</f>
        <v/>
      </c>
    </row>
    <row r="197" spans="1:10" ht="16" x14ac:dyDescent="0.15">
      <c r="A197" s="2" t="str">
        <f>IF($I197=0,"",194)</f>
        <v/>
      </c>
      <c r="B197" s="9" t="str">
        <f>IF($I197=0,"",INDEX('إدخال وسجل المنتجات'!$F$5:$F$590,$I197))</f>
        <v/>
      </c>
      <c r="C197" s="8" t="str">
        <f>IF($I197=0,"",INDEX('إدخال وسجل المنتجات'!$B$5:$B$590,$I197))</f>
        <v/>
      </c>
      <c r="D197" s="10" t="str">
        <f>IF($I197=0,"",INDEX('إدخال وسجل المنتجات'!$C$5:$C$590,$I197))</f>
        <v/>
      </c>
      <c r="E197" s="11" t="str">
        <f>IF($I197=0,"",INDEX('إدخال وسجل المنتجات'!$D$5:$D$590,$I197))</f>
        <v/>
      </c>
      <c r="F197" s="2" t="str">
        <f>IF($I197=0,"",INDEX('إدخال وسجل المنتجات'!$G$5:$G$590,$I197))</f>
        <v/>
      </c>
      <c r="G197" s="12"/>
      <c r="H197" s="13"/>
      <c r="I197">
        <f>SUMPRODUCT(('إدخال وسجل المنتجات'!$I$5:$I$590="CHL")*('إدخال وسجل المنتجات'!$M$5:$M$590=194)*(ROW('إدخال وسجل المنتجات'!$I$5:$I$590)-4))</f>
        <v>0</v>
      </c>
      <c r="J197" s="2" t="str">
        <f>IF($I197=0,"",IF($G197="","",$G197*IF(INDEX('إدخال وسجل المنتجات'!$U$5:$U$590,$I197)=0,1,INDEX('إدخال وسجل المنتجات'!$U$5:$U$590,$I197))))</f>
        <v/>
      </c>
    </row>
    <row r="198" spans="1:10" ht="16" x14ac:dyDescent="0.15">
      <c r="A198" s="2" t="str">
        <f>IF($I198=0,"",195)</f>
        <v/>
      </c>
      <c r="B198" s="9" t="str">
        <f>IF($I198=0,"",INDEX('إدخال وسجل المنتجات'!$F$5:$F$590,$I198))</f>
        <v/>
      </c>
      <c r="C198" s="8" t="str">
        <f>IF($I198=0,"",INDEX('إدخال وسجل المنتجات'!$B$5:$B$590,$I198))</f>
        <v/>
      </c>
      <c r="D198" s="10" t="str">
        <f>IF($I198=0,"",INDEX('إدخال وسجل المنتجات'!$C$5:$C$590,$I198))</f>
        <v/>
      </c>
      <c r="E198" s="11" t="str">
        <f>IF($I198=0,"",INDEX('إدخال وسجل المنتجات'!$D$5:$D$590,$I198))</f>
        <v/>
      </c>
      <c r="F198" s="2" t="str">
        <f>IF($I198=0,"",INDEX('إدخال وسجل المنتجات'!$G$5:$G$590,$I198))</f>
        <v/>
      </c>
      <c r="G198" s="12"/>
      <c r="H198" s="13"/>
      <c r="I198">
        <f>SUMPRODUCT(('إدخال وسجل المنتجات'!$I$5:$I$590="CHL")*('إدخال وسجل المنتجات'!$M$5:$M$590=195)*(ROW('إدخال وسجل المنتجات'!$I$5:$I$590)-4))</f>
        <v>0</v>
      </c>
      <c r="J198" s="2" t="str">
        <f>IF($I198=0,"",IF($G198="","",$G198*IF(INDEX('إدخال وسجل المنتجات'!$U$5:$U$590,$I198)=0,1,INDEX('إدخال وسجل المنتجات'!$U$5:$U$590,$I198))))</f>
        <v/>
      </c>
    </row>
    <row r="199" spans="1:10" ht="16" x14ac:dyDescent="0.15">
      <c r="A199" s="2" t="str">
        <f>IF($I199=0,"",196)</f>
        <v/>
      </c>
      <c r="B199" s="9" t="str">
        <f>IF($I199=0,"",INDEX('إدخال وسجل المنتجات'!$F$5:$F$590,$I199))</f>
        <v/>
      </c>
      <c r="C199" s="8" t="str">
        <f>IF($I199=0,"",INDEX('إدخال وسجل المنتجات'!$B$5:$B$590,$I199))</f>
        <v/>
      </c>
      <c r="D199" s="10" t="str">
        <f>IF($I199=0,"",INDEX('إدخال وسجل المنتجات'!$C$5:$C$590,$I199))</f>
        <v/>
      </c>
      <c r="E199" s="11" t="str">
        <f>IF($I199=0,"",INDEX('إدخال وسجل المنتجات'!$D$5:$D$590,$I199))</f>
        <v/>
      </c>
      <c r="F199" s="2" t="str">
        <f>IF($I199=0,"",INDEX('إدخال وسجل المنتجات'!$G$5:$G$590,$I199))</f>
        <v/>
      </c>
      <c r="G199" s="12"/>
      <c r="H199" s="13"/>
      <c r="I199">
        <f>SUMPRODUCT(('إدخال وسجل المنتجات'!$I$5:$I$590="CHL")*('إدخال وسجل المنتجات'!$M$5:$M$590=196)*(ROW('إدخال وسجل المنتجات'!$I$5:$I$590)-4))</f>
        <v>0</v>
      </c>
      <c r="J199" s="2" t="str">
        <f>IF($I199=0,"",IF($G199="","",$G199*IF(INDEX('إدخال وسجل المنتجات'!$U$5:$U$590,$I199)=0,1,INDEX('إدخال وسجل المنتجات'!$U$5:$U$590,$I199))))</f>
        <v/>
      </c>
    </row>
    <row r="200" spans="1:10" ht="16" x14ac:dyDescent="0.15">
      <c r="A200" s="2" t="str">
        <f>IF($I200=0,"",197)</f>
        <v/>
      </c>
      <c r="B200" s="9" t="str">
        <f>IF($I200=0,"",INDEX('إدخال وسجل المنتجات'!$F$5:$F$590,$I200))</f>
        <v/>
      </c>
      <c r="C200" s="8" t="str">
        <f>IF($I200=0,"",INDEX('إدخال وسجل المنتجات'!$B$5:$B$590,$I200))</f>
        <v/>
      </c>
      <c r="D200" s="10" t="str">
        <f>IF($I200=0,"",INDEX('إدخال وسجل المنتجات'!$C$5:$C$590,$I200))</f>
        <v/>
      </c>
      <c r="E200" s="11" t="str">
        <f>IF($I200=0,"",INDEX('إدخال وسجل المنتجات'!$D$5:$D$590,$I200))</f>
        <v/>
      </c>
      <c r="F200" s="2" t="str">
        <f>IF($I200=0,"",INDEX('إدخال وسجل المنتجات'!$G$5:$G$590,$I200))</f>
        <v/>
      </c>
      <c r="G200" s="12"/>
      <c r="H200" s="13"/>
      <c r="I200">
        <f>SUMPRODUCT(('إدخال وسجل المنتجات'!$I$5:$I$590="CHL")*('إدخال وسجل المنتجات'!$M$5:$M$590=197)*(ROW('إدخال وسجل المنتجات'!$I$5:$I$590)-4))</f>
        <v>0</v>
      </c>
      <c r="J200" s="2" t="str">
        <f>IF($I200=0,"",IF($G200="","",$G200*IF(INDEX('إدخال وسجل المنتجات'!$U$5:$U$590,$I200)=0,1,INDEX('إدخال وسجل المنتجات'!$U$5:$U$590,$I200))))</f>
        <v/>
      </c>
    </row>
    <row r="201" spans="1:10" ht="16" x14ac:dyDescent="0.15">
      <c r="A201" s="2" t="str">
        <f>IF($I201=0,"",198)</f>
        <v/>
      </c>
      <c r="B201" s="9" t="str">
        <f>IF($I201=0,"",INDEX('إدخال وسجل المنتجات'!$F$5:$F$590,$I201))</f>
        <v/>
      </c>
      <c r="C201" s="8" t="str">
        <f>IF($I201=0,"",INDEX('إدخال وسجل المنتجات'!$B$5:$B$590,$I201))</f>
        <v/>
      </c>
      <c r="D201" s="10" t="str">
        <f>IF($I201=0,"",INDEX('إدخال وسجل المنتجات'!$C$5:$C$590,$I201))</f>
        <v/>
      </c>
      <c r="E201" s="11" t="str">
        <f>IF($I201=0,"",INDEX('إدخال وسجل المنتجات'!$D$5:$D$590,$I201))</f>
        <v/>
      </c>
      <c r="F201" s="2" t="str">
        <f>IF($I201=0,"",INDEX('إدخال وسجل المنتجات'!$G$5:$G$590,$I201))</f>
        <v/>
      </c>
      <c r="G201" s="12"/>
      <c r="H201" s="13"/>
      <c r="I201">
        <f>SUMPRODUCT(('إدخال وسجل المنتجات'!$I$5:$I$590="CHL")*('إدخال وسجل المنتجات'!$M$5:$M$590=198)*(ROW('إدخال وسجل المنتجات'!$I$5:$I$590)-4))</f>
        <v>0</v>
      </c>
      <c r="J201" s="2" t="str">
        <f>IF($I201=0,"",IF($G201="","",$G201*IF(INDEX('إدخال وسجل المنتجات'!$U$5:$U$590,$I201)=0,1,INDEX('إدخال وسجل المنتجات'!$U$5:$U$590,$I201))))</f>
        <v/>
      </c>
    </row>
    <row r="202" spans="1:10" ht="16" x14ac:dyDescent="0.15">
      <c r="A202" s="2" t="str">
        <f>IF($I202=0,"",199)</f>
        <v/>
      </c>
      <c r="B202" s="9" t="str">
        <f>IF($I202=0,"",INDEX('إدخال وسجل المنتجات'!$F$5:$F$590,$I202))</f>
        <v/>
      </c>
      <c r="C202" s="8" t="str">
        <f>IF($I202=0,"",INDEX('إدخال وسجل المنتجات'!$B$5:$B$590,$I202))</f>
        <v/>
      </c>
      <c r="D202" s="10" t="str">
        <f>IF($I202=0,"",INDEX('إدخال وسجل المنتجات'!$C$5:$C$590,$I202))</f>
        <v/>
      </c>
      <c r="E202" s="11" t="str">
        <f>IF($I202=0,"",INDEX('إدخال وسجل المنتجات'!$D$5:$D$590,$I202))</f>
        <v/>
      </c>
      <c r="F202" s="2" t="str">
        <f>IF($I202=0,"",INDEX('إدخال وسجل المنتجات'!$G$5:$G$590,$I202))</f>
        <v/>
      </c>
      <c r="G202" s="12"/>
      <c r="H202" s="13"/>
      <c r="I202">
        <f>SUMPRODUCT(('إدخال وسجل المنتجات'!$I$5:$I$590="CHL")*('إدخال وسجل المنتجات'!$M$5:$M$590=199)*(ROW('إدخال وسجل المنتجات'!$I$5:$I$590)-4))</f>
        <v>0</v>
      </c>
      <c r="J202" s="2" t="str">
        <f>IF($I202=0,"",IF($G202="","",$G202*IF(INDEX('إدخال وسجل المنتجات'!$U$5:$U$590,$I202)=0,1,INDEX('إدخال وسجل المنتجات'!$U$5:$U$590,$I202))))</f>
        <v/>
      </c>
    </row>
    <row r="203" spans="1:10" ht="16" x14ac:dyDescent="0.15">
      <c r="A203" s="2" t="str">
        <f>IF($I203=0,"",200)</f>
        <v/>
      </c>
      <c r="B203" s="9" t="str">
        <f>IF($I203=0,"",INDEX('إدخال وسجل المنتجات'!$F$5:$F$590,$I203))</f>
        <v/>
      </c>
      <c r="C203" s="8" t="str">
        <f>IF($I203=0,"",INDEX('إدخال وسجل المنتجات'!$B$5:$B$590,$I203))</f>
        <v/>
      </c>
      <c r="D203" s="10" t="str">
        <f>IF($I203=0,"",INDEX('إدخال وسجل المنتجات'!$C$5:$C$590,$I203))</f>
        <v/>
      </c>
      <c r="E203" s="11" t="str">
        <f>IF($I203=0,"",INDEX('إدخال وسجل المنتجات'!$D$5:$D$590,$I203))</f>
        <v/>
      </c>
      <c r="F203" s="2" t="str">
        <f>IF($I203=0,"",INDEX('إدخال وسجل المنتجات'!$G$5:$G$590,$I203))</f>
        <v/>
      </c>
      <c r="G203" s="12"/>
      <c r="H203" s="13"/>
      <c r="I203">
        <f>SUMPRODUCT(('إدخال وسجل المنتجات'!$I$5:$I$590="CHL")*('إدخال وسجل المنتجات'!$M$5:$M$590=200)*(ROW('إدخال وسجل المنتجات'!$I$5:$I$590)-4))</f>
        <v>0</v>
      </c>
      <c r="J203" s="2" t="str">
        <f>IF($I203=0,"",IF($G203="","",$G203*IF(INDEX('إدخال وسجل المنتجات'!$U$5:$U$590,$I203)=0,1,INDEX('إدخال وسجل المنتجات'!$U$5:$U$590,$I203))))</f>
        <v/>
      </c>
    </row>
  </sheetData>
  <mergeCells count="3">
    <mergeCell ref="A2:E2"/>
    <mergeCell ref="F2:H2"/>
    <mergeCell ref="A1:H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02"/>
  <sheetViews>
    <sheetView rightToLeft="1" workbookViewId="0">
      <pane ySplit="3" topLeftCell="A4" activePane="bottomLeft" state="frozen"/>
      <selection pane="bottomLeft" activeCell="G4" sqref="G4"/>
    </sheetView>
  </sheetViews>
  <sheetFormatPr baseColWidth="10" defaultColWidth="8.83203125" defaultRowHeight="14" x14ac:dyDescent="0.15"/>
  <cols>
    <col min="1" max="1" width="5" customWidth="1"/>
    <col min="2" max="2" width="14" customWidth="1"/>
    <col min="3" max="3" width="34" customWidth="1"/>
    <col min="4" max="4" width="28" customWidth="1"/>
    <col min="5" max="5" width="13" customWidth="1"/>
    <col min="6" max="6" width="11" customWidth="1"/>
    <col min="7" max="7" width="13" customWidth="1"/>
    <col min="8" max="8" width="20" customWidth="1"/>
    <col min="9" max="9" width="13" hidden="1" customWidth="1"/>
    <col min="10" max="10" width="15" customWidth="1"/>
  </cols>
  <sheetData>
    <row r="1" spans="1:10" ht="28" customHeight="1" x14ac:dyDescent="0.15">
      <c r="A1" s="32" t="s">
        <v>869</v>
      </c>
      <c r="B1" s="33"/>
      <c r="C1" s="33"/>
      <c r="D1" s="33"/>
      <c r="E1" s="33"/>
      <c r="F1" s="33"/>
      <c r="G1" s="33"/>
      <c r="H1" s="33"/>
    </row>
    <row r="2" spans="1:10" x14ac:dyDescent="0.15">
      <c r="A2" s="40" t="s">
        <v>861</v>
      </c>
      <c r="B2" s="33"/>
      <c r="C2" s="33"/>
      <c r="D2" s="33"/>
      <c r="E2" s="33"/>
      <c r="F2" s="41" t="str">
        <f>"عدد الأصناف: "&amp;COUNTIF('إدخال وسجل المنتجات'!$I$5:$I$590,"DRY")</f>
        <v>عدد الأصناف: 119</v>
      </c>
      <c r="G2" s="33"/>
      <c r="H2" s="33"/>
    </row>
    <row r="3" spans="1:10" ht="15" x14ac:dyDescent="0.15">
      <c r="A3" s="1" t="s">
        <v>2</v>
      </c>
      <c r="B3" s="1" t="s">
        <v>19</v>
      </c>
      <c r="C3" s="1" t="s">
        <v>862</v>
      </c>
      <c r="D3" s="1" t="s">
        <v>863</v>
      </c>
      <c r="E3" s="1" t="s">
        <v>864</v>
      </c>
      <c r="F3" s="1" t="s">
        <v>865</v>
      </c>
      <c r="G3" s="1" t="s">
        <v>866</v>
      </c>
      <c r="H3" s="1" t="s">
        <v>867</v>
      </c>
      <c r="J3" s="1" t="s">
        <v>882</v>
      </c>
    </row>
    <row r="4" spans="1:10" ht="16" x14ac:dyDescent="0.15">
      <c r="A4" s="2">
        <f>IF($I4=0,"",1)</f>
        <v>1</v>
      </c>
      <c r="B4" s="9" t="str">
        <f>IF($I4=0,"",INDEX('إدخال وسجل المنتجات'!$F$5:$F$590,$I4))</f>
        <v>RAW-DRY-082</v>
      </c>
      <c r="C4" s="8" t="str">
        <f>IF($I4=0,"",INDEX('إدخال وسجل المنتجات'!$B$5:$B$590,$I4))</f>
        <v>طحين دبل زيرو</v>
      </c>
      <c r="D4" s="10" t="str">
        <f>IF($I4=0,"",INDEX('إدخال وسجل المنتجات'!$C$5:$C$590,$I4))</f>
        <v>Flour Double Zero</v>
      </c>
      <c r="E4" s="11" t="str">
        <f>IF($I4=0,"",INDEX('إدخال وسجل المنتجات'!$D$5:$D$590,$I4))</f>
        <v>مواد خام</v>
      </c>
      <c r="F4" s="2" t="str">
        <f>IF($I4=0,"",INDEX('إدخال وسجل المنتجات'!$G$5:$G$590,$I4))</f>
        <v>كيلو</v>
      </c>
      <c r="G4" s="12"/>
      <c r="H4" s="13"/>
      <c r="I4">
        <f>SUMPRODUCT(('إدخال وسجل المنتجات'!$I$5:$I$590="DRY")*('إدخال وسجل المنتجات'!$M$5:$M$590=1)*(ROW('إدخال وسجل المنتجات'!$I$5:$I$590)-4))</f>
        <v>3</v>
      </c>
      <c r="J4" s="2" t="str">
        <f>IF($I4=0,"",IF($G4="","",$G4*IF(INDEX('إدخال وسجل المنتجات'!$U$5:$U$590,$I4)=0,1,INDEX('إدخال وسجل المنتجات'!$U$5:$U$590,$I4))))</f>
        <v/>
      </c>
    </row>
    <row r="5" spans="1:10" ht="16" x14ac:dyDescent="0.15">
      <c r="A5" s="2">
        <f>IF($I5=0,"",3)</f>
        <v>3</v>
      </c>
      <c r="B5" s="9" t="str">
        <f>IF($I5=0,"",INDEX('إدخال وسجل المنتجات'!$F$5:$F$590,$I5))</f>
        <v>RAW-DRY-002</v>
      </c>
      <c r="C5" s="8" t="str">
        <f>IF($I5=0,"",INDEX('إدخال وسجل المنتجات'!$B$5:$B$590,$I5))</f>
        <v>الكينوا</v>
      </c>
      <c r="D5" s="10" t="str">
        <f>IF($I5=0,"",INDEX('إدخال وسجل المنتجات'!$C$5:$C$590,$I5))</f>
        <v>Quinoa</v>
      </c>
      <c r="E5" s="11" t="str">
        <f>IF($I5=0,"",INDEX('إدخال وسجل المنتجات'!$D$5:$D$590,$I5))</f>
        <v>مواد خام</v>
      </c>
      <c r="F5" s="2" t="str">
        <f>IF($I5=0,"",INDEX('إدخال وسجل المنتجات'!$G$5:$G$590,$I5))</f>
        <v>كيلو</v>
      </c>
      <c r="G5" s="12"/>
      <c r="H5" s="13"/>
      <c r="I5">
        <f>SUMPRODUCT(('إدخال وسجل المنتجات'!$I$5:$I$590="DRY")*('إدخال وسجل المنتجات'!$M$5:$M$590=3)*(ROW('إدخال وسجل المنتجات'!$I$5:$I$590)-4))</f>
        <v>275</v>
      </c>
      <c r="J5" s="2" t="str">
        <f>IF($I5=0,"",IF($G5="","",$G5*IF(INDEX('إدخال وسجل المنتجات'!$U$5:$U$590,$I5)=0,1,INDEX('إدخال وسجل المنتجات'!$U$5:$U$590,$I5))))</f>
        <v/>
      </c>
    </row>
    <row r="6" spans="1:10" ht="16" x14ac:dyDescent="0.15">
      <c r="A6" s="2">
        <f>IF($I6=0,"",4)</f>
        <v>4</v>
      </c>
      <c r="B6" s="9" t="str">
        <f>IF($I6=0,"",INDEX('إدخال وسجل المنتجات'!$F$5:$F$590,$I6))</f>
        <v>RAW-DRY-003</v>
      </c>
      <c r="C6" s="8" t="str">
        <f>IF($I6=0,"",INDEX('إدخال وسجل المنتجات'!$B$5:$B$590,$I6))</f>
        <v>بابريكا فلفل حلو</v>
      </c>
      <c r="D6" s="10" t="str">
        <f>IF($I6=0,"",INDEX('إدخال وسجل المنتجات'!$C$5:$C$590,$I6))</f>
        <v>Paprika Pepper</v>
      </c>
      <c r="E6" s="11" t="str">
        <f>IF($I6=0,"",INDEX('إدخال وسجل المنتجات'!$D$5:$D$590,$I6))</f>
        <v>مواد خام</v>
      </c>
      <c r="F6" s="2" t="str">
        <f>IF($I6=0,"",INDEX('إدخال وسجل المنتجات'!$G$5:$G$590,$I6))</f>
        <v>كيلو</v>
      </c>
      <c r="G6" s="12"/>
      <c r="H6" s="13"/>
      <c r="I6">
        <f>SUMPRODUCT(('إدخال وسجل المنتجات'!$I$5:$I$590="DRY")*('إدخال وسجل المنتجات'!$M$5:$M$590=4)*(ROW('إدخال وسجل المنتجات'!$I$5:$I$590)-4))</f>
        <v>281</v>
      </c>
      <c r="J6" s="2" t="str">
        <f>IF($I6=0,"",IF($G6="","",$G6*IF(INDEX('إدخال وسجل المنتجات'!$U$5:$U$590,$I6)=0,1,INDEX('إدخال وسجل المنتجات'!$U$5:$U$590,$I6))))</f>
        <v/>
      </c>
    </row>
    <row r="7" spans="1:10" ht="16" x14ac:dyDescent="0.15">
      <c r="A7" s="2">
        <f>IF($I7=0,"",5)</f>
        <v>5</v>
      </c>
      <c r="B7" s="9" t="str">
        <f>IF($I7=0,"",INDEX('إدخال وسجل المنتجات'!$F$5:$F$590,$I7))</f>
        <v>RAW-DRY-004</v>
      </c>
      <c r="C7" s="8" t="str">
        <f>IF($I7=0,"",INDEX('إدخال وسجل المنتجات'!$B$5:$B$590,$I7))</f>
        <v>بابريكا مدخنة</v>
      </c>
      <c r="D7" s="10" t="str">
        <f>IF($I7=0,"",INDEX('إدخال وسجل المنتجات'!$C$5:$C$590,$I7))</f>
        <v>Paprika Smoked</v>
      </c>
      <c r="E7" s="11" t="str">
        <f>IF($I7=0,"",INDEX('إدخال وسجل المنتجات'!$D$5:$D$590,$I7))</f>
        <v>مواد خام</v>
      </c>
      <c r="F7" s="2" t="str">
        <f>IF($I7=0,"",INDEX('إدخال وسجل المنتجات'!$G$5:$G$590,$I7))</f>
        <v>كيلو</v>
      </c>
      <c r="G7" s="12"/>
      <c r="H7" s="13"/>
      <c r="I7">
        <f>SUMPRODUCT(('إدخال وسجل المنتجات'!$I$5:$I$590="DRY")*('إدخال وسجل المنتجات'!$M$5:$M$590=5)*(ROW('إدخال وسجل المنتجات'!$I$5:$I$590)-4))</f>
        <v>282</v>
      </c>
      <c r="J7" s="2" t="str">
        <f>IF($I7=0,"",IF($G7="","",$G7*IF(INDEX('إدخال وسجل المنتجات'!$U$5:$U$590,$I7)=0,1,INDEX('إدخال وسجل المنتجات'!$U$5:$U$590,$I7))))</f>
        <v/>
      </c>
    </row>
    <row r="8" spans="1:10" ht="16" x14ac:dyDescent="0.15">
      <c r="A8" s="2">
        <f>IF($I8=0,"",6)</f>
        <v>6</v>
      </c>
      <c r="B8" s="9" t="str">
        <f>IF($I8=0,"",INDEX('إدخال وسجل المنتجات'!$F$5:$F$590,$I8))</f>
        <v>RAW-DRY-005</v>
      </c>
      <c r="C8" s="8" t="str">
        <f>IF($I8=0,"",INDEX('إدخال وسجل المنتجات'!$B$5:$B$590,$I8))</f>
        <v>بذور الشيا</v>
      </c>
      <c r="D8" s="10" t="str">
        <f>IF($I8=0,"",INDEX('إدخال وسجل المنتجات'!$C$5:$C$590,$I8))</f>
        <v>Chia Seeds</v>
      </c>
      <c r="E8" s="11" t="str">
        <f>IF($I8=0,"",INDEX('إدخال وسجل المنتجات'!$D$5:$D$590,$I8))</f>
        <v>مواد خام</v>
      </c>
      <c r="F8" s="2" t="str">
        <f>IF($I8=0,"",INDEX('إدخال وسجل المنتجات'!$G$5:$G$590,$I8))</f>
        <v>كيلو</v>
      </c>
      <c r="G8" s="12"/>
      <c r="H8" s="13"/>
      <c r="I8">
        <f>SUMPRODUCT(('إدخال وسجل المنتجات'!$I$5:$I$590="DRY")*('إدخال وسجل المنتجات'!$M$5:$M$590=6)*(ROW('إدخال وسجل المنتجات'!$I$5:$I$590)-4))</f>
        <v>285</v>
      </c>
      <c r="J8" s="2" t="str">
        <f>IF($I8=0,"",IF($G8="","",$G8*IF(INDEX('إدخال وسجل المنتجات'!$U$5:$U$590,$I8)=0,1,INDEX('إدخال وسجل المنتجات'!$U$5:$U$590,$I8))))</f>
        <v/>
      </c>
    </row>
    <row r="9" spans="1:10" ht="16" x14ac:dyDescent="0.15">
      <c r="A9" s="2">
        <f>IF($I9=0,"",7)</f>
        <v>7</v>
      </c>
      <c r="B9" s="9" t="str">
        <f>IF($I9=0,"",INDEX('إدخال وسجل المنتجات'!$F$5:$F$590,$I9))</f>
        <v>RAW-DRY-006</v>
      </c>
      <c r="C9" s="8" t="str">
        <f>IF($I9=0,"",INDEX('إدخال وسجل المنتجات'!$B$5:$B$590,$I9))</f>
        <v>بذور الكتان</v>
      </c>
      <c r="D9" s="10" t="str">
        <f>IF($I9=0,"",INDEX('إدخال وسجل المنتجات'!$C$5:$C$590,$I9))</f>
        <v>Flax Seeds</v>
      </c>
      <c r="E9" s="11" t="str">
        <f>IF($I9=0,"",INDEX('إدخال وسجل المنتجات'!$D$5:$D$590,$I9))</f>
        <v>مواد خام</v>
      </c>
      <c r="F9" s="2" t="str">
        <f>IF($I9=0,"",INDEX('إدخال وسجل المنتجات'!$G$5:$G$590,$I9))</f>
        <v>كيلو</v>
      </c>
      <c r="G9" s="12"/>
      <c r="H9" s="13"/>
      <c r="I9">
        <f>SUMPRODUCT(('إدخال وسجل المنتجات'!$I$5:$I$590="DRY")*('إدخال وسجل المنتجات'!$M$5:$M$590=7)*(ROW('إدخال وسجل المنتجات'!$I$5:$I$590)-4))</f>
        <v>286</v>
      </c>
      <c r="J9" s="2" t="str">
        <f>IF($I9=0,"",IF($G9="","",$G9*IF(INDEX('إدخال وسجل المنتجات'!$U$5:$U$590,$I9)=0,1,INDEX('إدخال وسجل المنتجات'!$U$5:$U$590,$I9))))</f>
        <v/>
      </c>
    </row>
    <row r="10" spans="1:10" ht="16" x14ac:dyDescent="0.15">
      <c r="A10" s="2">
        <f>IF($I10=0,"",8)</f>
        <v>8</v>
      </c>
      <c r="B10" s="9" t="str">
        <f>IF($I10=0,"",INDEX('إدخال وسجل المنتجات'!$F$5:$F$590,$I10))</f>
        <v>RAW-DRY-007</v>
      </c>
      <c r="C10" s="8" t="str">
        <f>IF($I10=0,"",INDEX('إدخال وسجل المنتجات'!$B$5:$B$590,$I10))</f>
        <v>بسكوت الاسكريم</v>
      </c>
      <c r="D10" s="10" t="str">
        <f>IF($I10=0,"",INDEX('إدخال وسجل المنتجات'!$C$5:$C$590,$I10))</f>
        <v>Cream Biscuit</v>
      </c>
      <c r="E10" s="11" t="str">
        <f>IF($I10=0,"",INDEX('إدخال وسجل المنتجات'!$D$5:$D$590,$I10))</f>
        <v>مواد خام</v>
      </c>
      <c r="F10" s="2" t="str">
        <f>IF($I10=0,"",INDEX('إدخال وسجل المنتجات'!$G$5:$G$590,$I10))</f>
        <v>كيلو</v>
      </c>
      <c r="G10" s="12"/>
      <c r="H10" s="13"/>
      <c r="I10">
        <f>SUMPRODUCT(('إدخال وسجل المنتجات'!$I$5:$I$590="DRY")*('إدخال وسجل المنتجات'!$M$5:$M$590=8)*(ROW('إدخال وسجل المنتجات'!$I$5:$I$590)-4))</f>
        <v>289</v>
      </c>
      <c r="J10" s="2" t="str">
        <f>IF($I10=0,"",IF($G10="","",$G10*IF(INDEX('إدخال وسجل المنتجات'!$U$5:$U$590,$I10)=0,1,INDEX('إدخال وسجل المنتجات'!$U$5:$U$590,$I10))))</f>
        <v/>
      </c>
    </row>
    <row r="11" spans="1:10" ht="16" x14ac:dyDescent="0.15">
      <c r="A11" s="2">
        <f>IF($I11=0,"",9)</f>
        <v>9</v>
      </c>
      <c r="B11" s="9" t="str">
        <f>IF($I11=0,"",INDEX('إدخال وسجل المنتجات'!$F$5:$F$590,$I11))</f>
        <v>RAW-DRY-008</v>
      </c>
      <c r="C11" s="8" t="str">
        <f>IF($I11=0,"",INDEX('إدخال وسجل المنتجات'!$B$5:$B$590,$I11))</f>
        <v>بسكوت ليدي فنجر</v>
      </c>
      <c r="D11" s="10" t="str">
        <f>IF($I11=0,"",INDEX('إدخال وسجل المنتجات'!$C$5:$C$590,$I11))</f>
        <v>Biscuit</v>
      </c>
      <c r="E11" s="11" t="str">
        <f>IF($I11=0,"",INDEX('إدخال وسجل المنتجات'!$D$5:$D$590,$I11))</f>
        <v>مواد خام</v>
      </c>
      <c r="F11" s="2" t="str">
        <f>IF($I11=0,"",INDEX('إدخال وسجل المنتجات'!$G$5:$G$590,$I11))</f>
        <v>كيلو</v>
      </c>
      <c r="G11" s="12"/>
      <c r="H11" s="13"/>
      <c r="I11">
        <f>SUMPRODUCT(('إدخال وسجل المنتجات'!$I$5:$I$590="DRY")*('إدخال وسجل المنتجات'!$M$5:$M$590=9)*(ROW('إدخال وسجل المنتجات'!$I$5:$I$590)-4))</f>
        <v>290</v>
      </c>
      <c r="J11" s="2" t="str">
        <f>IF($I11=0,"",IF($G11="","",$G11*IF(INDEX('إدخال وسجل المنتجات'!$U$5:$U$590,$I11)=0,1,INDEX('إدخال وسجل المنتجات'!$U$5:$U$590,$I11))))</f>
        <v/>
      </c>
    </row>
    <row r="12" spans="1:10" ht="16" x14ac:dyDescent="0.15">
      <c r="A12" s="2">
        <f>IF($I12=0,"",10)</f>
        <v>10</v>
      </c>
      <c r="B12" s="9" t="str">
        <f>IF($I12=0,"",INDEX('إدخال وسجل المنتجات'!$F$5:$F$590,$I12))</f>
        <v>RAW-DRY-009</v>
      </c>
      <c r="C12" s="8" t="str">
        <f>IF($I12=0,"",INDEX('إدخال وسجل المنتجات'!$B$5:$B$590,$I12))</f>
        <v>بسكويت تيراميسو</v>
      </c>
      <c r="D12" s="10" t="str">
        <f>IF($I12=0,"",INDEX('إدخال وسجل المنتجات'!$C$5:$C$590,$I12))</f>
        <v>Tiramisu Biscuit</v>
      </c>
      <c r="E12" s="11" t="str">
        <f>IF($I12=0,"",INDEX('إدخال وسجل المنتجات'!$D$5:$D$590,$I12))</f>
        <v>مواد خام</v>
      </c>
      <c r="F12" s="2" t="str">
        <f>IF($I12=0,"",INDEX('إدخال وسجل المنتجات'!$G$5:$G$590,$I12))</f>
        <v>كيلو</v>
      </c>
      <c r="G12" s="12"/>
      <c r="H12" s="13"/>
      <c r="I12">
        <f>SUMPRODUCT(('إدخال وسجل المنتجات'!$I$5:$I$590="DRY")*('إدخال وسجل المنتجات'!$M$5:$M$590=10)*(ROW('إدخال وسجل المنتجات'!$I$5:$I$590)-4))</f>
        <v>291</v>
      </c>
      <c r="J12" s="2" t="str">
        <f>IF($I12=0,"",IF($G12="","",$G12*IF(INDEX('إدخال وسجل المنتجات'!$U$5:$U$590,$I12)=0,1,INDEX('إدخال وسجل المنتجات'!$U$5:$U$590,$I12))))</f>
        <v/>
      </c>
    </row>
    <row r="13" spans="1:10" ht="16" x14ac:dyDescent="0.15">
      <c r="A13" s="2">
        <f>IF($I13=0,"",11)</f>
        <v>11</v>
      </c>
      <c r="B13" s="9" t="str">
        <f>IF($I13=0,"",INDEX('إدخال وسجل المنتجات'!$F$5:$F$590,$I13))</f>
        <v>RAW-DRY-010</v>
      </c>
      <c r="C13" s="8" t="str">
        <f>IF($I13=0,"",INDEX('إدخال وسجل المنتجات'!$B$5:$B$590,$I13))</f>
        <v>بصل ابيض</v>
      </c>
      <c r="D13" s="10" t="str">
        <f>IF($I13=0,"",INDEX('إدخال وسجل المنتجات'!$C$5:$C$590,$I13))</f>
        <v>Onion</v>
      </c>
      <c r="E13" s="11" t="str">
        <f>IF($I13=0,"",INDEX('إدخال وسجل المنتجات'!$D$5:$D$590,$I13))</f>
        <v>مواد خام</v>
      </c>
      <c r="F13" s="2" t="str">
        <f>IF($I13=0,"",INDEX('إدخال وسجل المنتجات'!$G$5:$G$590,$I13))</f>
        <v>كيلو</v>
      </c>
      <c r="G13" s="12"/>
      <c r="H13" s="13"/>
      <c r="I13">
        <f>SUMPRODUCT(('إدخال وسجل المنتجات'!$I$5:$I$590="DRY")*('إدخال وسجل المنتجات'!$M$5:$M$590=11)*(ROW('إدخال وسجل المنتجات'!$I$5:$I$590)-4))</f>
        <v>292</v>
      </c>
      <c r="J13" s="2" t="str">
        <f>IF($I13=0,"",IF($G13="","",$G13*IF(INDEX('إدخال وسجل المنتجات'!$U$5:$U$590,$I13)=0,1,INDEX('إدخال وسجل المنتجات'!$U$5:$U$590,$I13))))</f>
        <v/>
      </c>
    </row>
    <row r="14" spans="1:10" ht="16" x14ac:dyDescent="0.15">
      <c r="A14" s="2">
        <f>IF($I14=0,"",12)</f>
        <v>12</v>
      </c>
      <c r="B14" s="9" t="str">
        <f>IF($I14=0,"",INDEX('إدخال وسجل المنتجات'!$F$5:$F$590,$I14))</f>
        <v>RAW-DRY-011</v>
      </c>
      <c r="C14" s="8" t="str">
        <f>IF($I14=0,"",INDEX('إدخال وسجل المنتجات'!$B$5:$B$590,$I14))</f>
        <v>بصل احمر</v>
      </c>
      <c r="D14" s="10" t="str">
        <f>IF($I14=0,"",INDEX('إدخال وسجل المنتجات'!$C$5:$C$590,$I14))</f>
        <v>Onion</v>
      </c>
      <c r="E14" s="11" t="str">
        <f>IF($I14=0,"",INDEX('إدخال وسجل المنتجات'!$D$5:$D$590,$I14))</f>
        <v>مواد خام</v>
      </c>
      <c r="F14" s="2" t="str">
        <f>IF($I14=0,"",INDEX('إدخال وسجل المنتجات'!$G$5:$G$590,$I14))</f>
        <v>كيلو</v>
      </c>
      <c r="G14" s="12"/>
      <c r="H14" s="13"/>
      <c r="I14">
        <f>SUMPRODUCT(('إدخال وسجل المنتجات'!$I$5:$I$590="DRY")*('إدخال وسجل المنتجات'!$M$5:$M$590=12)*(ROW('إدخال وسجل المنتجات'!$I$5:$I$590)-4))</f>
        <v>293</v>
      </c>
      <c r="J14" s="2" t="str">
        <f>IF($I14=0,"",IF($G14="","",$G14*IF(INDEX('إدخال وسجل المنتجات'!$U$5:$U$590,$I14)=0,1,INDEX('إدخال وسجل المنتجات'!$U$5:$U$590,$I14))))</f>
        <v/>
      </c>
    </row>
    <row r="15" spans="1:10" ht="16" x14ac:dyDescent="0.15">
      <c r="A15" s="2">
        <f>IF($I15=0,"",13)</f>
        <v>13</v>
      </c>
      <c r="B15" s="9" t="str">
        <f>IF($I15=0,"",INDEX('إدخال وسجل المنتجات'!$F$5:$F$590,$I15))</f>
        <v>TRN-DRY-001</v>
      </c>
      <c r="C15" s="8" t="str">
        <f>IF($I15=0,"",INDEX('إدخال وسجل المنتجات'!$B$5:$B$590,$I15))</f>
        <v>بصل مكرمل</v>
      </c>
      <c r="D15" s="10" t="str">
        <f>IF($I15=0,"",INDEX('إدخال وسجل المنتجات'!$C$5:$C$590,$I15))</f>
        <v>Onion</v>
      </c>
      <c r="E15" s="11" t="str">
        <f>IF($I15=0,"",INDEX('إدخال وسجل المنتجات'!$D$5:$D$590,$I15))</f>
        <v>مواد تحويلية</v>
      </c>
      <c r="F15" s="2" t="str">
        <f>IF($I15=0,"",INDEX('إدخال وسجل المنتجات'!$G$5:$G$590,$I15))</f>
        <v>كيلو</v>
      </c>
      <c r="G15" s="12"/>
      <c r="H15" s="13"/>
      <c r="I15">
        <f>SUMPRODUCT(('إدخال وسجل المنتجات'!$I$5:$I$590="DRY")*('إدخال وسجل المنتجات'!$M$5:$M$590=13)*(ROW('إدخال وسجل المنتجات'!$I$5:$I$590)-4))</f>
        <v>294</v>
      </c>
      <c r="J15" s="2" t="str">
        <f>IF($I15=0,"",IF($G15="","",$G15*IF(INDEX('إدخال وسجل المنتجات'!$U$5:$U$590,$I15)=0,1,INDEX('إدخال وسجل المنتجات'!$U$5:$U$590,$I15))))</f>
        <v/>
      </c>
    </row>
    <row r="16" spans="1:10" ht="16" x14ac:dyDescent="0.15">
      <c r="A16" s="2">
        <f>IF($I16=0,"",14)</f>
        <v>14</v>
      </c>
      <c r="B16" s="9" t="str">
        <f>IF($I16=0,"",INDEX('إدخال وسجل المنتجات'!$F$5:$F$590,$I16))</f>
        <v>RAW-DRY-012</v>
      </c>
      <c r="C16" s="8" t="str">
        <f>IF($I16=0,"",INDEX('إدخال وسجل المنتجات'!$B$5:$B$590,$I16))</f>
        <v>بطاطا</v>
      </c>
      <c r="D16" s="10" t="str">
        <f>IF($I16=0,"",INDEX('إدخال وسجل المنتجات'!$C$5:$C$590,$I16))</f>
        <v>Potato</v>
      </c>
      <c r="E16" s="11" t="str">
        <f>IF($I16=0,"",INDEX('إدخال وسجل المنتجات'!$D$5:$D$590,$I16))</f>
        <v>مواد خام</v>
      </c>
      <c r="F16" s="2" t="str">
        <f>IF($I16=0,"",INDEX('إدخال وسجل المنتجات'!$G$5:$G$590,$I16))</f>
        <v>كيلو</v>
      </c>
      <c r="G16" s="12"/>
      <c r="H16" s="13"/>
      <c r="I16">
        <f>SUMPRODUCT(('إدخال وسجل المنتجات'!$I$5:$I$590="DRY")*('إدخال وسجل المنتجات'!$M$5:$M$590=14)*(ROW('إدخال وسجل المنتجات'!$I$5:$I$590)-4))</f>
        <v>295</v>
      </c>
      <c r="J16" s="2" t="str">
        <f>IF($I16=0,"",IF($G16="","",$G16*IF(INDEX('إدخال وسجل المنتجات'!$U$5:$U$590,$I16)=0,1,INDEX('إدخال وسجل المنتجات'!$U$5:$U$590,$I16))))</f>
        <v/>
      </c>
    </row>
    <row r="17" spans="1:10" ht="16" x14ac:dyDescent="0.15">
      <c r="A17" s="2">
        <f>IF($I17=0,"",15)</f>
        <v>15</v>
      </c>
      <c r="B17" s="9" t="str">
        <f>IF($I17=0,"",INDEX('إدخال وسجل المنتجات'!$F$5:$F$590,$I17))</f>
        <v>RAW-DRY-013</v>
      </c>
      <c r="C17" s="8" t="str">
        <f>IF($I17=0,"",INDEX('إدخال وسجل المنتجات'!$B$5:$B$590,$I17))</f>
        <v>بطاطا حلوة</v>
      </c>
      <c r="D17" s="10" t="str">
        <f>IF($I17=0,"",INDEX('إدخال وسجل المنتجات'!$C$5:$C$590,$I17))</f>
        <v>Sweet Potato</v>
      </c>
      <c r="E17" s="11" t="str">
        <f>IF($I17=0,"",INDEX('إدخال وسجل المنتجات'!$D$5:$D$590,$I17))</f>
        <v>مواد خام</v>
      </c>
      <c r="F17" s="2" t="str">
        <f>IF($I17=0,"",INDEX('إدخال وسجل المنتجات'!$G$5:$G$590,$I17))</f>
        <v>كيلو</v>
      </c>
      <c r="G17" s="12"/>
      <c r="H17" s="13"/>
      <c r="I17">
        <f>SUMPRODUCT(('إدخال وسجل المنتجات'!$I$5:$I$590="DRY")*('إدخال وسجل المنتجات'!$M$5:$M$590=15)*(ROW('إدخال وسجل المنتجات'!$I$5:$I$590)-4))</f>
        <v>296</v>
      </c>
      <c r="J17" s="2" t="str">
        <f>IF($I17=0,"",IF($G17="","",$G17*IF(INDEX('إدخال وسجل المنتجات'!$U$5:$U$590,$I17)=0,1,INDEX('إدخال وسجل المنتجات'!$U$5:$U$590,$I17))))</f>
        <v/>
      </c>
    </row>
    <row r="18" spans="1:10" ht="16" x14ac:dyDescent="0.15">
      <c r="A18" s="2">
        <f>IF($I18=0,"",16)</f>
        <v>16</v>
      </c>
      <c r="B18" s="9" t="str">
        <f>IF($I18=0,"",INDEX('إدخال وسجل المنتجات'!$F$5:$F$590,$I18))</f>
        <v>RAW-DRY-014</v>
      </c>
      <c r="C18" s="8" t="str">
        <f>IF($I18=0,"",INDEX('إدخال وسجل المنتجات'!$B$5:$B$590,$I18))</f>
        <v>بطاطس</v>
      </c>
      <c r="D18" s="10" t="str">
        <f>IF($I18=0,"",INDEX('إدخال وسجل المنتجات'!$C$5:$C$590,$I18))</f>
        <v>Fries</v>
      </c>
      <c r="E18" s="11" t="str">
        <f>IF($I18=0,"",INDEX('إدخال وسجل المنتجات'!$D$5:$D$590,$I18))</f>
        <v>مواد خام</v>
      </c>
      <c r="F18" s="2" t="str">
        <f>IF($I18=0,"",INDEX('إدخال وسجل المنتجات'!$G$5:$G$590,$I18))</f>
        <v>كيلو</v>
      </c>
      <c r="G18" s="12"/>
      <c r="H18" s="13"/>
      <c r="I18">
        <f>SUMPRODUCT(('إدخال وسجل المنتجات'!$I$5:$I$590="DRY")*('إدخال وسجل المنتجات'!$M$5:$M$590=16)*(ROW('إدخال وسجل المنتجات'!$I$5:$I$590)-4))</f>
        <v>297</v>
      </c>
      <c r="J18" s="2" t="str">
        <f>IF($I18=0,"",IF($G18="","",$G18*IF(INDEX('إدخال وسجل المنتجات'!$U$5:$U$590,$I18)=0,1,INDEX('إدخال وسجل المنتجات'!$U$5:$U$590,$I18))))</f>
        <v/>
      </c>
    </row>
    <row r="19" spans="1:10" ht="16" x14ac:dyDescent="0.15">
      <c r="A19" s="2">
        <f>IF($I19=0,"",17)</f>
        <v>17</v>
      </c>
      <c r="B19" s="9" t="str">
        <f>IF($I19=0,"",INDEX('إدخال وسجل المنتجات'!$F$5:$F$590,$I19))</f>
        <v>RAW-DRY-015</v>
      </c>
      <c r="C19" s="8" t="str">
        <f>IF($I19=0,"",INDEX('إدخال وسجل المنتجات'!$B$5:$B$590,$I19))</f>
        <v>بقسماط</v>
      </c>
      <c r="D19" s="10" t="str">
        <f>IF($I19=0,"",INDEX('إدخال وسجل المنتجات'!$C$5:$C$590,$I19))</f>
        <v>Breadcrumbs</v>
      </c>
      <c r="E19" s="11" t="str">
        <f>IF($I19=0,"",INDEX('إدخال وسجل المنتجات'!$D$5:$D$590,$I19))</f>
        <v>مواد خام</v>
      </c>
      <c r="F19" s="2" t="str">
        <f>IF($I19=0,"",INDEX('إدخال وسجل المنتجات'!$G$5:$G$590,$I19))</f>
        <v>كيلو</v>
      </c>
      <c r="G19" s="12"/>
      <c r="H19" s="13"/>
      <c r="I19">
        <f>SUMPRODUCT(('إدخال وسجل المنتجات'!$I$5:$I$590="DRY")*('إدخال وسجل المنتجات'!$M$5:$M$590=17)*(ROW('إدخال وسجل المنتجات'!$I$5:$I$590)-4))</f>
        <v>303</v>
      </c>
      <c r="J19" s="2" t="str">
        <f>IF($I19=0,"",IF($G19="","",$G19*IF(INDEX('إدخال وسجل المنتجات'!$U$5:$U$590,$I19)=0,1,INDEX('إدخال وسجل المنتجات'!$U$5:$U$590,$I19))))</f>
        <v/>
      </c>
    </row>
    <row r="20" spans="1:10" ht="16" x14ac:dyDescent="0.15">
      <c r="A20" s="2">
        <f>IF($I20=0,"",18)</f>
        <v>18</v>
      </c>
      <c r="B20" s="9" t="str">
        <f>IF($I20=0,"",INDEX('إدخال وسجل المنتجات'!$F$5:$F$590,$I20))</f>
        <v>RAW-DRY-016</v>
      </c>
      <c r="C20" s="8" t="str">
        <f>IF($I20=0,"",INDEX('إدخال وسجل المنتجات'!$B$5:$B$590,$I20))</f>
        <v>بن - هيل</v>
      </c>
      <c r="D20" s="10" t="str">
        <f>IF($I20=0,"",INDEX('إدخال وسجل المنتجات'!$C$5:$C$590,$I20))</f>
        <v>Hill Coffee</v>
      </c>
      <c r="E20" s="11" t="str">
        <f>IF($I20=0,"",INDEX('إدخال وسجل المنتجات'!$D$5:$D$590,$I20))</f>
        <v>مواد خام</v>
      </c>
      <c r="F20" s="2" t="str">
        <f>IF($I20=0,"",INDEX('إدخال وسجل المنتجات'!$G$5:$G$590,$I20))</f>
        <v>كيلو</v>
      </c>
      <c r="G20" s="12"/>
      <c r="H20" s="13"/>
      <c r="I20">
        <f>SUMPRODUCT(('إدخال وسجل المنتجات'!$I$5:$I$590="DRY")*('إدخال وسجل المنتجات'!$M$5:$M$590=18)*(ROW('إدخال وسجل المنتجات'!$I$5:$I$590)-4))</f>
        <v>304</v>
      </c>
      <c r="J20" s="2" t="str">
        <f>IF($I20=0,"",IF($G20="","",$G20*IF(INDEX('إدخال وسجل المنتجات'!$U$5:$U$590,$I20)=0,1,INDEX('إدخال وسجل المنتجات'!$U$5:$U$590,$I20))))</f>
        <v/>
      </c>
    </row>
    <row r="21" spans="1:10" ht="16" x14ac:dyDescent="0.15">
      <c r="A21" s="2">
        <f>IF($I21=0,"",19)</f>
        <v>19</v>
      </c>
      <c r="B21" s="9" t="str">
        <f>IF($I21=0,"",INDEX('إدخال وسجل المنتجات'!$F$5:$F$590,$I21))</f>
        <v>RAW-DRY-017</v>
      </c>
      <c r="C21" s="8" t="str">
        <f>IF($I21=0,"",INDEX('إدخال وسجل المنتجات'!$B$5:$B$590,$I21))</f>
        <v>بن تيراميسو</v>
      </c>
      <c r="D21" s="10" t="str">
        <f>IF($I21=0,"",INDEX('إدخال وسجل المنتجات'!$C$5:$C$590,$I21))</f>
        <v>Tiramisu Coffee</v>
      </c>
      <c r="E21" s="11" t="str">
        <f>IF($I21=0,"",INDEX('إدخال وسجل المنتجات'!$D$5:$D$590,$I21))</f>
        <v>مواد خام</v>
      </c>
      <c r="F21" s="2" t="str">
        <f>IF($I21=0,"",INDEX('إدخال وسجل المنتجات'!$G$5:$G$590,$I21))</f>
        <v>كيلو</v>
      </c>
      <c r="G21" s="12"/>
      <c r="H21" s="13"/>
      <c r="I21">
        <f>SUMPRODUCT(('إدخال وسجل المنتجات'!$I$5:$I$590="DRY")*('إدخال وسجل المنتجات'!$M$5:$M$590=19)*(ROW('إدخال وسجل المنتجات'!$I$5:$I$590)-4))</f>
        <v>305</v>
      </c>
      <c r="J21" s="2" t="str">
        <f>IF($I21=0,"",IF($G21="","",$G21*IF(INDEX('إدخال وسجل المنتجات'!$U$5:$U$590,$I21)=0,1,INDEX('إدخال وسجل المنتجات'!$U$5:$U$590,$I21))))</f>
        <v/>
      </c>
    </row>
    <row r="22" spans="1:10" ht="16" x14ac:dyDescent="0.15">
      <c r="A22" s="2">
        <f>IF($I22=0,"",20)</f>
        <v>20</v>
      </c>
      <c r="B22" s="9" t="str">
        <f>IF($I22=0,"",INDEX('إدخال وسجل المنتجات'!$F$5:$F$590,$I22))</f>
        <v>RAW-DRY-018</v>
      </c>
      <c r="C22" s="8" t="str">
        <f>IF($I22=0,"",INDEX('إدخال وسجل المنتجات'!$B$5:$B$590,$I22))</f>
        <v>بهارات ايطالية</v>
      </c>
      <c r="D22" s="10" t="str">
        <f>IF($I22=0,"",INDEX('إدخال وسجل المنتجات'!$C$5:$C$590,$I22))</f>
        <v>Spices</v>
      </c>
      <c r="E22" s="11" t="str">
        <f>IF($I22=0,"",INDEX('إدخال وسجل المنتجات'!$D$5:$D$590,$I22))</f>
        <v>مواد خام</v>
      </c>
      <c r="F22" s="2" t="str">
        <f>IF($I22=0,"",INDEX('إدخال وسجل المنتجات'!$G$5:$G$590,$I22))</f>
        <v>كيلو</v>
      </c>
      <c r="G22" s="12"/>
      <c r="H22" s="13"/>
      <c r="I22">
        <f>SUMPRODUCT(('إدخال وسجل المنتجات'!$I$5:$I$590="DRY")*('إدخال وسجل المنتجات'!$M$5:$M$590=20)*(ROW('إدخال وسجل المنتجات'!$I$5:$I$590)-4))</f>
        <v>306</v>
      </c>
      <c r="J22" s="2" t="str">
        <f>IF($I22=0,"",IF($G22="","",$G22*IF(INDEX('إدخال وسجل المنتجات'!$U$5:$U$590,$I22)=0,1,INDEX('إدخال وسجل المنتجات'!$U$5:$U$590,$I22))))</f>
        <v/>
      </c>
    </row>
    <row r="23" spans="1:10" ht="16" x14ac:dyDescent="0.15">
      <c r="A23" s="2">
        <f>IF($I23=0,"",21)</f>
        <v>21</v>
      </c>
      <c r="B23" s="9" t="str">
        <f>IF($I23=0,"",INDEX('إدخال وسجل المنتجات'!$F$5:$F$590,$I23))</f>
        <v>RAW-DRY-019</v>
      </c>
      <c r="C23" s="8" t="str">
        <f>IF($I23=0,"",INDEX('إدخال وسجل المنتجات'!$B$5:$B$590,$I23))</f>
        <v>بودرة بصل</v>
      </c>
      <c r="D23" s="10" t="str">
        <f>IF($I23=0,"",INDEX('إدخال وسجل المنتجات'!$C$5:$C$590,$I23))</f>
        <v>Powder Onion</v>
      </c>
      <c r="E23" s="11" t="str">
        <f>IF($I23=0,"",INDEX('إدخال وسجل المنتجات'!$D$5:$D$590,$I23))</f>
        <v>مواد خام</v>
      </c>
      <c r="F23" s="2" t="str">
        <f>IF($I23=0,"",INDEX('إدخال وسجل المنتجات'!$G$5:$G$590,$I23))</f>
        <v>كيلو</v>
      </c>
      <c r="G23" s="12"/>
      <c r="H23" s="13"/>
      <c r="I23">
        <f>SUMPRODUCT(('إدخال وسجل المنتجات'!$I$5:$I$590="DRY")*('إدخال وسجل المنتجات'!$M$5:$M$590=21)*(ROW('إدخال وسجل المنتجات'!$I$5:$I$590)-4))</f>
        <v>307</v>
      </c>
      <c r="J23" s="2" t="str">
        <f>IF($I23=0,"",IF($G23="","",$G23*IF(INDEX('إدخال وسجل المنتجات'!$U$5:$U$590,$I23)=0,1,INDEX('إدخال وسجل المنتجات'!$U$5:$U$590,$I23))))</f>
        <v/>
      </c>
    </row>
    <row r="24" spans="1:10" ht="16" x14ac:dyDescent="0.15">
      <c r="A24" s="2">
        <f>IF($I24=0,"",22)</f>
        <v>22</v>
      </c>
      <c r="B24" s="9" t="str">
        <f>IF($I24=0,"",INDEX('إدخال وسجل المنتجات'!$F$5:$F$590,$I24))</f>
        <v>RAW-DRY-020</v>
      </c>
      <c r="C24" s="8" t="str">
        <f>IF($I24=0,"",INDEX('إدخال وسجل المنتجات'!$B$5:$B$590,$I24))</f>
        <v>بودرة ثوم</v>
      </c>
      <c r="D24" s="10" t="str">
        <f>IF($I24=0,"",INDEX('إدخال وسجل المنتجات'!$C$5:$C$590,$I24))</f>
        <v>Powder Garlic</v>
      </c>
      <c r="E24" s="11" t="str">
        <f>IF($I24=0,"",INDEX('إدخال وسجل المنتجات'!$D$5:$D$590,$I24))</f>
        <v>مواد خام</v>
      </c>
      <c r="F24" s="2" t="str">
        <f>IF($I24=0,"",INDEX('إدخال وسجل المنتجات'!$G$5:$G$590,$I24))</f>
        <v>كيلو</v>
      </c>
      <c r="G24" s="12"/>
      <c r="H24" s="13"/>
      <c r="I24">
        <f>SUMPRODUCT(('إدخال وسجل المنتجات'!$I$5:$I$590="DRY")*('إدخال وسجل المنتجات'!$M$5:$M$590=22)*(ROW('إدخال وسجل المنتجات'!$I$5:$I$590)-4))</f>
        <v>308</v>
      </c>
      <c r="J24" s="2" t="str">
        <f>IF($I24=0,"",IF($G24="","",$G24*IF(INDEX('إدخال وسجل المنتجات'!$U$5:$U$590,$I24)=0,1,INDEX('إدخال وسجل المنتجات'!$U$5:$U$590,$I24))))</f>
        <v/>
      </c>
    </row>
    <row r="25" spans="1:10" ht="16" x14ac:dyDescent="0.15">
      <c r="A25" s="2">
        <f>IF($I25=0,"",23)</f>
        <v>23</v>
      </c>
      <c r="B25" s="9" t="str">
        <f>IF($I25=0,"",INDEX('إدخال وسجل المنتجات'!$F$5:$F$590,$I25))</f>
        <v>RAW-DRY-021</v>
      </c>
      <c r="C25" s="8" t="str">
        <f>IF($I25=0,"",INDEX('إدخال وسجل المنتجات'!$B$5:$B$590,$I25))</f>
        <v>بومدورو</v>
      </c>
      <c r="D25" s="10" t="str">
        <f>IF($I25=0,"",INDEX('إدخال وسجل المنتجات'!$C$5:$C$590,$I25))</f>
        <v>Pomodoro</v>
      </c>
      <c r="E25" s="11" t="str">
        <f>IF($I25=0,"",INDEX('إدخال وسجل المنتجات'!$D$5:$D$590,$I25))</f>
        <v>مواد خام</v>
      </c>
      <c r="F25" s="2" t="str">
        <f>IF($I25=0,"",INDEX('إدخال وسجل المنتجات'!$G$5:$G$590,$I25))</f>
        <v>كيلو</v>
      </c>
      <c r="G25" s="12"/>
      <c r="H25" s="13"/>
      <c r="I25">
        <f>SUMPRODUCT(('إدخال وسجل المنتجات'!$I$5:$I$590="DRY")*('إدخال وسجل المنتجات'!$M$5:$M$590=23)*(ROW('إدخال وسجل المنتجات'!$I$5:$I$590)-4))</f>
        <v>310</v>
      </c>
      <c r="J25" s="2" t="str">
        <f>IF($I25=0,"",IF($G25="","",$G25*IF(INDEX('إدخال وسجل المنتجات'!$U$5:$U$590,$I25)=0,1,INDEX('إدخال وسجل المنتجات'!$U$5:$U$590,$I25))))</f>
        <v/>
      </c>
    </row>
    <row r="26" spans="1:10" ht="16" x14ac:dyDescent="0.15">
      <c r="A26" s="2">
        <f>IF($I26=0,"",24)</f>
        <v>24</v>
      </c>
      <c r="B26" s="9" t="str">
        <f>IF($I26=0,"",INDEX('إدخال وسجل المنتجات'!$F$5:$F$590,$I26))</f>
        <v>RAW-DRY-022</v>
      </c>
      <c r="C26" s="8" t="str">
        <f>IF($I26=0,"",INDEX('إدخال وسجل المنتجات'!$B$5:$B$590,$I26))</f>
        <v>تاغيتيلي</v>
      </c>
      <c r="D26" s="10" t="str">
        <f>IF($I26=0,"",INDEX('إدخال وسجل المنتجات'!$C$5:$C$590,$I26))</f>
        <v>Tagliatelle</v>
      </c>
      <c r="E26" s="11" t="str">
        <f>IF($I26=0,"",INDEX('إدخال وسجل المنتجات'!$D$5:$D$590,$I26))</f>
        <v>مواد خام</v>
      </c>
      <c r="F26" s="2" t="str">
        <f>IF($I26=0,"",INDEX('إدخال وسجل المنتجات'!$G$5:$G$590,$I26))</f>
        <v>كيلو</v>
      </c>
      <c r="G26" s="12"/>
      <c r="H26" s="13"/>
      <c r="I26">
        <f>SUMPRODUCT(('إدخال وسجل المنتجات'!$I$5:$I$590="DRY")*('إدخال وسجل المنتجات'!$M$5:$M$590=24)*(ROW('إدخال وسجل المنتجات'!$I$5:$I$590)-4))</f>
        <v>315</v>
      </c>
      <c r="J26" s="2" t="str">
        <f>IF($I26=0,"",IF($G26="","",$G26*IF(INDEX('إدخال وسجل المنتجات'!$U$5:$U$590,$I26)=0,1,INDEX('إدخال وسجل المنتجات'!$U$5:$U$590,$I26))))</f>
        <v/>
      </c>
    </row>
    <row r="27" spans="1:10" ht="16" x14ac:dyDescent="0.15">
      <c r="A27" s="2">
        <f>IF($I27=0,"",25)</f>
        <v>25</v>
      </c>
      <c r="B27" s="9" t="str">
        <f>IF($I27=0,"",INDEX('إدخال وسجل المنتجات'!$F$5:$F$590,$I27))</f>
        <v>RAW-DRY-023</v>
      </c>
      <c r="C27" s="8" t="str">
        <f>IF($I27=0,"",INDEX('إدخال وسجل المنتجات'!$B$5:$B$590,$I27))</f>
        <v>تباسكو احمر</v>
      </c>
      <c r="D27" s="10" t="str">
        <f>IF($I27=0,"",INDEX('إدخال وسجل المنتجات'!$C$5:$C$590,$I27))</f>
        <v>Tabasco</v>
      </c>
      <c r="E27" s="11" t="str">
        <f>IF($I27=0,"",INDEX('إدخال وسجل المنتجات'!$D$5:$D$590,$I27))</f>
        <v>مواد خام</v>
      </c>
      <c r="F27" s="2" t="str">
        <f>IF($I27=0,"",INDEX('إدخال وسجل المنتجات'!$G$5:$G$590,$I27))</f>
        <v>لتر</v>
      </c>
      <c r="G27" s="12"/>
      <c r="H27" s="13"/>
      <c r="I27">
        <f>SUMPRODUCT(('إدخال وسجل المنتجات'!$I$5:$I$590="DRY")*('إدخال وسجل المنتجات'!$M$5:$M$590=25)*(ROW('إدخال وسجل المنتجات'!$I$5:$I$590)-4))</f>
        <v>317</v>
      </c>
      <c r="J27" s="2" t="str">
        <f>IF($I27=0,"",IF($G27="","",$G27*IF(INDEX('إدخال وسجل المنتجات'!$U$5:$U$590,$I27)=0,1,INDEX('إدخال وسجل المنتجات'!$U$5:$U$590,$I27))))</f>
        <v/>
      </c>
    </row>
    <row r="28" spans="1:10" ht="16" x14ac:dyDescent="0.15">
      <c r="A28" s="2">
        <f>IF($I28=0,"",26)</f>
        <v>26</v>
      </c>
      <c r="B28" s="9" t="str">
        <f>IF($I28=0,"",INDEX('إدخال وسجل المنتجات'!$F$5:$F$590,$I28))</f>
        <v>RAW-DRY-024</v>
      </c>
      <c r="C28" s="8" t="str">
        <f>IF($I28=0,"",INDEX('إدخال وسجل المنتجات'!$B$5:$B$590,$I28))</f>
        <v>تباسكو اخضر</v>
      </c>
      <c r="D28" s="10" t="str">
        <f>IF($I28=0,"",INDEX('إدخال وسجل المنتجات'!$C$5:$C$590,$I28))</f>
        <v>Tabasco</v>
      </c>
      <c r="E28" s="11" t="str">
        <f>IF($I28=0,"",INDEX('إدخال وسجل المنتجات'!$D$5:$D$590,$I28))</f>
        <v>مواد خام</v>
      </c>
      <c r="F28" s="2" t="str">
        <f>IF($I28=0,"",INDEX('إدخال وسجل المنتجات'!$G$5:$G$590,$I28))</f>
        <v>لتر</v>
      </c>
      <c r="G28" s="12"/>
      <c r="H28" s="13"/>
      <c r="I28">
        <f>SUMPRODUCT(('إدخال وسجل المنتجات'!$I$5:$I$590="DRY")*('إدخال وسجل المنتجات'!$M$5:$M$590=26)*(ROW('إدخال وسجل المنتجات'!$I$5:$I$590)-4))</f>
        <v>318</v>
      </c>
      <c r="J28" s="2" t="str">
        <f>IF($I28=0,"",IF($G28="","",$G28*IF(INDEX('إدخال وسجل المنتجات'!$U$5:$U$590,$I28)=0,1,INDEX('إدخال وسجل المنتجات'!$U$5:$U$590,$I28))))</f>
        <v/>
      </c>
    </row>
    <row r="29" spans="1:10" ht="16" x14ac:dyDescent="0.15">
      <c r="A29" s="2">
        <f>IF($I29=0,"",27)</f>
        <v>27</v>
      </c>
      <c r="B29" s="9" t="str">
        <f>IF($I29=0,"",INDEX('إدخال وسجل المنتجات'!$F$5:$F$590,$I29))</f>
        <v>RAW-DRY-025</v>
      </c>
      <c r="C29" s="8" t="str">
        <f>IF($I29=0,"",INDEX('إدخال وسجل المنتجات'!$B$5:$B$590,$I29))</f>
        <v>توابل الدجاج</v>
      </c>
      <c r="D29" s="10" t="str">
        <f>IF($I29=0,"",INDEX('إدخال وسجل المنتجات'!$C$5:$C$590,$I29))</f>
        <v>Seasoning Chicken</v>
      </c>
      <c r="E29" s="11" t="str">
        <f>IF($I29=0,"",INDEX('إدخال وسجل المنتجات'!$D$5:$D$590,$I29))</f>
        <v>مواد خام</v>
      </c>
      <c r="F29" s="2" t="str">
        <f>IF($I29=0,"",INDEX('إدخال وسجل المنتجات'!$G$5:$G$590,$I29))</f>
        <v>كيلو</v>
      </c>
      <c r="G29" s="12"/>
      <c r="H29" s="13"/>
      <c r="I29">
        <f>SUMPRODUCT(('إدخال وسجل المنتجات'!$I$5:$I$590="DRY")*('إدخال وسجل المنتجات'!$M$5:$M$590=27)*(ROW('إدخال وسجل المنتجات'!$I$5:$I$590)-4))</f>
        <v>321</v>
      </c>
      <c r="J29" s="2" t="str">
        <f>IF($I29=0,"",IF($G29="","",$G29*IF(INDEX('إدخال وسجل المنتجات'!$U$5:$U$590,$I29)=0,1,INDEX('إدخال وسجل المنتجات'!$U$5:$U$590,$I29))))</f>
        <v/>
      </c>
    </row>
    <row r="30" spans="1:10" ht="16" x14ac:dyDescent="0.15">
      <c r="A30" s="2">
        <f>IF($I30=0,"",28)</f>
        <v>28</v>
      </c>
      <c r="B30" s="9" t="str">
        <f>IF($I30=0,"",INDEX('إدخال وسجل المنتجات'!$F$5:$F$590,$I30))</f>
        <v>RAW-DRY-026</v>
      </c>
      <c r="C30" s="8" t="str">
        <f>IF($I30=0,"",INDEX('إدخال وسجل المنتجات'!$B$5:$B$590,$I30))</f>
        <v>ثوم</v>
      </c>
      <c r="D30" s="10" t="str">
        <f>IF($I30=0,"",INDEX('إدخال وسجل المنتجات'!$C$5:$C$590,$I30))</f>
        <v>Garlic</v>
      </c>
      <c r="E30" s="11" t="str">
        <f>IF($I30=0,"",INDEX('إدخال وسجل المنتجات'!$D$5:$D$590,$I30))</f>
        <v>مواد خام</v>
      </c>
      <c r="F30" s="2" t="str">
        <f>IF($I30=0,"",INDEX('إدخال وسجل المنتجات'!$G$5:$G$590,$I30))</f>
        <v>كيلو</v>
      </c>
      <c r="G30" s="12"/>
      <c r="H30" s="13"/>
      <c r="I30">
        <f>SUMPRODUCT(('إدخال وسجل المنتجات'!$I$5:$I$590="DRY")*('إدخال وسجل المنتجات'!$M$5:$M$590=28)*(ROW('إدخال وسجل المنتجات'!$I$5:$I$590)-4))</f>
        <v>324</v>
      </c>
      <c r="J30" s="2" t="str">
        <f>IF($I30=0,"",IF($G30="","",$G30*IF(INDEX('إدخال وسجل المنتجات'!$U$5:$U$590,$I30)=0,1,INDEX('إدخال وسجل المنتجات'!$U$5:$U$590,$I30))))</f>
        <v/>
      </c>
    </row>
    <row r="31" spans="1:10" ht="16" x14ac:dyDescent="0.15">
      <c r="A31" s="2">
        <f>IF($I31=0,"",29)</f>
        <v>29</v>
      </c>
      <c r="B31" s="9" t="str">
        <f>IF($I31=0,"",INDEX('إدخال وسجل المنتجات'!$F$5:$F$590,$I31))</f>
        <v>RAW-DRY-027</v>
      </c>
      <c r="C31" s="8" t="str">
        <f>IF($I31=0,"",INDEX('إدخال وسجل المنتجات'!$B$5:$B$590,$I31))</f>
        <v>ثوم مقشر</v>
      </c>
      <c r="D31" s="10" t="str">
        <f>IF($I31=0,"",INDEX('إدخال وسجل المنتجات'!$C$5:$C$590,$I31))</f>
        <v>Garlic</v>
      </c>
      <c r="E31" s="11" t="str">
        <f>IF($I31=0,"",INDEX('إدخال وسجل المنتجات'!$D$5:$D$590,$I31))</f>
        <v>مواد خام</v>
      </c>
      <c r="F31" s="2" t="str">
        <f>IF($I31=0,"",INDEX('إدخال وسجل المنتجات'!$G$5:$G$590,$I31))</f>
        <v>كيلو</v>
      </c>
      <c r="G31" s="12"/>
      <c r="H31" s="13"/>
      <c r="I31">
        <f>SUMPRODUCT(('إدخال وسجل المنتجات'!$I$5:$I$590="DRY")*('إدخال وسجل المنتجات'!$M$5:$M$590=29)*(ROW('إدخال وسجل المنتجات'!$I$5:$I$590)-4))</f>
        <v>325</v>
      </c>
      <c r="J31" s="2" t="str">
        <f>IF($I31=0,"",IF($G31="","",$G31*IF(INDEX('إدخال وسجل المنتجات'!$U$5:$U$590,$I31)=0,1,INDEX('إدخال وسجل المنتجات'!$U$5:$U$590,$I31))))</f>
        <v/>
      </c>
    </row>
    <row r="32" spans="1:10" ht="16" x14ac:dyDescent="0.15">
      <c r="A32" s="2">
        <f>IF($I32=0,"",30)</f>
        <v>30</v>
      </c>
      <c r="B32" s="9" t="str">
        <f>IF($I32=0,"",INDEX('إدخال وسجل المنتجات'!$F$5:$F$590,$I32))</f>
        <v>RAW-DRY-028</v>
      </c>
      <c r="C32" s="8" t="str">
        <f>IF($I32=0,"",INDEX('إدخال وسجل المنتجات'!$B$5:$B$590,$I32))</f>
        <v>جالو اربوريو</v>
      </c>
      <c r="D32" s="10" t="str">
        <f>IF($I32=0,"",INDEX('إدخال وسجل المنتجات'!$C$5:$C$590,$I32))</f>
        <v>Carnaroli Arborio</v>
      </c>
      <c r="E32" s="11" t="str">
        <f>IF($I32=0,"",INDEX('إدخال وسجل المنتجات'!$D$5:$D$590,$I32))</f>
        <v>مواد خام</v>
      </c>
      <c r="F32" s="2" t="str">
        <f>IF($I32=0,"",INDEX('إدخال وسجل المنتجات'!$G$5:$G$590,$I32))</f>
        <v>كيلو</v>
      </c>
      <c r="G32" s="12"/>
      <c r="H32" s="13"/>
      <c r="I32">
        <f>SUMPRODUCT(('إدخال وسجل المنتجات'!$I$5:$I$590="DRY")*('إدخال وسجل المنتجات'!$M$5:$M$590=30)*(ROW('إدخال وسجل المنتجات'!$I$5:$I$590)-4))</f>
        <v>326</v>
      </c>
      <c r="J32" s="2" t="str">
        <f>IF($I32=0,"",IF($G32="","",$G32*IF(INDEX('إدخال وسجل المنتجات'!$U$5:$U$590,$I32)=0,1,INDEX('إدخال وسجل المنتجات'!$U$5:$U$590,$I32))))</f>
        <v/>
      </c>
    </row>
    <row r="33" spans="1:10" ht="16" x14ac:dyDescent="0.15">
      <c r="A33" s="2">
        <f>IF($I33=0,"",31)</f>
        <v>31</v>
      </c>
      <c r="B33" s="9" t="str">
        <f>IF($I33=0,"",INDEX('إدخال وسجل المنتجات'!$F$5:$F$590,$I33))</f>
        <v>RAW-DRY-029</v>
      </c>
      <c r="C33" s="8" t="str">
        <f>IF($I33=0,"",INDEX('إدخال وسجل المنتجات'!$B$5:$B$590,$I33))</f>
        <v>جوز البيكان</v>
      </c>
      <c r="D33" s="10" t="str">
        <f>IF($I33=0,"",INDEX('إدخال وسجل المنتجات'!$C$5:$C$590,$I33))</f>
        <v>Pecans</v>
      </c>
      <c r="E33" s="11" t="str">
        <f>IF($I33=0,"",INDEX('إدخال وسجل المنتجات'!$D$5:$D$590,$I33))</f>
        <v>مواد خام</v>
      </c>
      <c r="F33" s="2" t="str">
        <f>IF($I33=0,"",INDEX('إدخال وسجل المنتجات'!$G$5:$G$590,$I33))</f>
        <v>كيلو</v>
      </c>
      <c r="G33" s="12"/>
      <c r="H33" s="13"/>
      <c r="I33">
        <f>SUMPRODUCT(('إدخال وسجل المنتجات'!$I$5:$I$590="DRY")*('إدخال وسجل المنتجات'!$M$5:$M$590=31)*(ROW('إدخال وسجل المنتجات'!$I$5:$I$590)-4))</f>
        <v>339</v>
      </c>
      <c r="J33" s="2" t="str">
        <f>IF($I33=0,"",IF($G33="","",$G33*IF(INDEX('إدخال وسجل المنتجات'!$U$5:$U$590,$I33)=0,1,INDEX('إدخال وسجل المنتجات'!$U$5:$U$590,$I33))))</f>
        <v/>
      </c>
    </row>
    <row r="34" spans="1:10" ht="16" x14ac:dyDescent="0.15">
      <c r="A34" s="2">
        <f>IF($I34=0,"",32)</f>
        <v>32</v>
      </c>
      <c r="B34" s="9" t="str">
        <f>IF($I34=0,"",INDEX('إدخال وسجل المنتجات'!$F$5:$F$590,$I34))</f>
        <v>RAW-DRY-030</v>
      </c>
      <c r="C34" s="8" t="str">
        <f>IF($I34=0,"",INDEX('إدخال وسجل المنتجات'!$B$5:$B$590,$I34))</f>
        <v>جوز عين جمل</v>
      </c>
      <c r="D34" s="10" t="str">
        <f>IF($I34=0,"",INDEX('إدخال وسجل المنتجات'!$C$5:$C$590,$I34))</f>
        <v>Walnuts</v>
      </c>
      <c r="E34" s="11" t="str">
        <f>IF($I34=0,"",INDEX('إدخال وسجل المنتجات'!$D$5:$D$590,$I34))</f>
        <v>مواد خام</v>
      </c>
      <c r="F34" s="2" t="str">
        <f>IF($I34=0,"",INDEX('إدخال وسجل المنتجات'!$G$5:$G$590,$I34))</f>
        <v>كيلو</v>
      </c>
      <c r="G34" s="12"/>
      <c r="H34" s="13"/>
      <c r="I34">
        <f>SUMPRODUCT(('إدخال وسجل المنتجات'!$I$5:$I$590="DRY")*('إدخال وسجل المنتجات'!$M$5:$M$590=32)*(ROW('إدخال وسجل المنتجات'!$I$5:$I$590)-4))</f>
        <v>340</v>
      </c>
      <c r="J34" s="2" t="str">
        <f>IF($I34=0,"",IF($G34="","",$G34*IF(INDEX('إدخال وسجل المنتجات'!$U$5:$U$590,$I34)=0,1,INDEX('إدخال وسجل المنتجات'!$U$5:$U$590,$I34))))</f>
        <v/>
      </c>
    </row>
    <row r="35" spans="1:10" ht="16" x14ac:dyDescent="0.15">
      <c r="A35" s="2">
        <f>IF($I35=0,"",33)</f>
        <v>33</v>
      </c>
      <c r="B35" s="9" t="str">
        <f>IF($I35=0,"",INDEX('إدخال وسجل المنتجات'!$F$5:$F$590,$I35))</f>
        <v>RAW-DRY-031</v>
      </c>
      <c r="C35" s="8" t="str">
        <f>IF($I35=0,"",INDEX('إدخال وسجل المنتجات'!$B$5:$B$590,$I35))</f>
        <v>جوزة الطيب</v>
      </c>
      <c r="D35" s="10" t="str">
        <f>IF($I35=0,"",INDEX('إدخال وسجل المنتجات'!$C$5:$C$590,$I35))</f>
        <v>Nutmeg</v>
      </c>
      <c r="E35" s="11" t="str">
        <f>IF($I35=0,"",INDEX('إدخال وسجل المنتجات'!$D$5:$D$590,$I35))</f>
        <v>مواد خام</v>
      </c>
      <c r="F35" s="2" t="str">
        <f>IF($I35=0,"",INDEX('إدخال وسجل المنتجات'!$G$5:$G$590,$I35))</f>
        <v>كيلو</v>
      </c>
      <c r="G35" s="12"/>
      <c r="H35" s="13"/>
      <c r="I35">
        <f>SUMPRODUCT(('إدخال وسجل المنتجات'!$I$5:$I$590="DRY")*('إدخال وسجل المنتجات'!$M$5:$M$590=33)*(ROW('إدخال وسجل المنتجات'!$I$5:$I$590)-4))</f>
        <v>341</v>
      </c>
      <c r="J35" s="2" t="str">
        <f>IF($I35=0,"",IF($G35="","",$G35*IF(INDEX('إدخال وسجل المنتجات'!$U$5:$U$590,$I35)=0,1,INDEX('إدخال وسجل المنتجات'!$U$5:$U$590,$I35))))</f>
        <v/>
      </c>
    </row>
    <row r="36" spans="1:10" ht="16" x14ac:dyDescent="0.15">
      <c r="A36" s="2">
        <f>IF($I36=0,"",34)</f>
        <v>34</v>
      </c>
      <c r="B36" s="9" t="str">
        <f>IF($I36=0,"",INDEX('إدخال وسجل المنتجات'!$F$5:$F$590,$I36))</f>
        <v>RAW-DRY-032</v>
      </c>
      <c r="C36" s="8" t="str">
        <f>IF($I36=0,"",INDEX('إدخال وسجل المنتجات'!$B$5:$B$590,$I36))</f>
        <v>حب قرع اخضر</v>
      </c>
      <c r="D36" s="10" t="str">
        <f>IF($I36=0,"",INDEX('إدخال وسجل المنتجات'!$C$5:$C$590,$I36))</f>
        <v>Squash</v>
      </c>
      <c r="E36" s="11" t="str">
        <f>IF($I36=0,"",INDEX('إدخال وسجل المنتجات'!$D$5:$D$590,$I36))</f>
        <v>مواد خام</v>
      </c>
      <c r="F36" s="2" t="str">
        <f>IF($I36=0,"",INDEX('إدخال وسجل المنتجات'!$G$5:$G$590,$I36))</f>
        <v>كيلو</v>
      </c>
      <c r="G36" s="12"/>
      <c r="H36" s="13"/>
      <c r="I36">
        <f>SUMPRODUCT(('إدخال وسجل المنتجات'!$I$5:$I$590="DRY")*('إدخال وسجل المنتجات'!$M$5:$M$590=34)*(ROW('إدخال وسجل المنتجات'!$I$5:$I$590)-4))</f>
        <v>346</v>
      </c>
      <c r="J36" s="2" t="str">
        <f>IF($I36=0,"",IF($G36="","",$G36*IF(INDEX('إدخال وسجل المنتجات'!$U$5:$U$590,$I36)=0,1,INDEX('إدخال وسجل المنتجات'!$U$5:$U$590,$I36))))</f>
        <v/>
      </c>
    </row>
    <row r="37" spans="1:10" ht="16" x14ac:dyDescent="0.15">
      <c r="A37" s="2">
        <f>IF($I37=0,"",35)</f>
        <v>35</v>
      </c>
      <c r="B37" s="9" t="str">
        <f>IF($I37=0,"",INDEX('إدخال وسجل المنتجات'!$F$5:$F$590,$I37))</f>
        <v>RAW-DRY-033</v>
      </c>
      <c r="C37" s="8" t="str">
        <f>IF($I37=0,"",INDEX('إدخال وسجل المنتجات'!$B$5:$B$590,$I37))</f>
        <v>حبة البركة</v>
      </c>
      <c r="D37" s="10" t="str">
        <f>IF($I37=0,"",INDEX('إدخال وسجل المنتجات'!$C$5:$C$590,$I37))</f>
        <v>Nigella Seeds</v>
      </c>
      <c r="E37" s="11" t="str">
        <f>IF($I37=0,"",INDEX('إدخال وسجل المنتجات'!$D$5:$D$590,$I37))</f>
        <v>مواد خام</v>
      </c>
      <c r="F37" s="2" t="str">
        <f>IF($I37=0,"",INDEX('إدخال وسجل المنتجات'!$G$5:$G$590,$I37))</f>
        <v>كيلو</v>
      </c>
      <c r="G37" s="12"/>
      <c r="H37" s="13"/>
      <c r="I37">
        <f>SUMPRODUCT(('إدخال وسجل المنتجات'!$I$5:$I$590="DRY")*('إدخال وسجل المنتجات'!$M$5:$M$590=35)*(ROW('إدخال وسجل المنتجات'!$I$5:$I$590)-4))</f>
        <v>347</v>
      </c>
      <c r="J37" s="2" t="str">
        <f>IF($I37=0,"",IF($G37="","",$G37*IF(INDEX('إدخال وسجل المنتجات'!$U$5:$U$590,$I37)=0,1,INDEX('إدخال وسجل المنتجات'!$U$5:$U$590,$I37))))</f>
        <v/>
      </c>
    </row>
    <row r="38" spans="1:10" ht="16" x14ac:dyDescent="0.15">
      <c r="A38" s="2">
        <f>IF($I38=0,"",36)</f>
        <v>36</v>
      </c>
      <c r="B38" s="9" t="str">
        <f>IF($I38=0,"",INDEX('إدخال وسجل المنتجات'!$F$5:$F$590,$I38))</f>
        <v>RAW-DRY-034</v>
      </c>
      <c r="C38" s="8" t="str">
        <f>IF($I38=0,"",INDEX('إدخال وسجل المنتجات'!$B$5:$B$590,$I38))</f>
        <v>حليب طويل الاجل</v>
      </c>
      <c r="D38" s="10" t="str">
        <f>IF($I38=0,"",INDEX('إدخال وسجل المنتجات'!$C$5:$C$590,$I38))</f>
        <v>Long-Life Milk</v>
      </c>
      <c r="E38" s="11" t="str">
        <f>IF($I38=0,"",INDEX('إدخال وسجل المنتجات'!$D$5:$D$590,$I38))</f>
        <v>مواد خام</v>
      </c>
      <c r="F38" s="2" t="str">
        <f>IF($I38=0,"",INDEX('إدخال وسجل المنتجات'!$G$5:$G$590,$I38))</f>
        <v>لتر</v>
      </c>
      <c r="G38" s="12"/>
      <c r="H38" s="13"/>
      <c r="I38">
        <f>SUMPRODUCT(('إدخال وسجل المنتجات'!$I$5:$I$590="DRY")*('إدخال وسجل المنتجات'!$M$5:$M$590=36)*(ROW('إدخال وسجل المنتجات'!$I$5:$I$590)-4))</f>
        <v>350</v>
      </c>
      <c r="J38" s="2" t="str">
        <f>IF($I38=0,"",IF($G38="","",$G38*IF(INDEX('إدخال وسجل المنتجات'!$U$5:$U$590,$I38)=0,1,INDEX('إدخال وسجل المنتجات'!$U$5:$U$590,$I38))))</f>
        <v/>
      </c>
    </row>
    <row r="39" spans="1:10" ht="16" x14ac:dyDescent="0.15">
      <c r="A39" s="2">
        <f>IF($I39=0,"",37)</f>
        <v>37</v>
      </c>
      <c r="B39" s="9" t="str">
        <f>IF($I39=0,"",INDEX('إدخال وسجل المنتجات'!$F$5:$F$590,$I39))</f>
        <v>RAW-DRY-035</v>
      </c>
      <c r="C39" s="8" t="str">
        <f>IF($I39=0,"",INDEX('إدخال وسجل المنتجات'!$B$5:$B$590,$I39))</f>
        <v>حليب مجفف</v>
      </c>
      <c r="D39" s="10" t="str">
        <f>IF($I39=0,"",INDEX('إدخال وسجل المنتجات'!$C$5:$C$590,$I39))</f>
        <v>Powdered Milk</v>
      </c>
      <c r="E39" s="11" t="str">
        <f>IF($I39=0,"",INDEX('إدخال وسجل المنتجات'!$D$5:$D$590,$I39))</f>
        <v>مواد خام</v>
      </c>
      <c r="F39" s="2" t="str">
        <f>IF($I39=0,"",INDEX('إدخال وسجل المنتجات'!$G$5:$G$590,$I39))</f>
        <v>كيلو</v>
      </c>
      <c r="G39" s="12"/>
      <c r="H39" s="13"/>
      <c r="I39">
        <f>SUMPRODUCT(('إدخال وسجل المنتجات'!$I$5:$I$590="DRY")*('إدخال وسجل المنتجات'!$M$5:$M$590=37)*(ROW('إدخال وسجل المنتجات'!$I$5:$I$590)-4))</f>
        <v>352</v>
      </c>
      <c r="J39" s="2" t="str">
        <f>IF($I39=0,"",IF($G39="","",$G39*IF(INDEX('إدخال وسجل المنتجات'!$U$5:$U$590,$I39)=0,1,INDEX('إدخال وسجل المنتجات'!$U$5:$U$590,$I39))))</f>
        <v/>
      </c>
    </row>
    <row r="40" spans="1:10" ht="16" x14ac:dyDescent="0.15">
      <c r="A40" s="2">
        <f>IF($I40=0,"",38)</f>
        <v>38</v>
      </c>
      <c r="B40" s="9" t="str">
        <f>IF($I40=0,"",INDEX('إدخال وسجل المنتجات'!$F$5:$F$590,$I40))</f>
        <v>RAW-DRY-036</v>
      </c>
      <c r="C40" s="8" t="str">
        <f>IF($I40=0,"",INDEX('إدخال وسجل المنتجات'!$B$5:$B$590,$I40))</f>
        <v>خردل</v>
      </c>
      <c r="D40" s="10" t="str">
        <f>IF($I40=0,"",INDEX('إدخال وسجل المنتجات'!$C$5:$C$590,$I40))</f>
        <v>Mustard</v>
      </c>
      <c r="E40" s="11" t="str">
        <f>IF($I40=0,"",INDEX('إدخال وسجل المنتجات'!$D$5:$D$590,$I40))</f>
        <v>مواد خام</v>
      </c>
      <c r="F40" s="2" t="str">
        <f>IF($I40=0,"",INDEX('إدخال وسجل المنتجات'!$G$5:$G$590,$I40))</f>
        <v>لتر</v>
      </c>
      <c r="G40" s="12"/>
      <c r="H40" s="13"/>
      <c r="I40">
        <f>SUMPRODUCT(('إدخال وسجل المنتجات'!$I$5:$I$590="DRY")*('إدخال وسجل المنتجات'!$M$5:$M$590=38)*(ROW('إدخال وسجل المنتجات'!$I$5:$I$590)-4))</f>
        <v>353</v>
      </c>
      <c r="J40" s="2" t="str">
        <f>IF($I40=0,"",IF($G40="","",$G40*IF(INDEX('إدخال وسجل المنتجات'!$U$5:$U$590,$I40)=0,1,INDEX('إدخال وسجل المنتجات'!$U$5:$U$590,$I40))))</f>
        <v/>
      </c>
    </row>
    <row r="41" spans="1:10" ht="16" x14ac:dyDescent="0.15">
      <c r="A41" s="2">
        <f>IF($I41=0,"",39)</f>
        <v>39</v>
      </c>
      <c r="B41" s="9" t="str">
        <f>IF($I41=0,"",INDEX('إدخال وسجل المنتجات'!$F$5:$F$590,$I41))</f>
        <v>RAW-DRY-037</v>
      </c>
      <c r="C41" s="8" t="str">
        <f>IF($I41=0,"",INDEX('إدخال وسجل المنتجات'!$B$5:$B$590,$I41))</f>
        <v>خردل ديجون</v>
      </c>
      <c r="D41" s="10" t="str">
        <f>IF($I41=0,"",INDEX('إدخال وسجل المنتجات'!$C$5:$C$590,$I41))</f>
        <v>Mustard</v>
      </c>
      <c r="E41" s="11" t="str">
        <f>IF($I41=0,"",INDEX('إدخال وسجل المنتجات'!$D$5:$D$590,$I41))</f>
        <v>مواد خام</v>
      </c>
      <c r="F41" s="2" t="str">
        <f>IF($I41=0,"",INDEX('إدخال وسجل المنتجات'!$G$5:$G$590,$I41))</f>
        <v>لتر</v>
      </c>
      <c r="G41" s="12"/>
      <c r="H41" s="13"/>
      <c r="I41">
        <f>SUMPRODUCT(('إدخال وسجل المنتجات'!$I$5:$I$590="DRY")*('إدخال وسجل المنتجات'!$M$5:$M$590=39)*(ROW('إدخال وسجل المنتجات'!$I$5:$I$590)-4))</f>
        <v>354</v>
      </c>
      <c r="J41" s="2" t="str">
        <f>IF($I41=0,"",IF($G41="","",$G41*IF(INDEX('إدخال وسجل المنتجات'!$U$5:$U$590,$I41)=0,1,INDEX('إدخال وسجل المنتجات'!$U$5:$U$590,$I41))))</f>
        <v/>
      </c>
    </row>
    <row r="42" spans="1:10" ht="16" x14ac:dyDescent="0.15">
      <c r="A42" s="2">
        <f>IF($I42=0,"",40)</f>
        <v>40</v>
      </c>
      <c r="B42" s="9" t="str">
        <f>IF($I42=0,"",INDEX('إدخال وسجل المنتجات'!$F$5:$F$590,$I42))</f>
        <v>RAW-DRY-038</v>
      </c>
      <c r="C42" s="8" t="str">
        <f>IF($I42=0,"",INDEX('إدخال وسجل المنتجات'!$B$5:$B$590,$I42))</f>
        <v>خل البلسميك</v>
      </c>
      <c r="D42" s="10" t="str">
        <f>IF($I42=0,"",INDEX('إدخال وسجل المنتجات'!$C$5:$C$590,$I42))</f>
        <v>Balsamic Vinegar</v>
      </c>
      <c r="E42" s="11" t="str">
        <f>IF($I42=0,"",INDEX('إدخال وسجل المنتجات'!$D$5:$D$590,$I42))</f>
        <v>مواد خام</v>
      </c>
      <c r="F42" s="2" t="str">
        <f>IF($I42=0,"",INDEX('إدخال وسجل المنتجات'!$G$5:$G$590,$I42))</f>
        <v>لتر</v>
      </c>
      <c r="G42" s="12"/>
      <c r="H42" s="13"/>
      <c r="I42">
        <f>SUMPRODUCT(('إدخال وسجل المنتجات'!$I$5:$I$590="DRY")*('إدخال وسجل المنتجات'!$M$5:$M$590=40)*(ROW('إدخال وسجل المنتجات'!$I$5:$I$590)-4))</f>
        <v>358</v>
      </c>
      <c r="J42" s="2" t="str">
        <f>IF($I42=0,"",IF($G42="","",$G42*IF(INDEX('إدخال وسجل المنتجات'!$U$5:$U$590,$I42)=0,1,INDEX('إدخال وسجل المنتجات'!$U$5:$U$590,$I42))))</f>
        <v/>
      </c>
    </row>
    <row r="43" spans="1:10" ht="16" x14ac:dyDescent="0.15">
      <c r="A43" s="2">
        <f>IF($I43=0,"",41)</f>
        <v>41</v>
      </c>
      <c r="B43" s="9" t="str">
        <f>IF($I43=0,"",INDEX('إدخال وسجل المنتجات'!$F$5:$F$590,$I43))</f>
        <v>RAW-DRY-039</v>
      </c>
      <c r="C43" s="8" t="str">
        <f>IF($I43=0,"",INDEX('إدخال وسجل المنتجات'!$B$5:$B$590,$I43))</f>
        <v>خل تفاح</v>
      </c>
      <c r="D43" s="10" t="str">
        <f>IF($I43=0,"",INDEX('إدخال وسجل المنتجات'!$C$5:$C$590,$I43))</f>
        <v>Apple Vinegar</v>
      </c>
      <c r="E43" s="11" t="str">
        <f>IF($I43=0,"",INDEX('إدخال وسجل المنتجات'!$D$5:$D$590,$I43))</f>
        <v>مواد خام</v>
      </c>
      <c r="F43" s="2" t="str">
        <f>IF($I43=0,"",INDEX('إدخال وسجل المنتجات'!$G$5:$G$590,$I43))</f>
        <v>لتر</v>
      </c>
      <c r="G43" s="12"/>
      <c r="H43" s="13"/>
      <c r="I43">
        <f>SUMPRODUCT(('إدخال وسجل المنتجات'!$I$5:$I$590="DRY")*('إدخال وسجل المنتجات'!$M$5:$M$590=41)*(ROW('إدخال وسجل المنتجات'!$I$5:$I$590)-4))</f>
        <v>359</v>
      </c>
      <c r="J43" s="2" t="str">
        <f>IF($I43=0,"",IF($G43="","",$G43*IF(INDEX('إدخال وسجل المنتجات'!$U$5:$U$590,$I43)=0,1,INDEX('إدخال وسجل المنتجات'!$U$5:$U$590,$I43))))</f>
        <v/>
      </c>
    </row>
    <row r="44" spans="1:10" ht="16" x14ac:dyDescent="0.15">
      <c r="A44" s="2">
        <f>IF($I44=0,"",42)</f>
        <v>42</v>
      </c>
      <c r="B44" s="9" t="str">
        <f>IF($I44=0,"",INDEX('إدخال وسجل المنتجات'!$F$5:$F$590,$I44))</f>
        <v>RAW-DRY-040</v>
      </c>
      <c r="C44" s="8" t="str">
        <f>IF($I44=0,"",INDEX('إدخال وسجل المنتجات'!$B$5:$B$590,$I44))</f>
        <v>خل عادي ابيض</v>
      </c>
      <c r="D44" s="10" t="str">
        <f>IF($I44=0,"",INDEX('إدخال وسجل المنتجات'!$C$5:$C$590,$I44))</f>
        <v>Vinegar</v>
      </c>
      <c r="E44" s="11" t="str">
        <f>IF($I44=0,"",INDEX('إدخال وسجل المنتجات'!$D$5:$D$590,$I44))</f>
        <v>مواد خام</v>
      </c>
      <c r="F44" s="2" t="str">
        <f>IF($I44=0,"",INDEX('إدخال وسجل المنتجات'!$G$5:$G$590,$I44))</f>
        <v>لتر</v>
      </c>
      <c r="G44" s="12"/>
      <c r="H44" s="13"/>
      <c r="I44">
        <f>SUMPRODUCT(('إدخال وسجل المنتجات'!$I$5:$I$590="DRY")*('إدخال وسجل المنتجات'!$M$5:$M$590=42)*(ROW('إدخال وسجل المنتجات'!$I$5:$I$590)-4))</f>
        <v>360</v>
      </c>
      <c r="J44" s="2" t="str">
        <f>IF($I44=0,"",IF($G44="","",$G44*IF(INDEX('إدخال وسجل المنتجات'!$U$5:$U$590,$I44)=0,1,INDEX('إدخال وسجل المنتجات'!$U$5:$U$590,$I44))))</f>
        <v/>
      </c>
    </row>
    <row r="45" spans="1:10" ht="16" x14ac:dyDescent="0.15">
      <c r="A45" s="2">
        <f>IF($I45=0,"",43)</f>
        <v>43</v>
      </c>
      <c r="B45" s="9" t="str">
        <f>IF($I45=0,"",INDEX('إدخال وسجل المنتجات'!$F$5:$F$590,$I45))</f>
        <v>RAW-DRY-041</v>
      </c>
      <c r="C45" s="8" t="str">
        <f>IF($I45=0,"",INDEX('إدخال وسجل المنتجات'!$B$5:$B$590,$I45))</f>
        <v>خميرة طبيعية</v>
      </c>
      <c r="D45" s="10" t="str">
        <f>IF($I45=0,"",INDEX('إدخال وسجل المنتجات'!$C$5:$C$590,$I45))</f>
        <v>Yeast</v>
      </c>
      <c r="E45" s="11" t="str">
        <f>IF($I45=0,"",INDEX('إدخال وسجل المنتجات'!$D$5:$D$590,$I45))</f>
        <v>مواد خام</v>
      </c>
      <c r="F45" s="2" t="str">
        <f>IF($I45=0,"",INDEX('إدخال وسجل المنتجات'!$G$5:$G$590,$I45))</f>
        <v>كيلو</v>
      </c>
      <c r="G45" s="12"/>
      <c r="H45" s="13"/>
      <c r="I45">
        <f>SUMPRODUCT(('إدخال وسجل المنتجات'!$I$5:$I$590="DRY")*('إدخال وسجل المنتجات'!$M$5:$M$590=43)*(ROW('إدخال وسجل المنتجات'!$I$5:$I$590)-4))</f>
        <v>361</v>
      </c>
      <c r="J45" s="2" t="str">
        <f>IF($I45=0,"",IF($G45="","",$G45*IF(INDEX('إدخال وسجل المنتجات'!$U$5:$U$590,$I45)=0,1,INDEX('إدخال وسجل المنتجات'!$U$5:$U$590,$I45))))</f>
        <v/>
      </c>
    </row>
    <row r="46" spans="1:10" ht="16" x14ac:dyDescent="0.15">
      <c r="A46" s="2">
        <f>IF($I46=0,"",44)</f>
        <v>44</v>
      </c>
      <c r="B46" s="9" t="str">
        <f>IF($I46=0,"",INDEX('إدخال وسجل المنتجات'!$F$5:$F$590,$I46))</f>
        <v>RAW-DRY-042</v>
      </c>
      <c r="C46" s="8" t="str">
        <f>IF($I46=0,"",INDEX('إدخال وسجل المنتجات'!$B$5:$B$590,$I46))</f>
        <v>خميرة فورية</v>
      </c>
      <c r="D46" s="10" t="str">
        <f>IF($I46=0,"",INDEX('إدخال وسجل المنتجات'!$C$5:$C$590,$I46))</f>
        <v>Yeast</v>
      </c>
      <c r="E46" s="11" t="str">
        <f>IF($I46=0,"",INDEX('إدخال وسجل المنتجات'!$D$5:$D$590,$I46))</f>
        <v>مواد خام</v>
      </c>
      <c r="F46" s="2" t="str">
        <f>IF($I46=0,"",INDEX('إدخال وسجل المنتجات'!$G$5:$G$590,$I46))</f>
        <v>كيلو</v>
      </c>
      <c r="G46" s="12"/>
      <c r="H46" s="13"/>
      <c r="I46">
        <f>SUMPRODUCT(('إدخال وسجل المنتجات'!$I$5:$I$590="DRY")*('إدخال وسجل المنتجات'!$M$5:$M$590=44)*(ROW('إدخال وسجل المنتجات'!$I$5:$I$590)-4))</f>
        <v>362</v>
      </c>
      <c r="J46" s="2" t="str">
        <f>IF($I46=0,"",IF($G46="","",$G46*IF(INDEX('إدخال وسجل المنتجات'!$U$5:$U$590,$I46)=0,1,INDEX('إدخال وسجل المنتجات'!$U$5:$U$590,$I46))))</f>
        <v/>
      </c>
    </row>
    <row r="47" spans="1:10" ht="16" x14ac:dyDescent="0.15">
      <c r="A47" s="2">
        <f>IF($I47=0,"",45)</f>
        <v>45</v>
      </c>
      <c r="B47" s="9" t="str">
        <f>IF($I47=0,"",INDEX('إدخال وسجل المنتجات'!$F$5:$F$590,$I47))</f>
        <v>RAW-DRY-043</v>
      </c>
      <c r="C47" s="8" t="str">
        <f>IF($I47=0,"",INDEX('إدخال وسجل المنتجات'!$B$5:$B$590,$I47))</f>
        <v>دبس رمان</v>
      </c>
      <c r="D47" s="10" t="str">
        <f>IF($I47=0,"",INDEX('إدخال وسجل المنتجات'!$C$5:$C$590,$I47))</f>
        <v>Pomegranate Molasses</v>
      </c>
      <c r="E47" s="11" t="str">
        <f>IF($I47=0,"",INDEX('إدخال وسجل المنتجات'!$D$5:$D$590,$I47))</f>
        <v>مواد خام</v>
      </c>
      <c r="F47" s="2" t="str">
        <f>IF($I47=0,"",INDEX('إدخال وسجل المنتجات'!$G$5:$G$590,$I47))</f>
        <v>لتر</v>
      </c>
      <c r="G47" s="12"/>
      <c r="H47" s="13"/>
      <c r="I47">
        <f>SUMPRODUCT(('إدخال وسجل المنتجات'!$I$5:$I$590="DRY")*('إدخال وسجل المنتجات'!$M$5:$M$590=45)*(ROW('إدخال وسجل المنتجات'!$I$5:$I$590)-4))</f>
        <v>364</v>
      </c>
      <c r="J47" s="2" t="str">
        <f>IF($I47=0,"",IF($G47="","",$G47*IF(INDEX('إدخال وسجل المنتجات'!$U$5:$U$590,$I47)=0,1,INDEX('إدخال وسجل المنتجات'!$U$5:$U$590,$I47))))</f>
        <v/>
      </c>
    </row>
    <row r="48" spans="1:10" ht="16" x14ac:dyDescent="0.15">
      <c r="A48" s="2">
        <f>IF($I48=0,"",46)</f>
        <v>46</v>
      </c>
      <c r="B48" s="9" t="str">
        <f>IF($I48=0,"",INDEX('إدخال وسجل المنتجات'!$F$5:$F$590,$I48))</f>
        <v>RAW-DRY-044</v>
      </c>
      <c r="C48" s="8" t="str">
        <f>IF($I48=0,"",INDEX('إدخال وسجل المنتجات'!$B$5:$B$590,$I48))</f>
        <v>دقيق ابو صقر</v>
      </c>
      <c r="D48" s="10" t="str">
        <f>IF($I48=0,"",INDEX('إدخال وسجل المنتجات'!$C$5:$C$590,$I48))</f>
        <v>Flour Abu Saqr</v>
      </c>
      <c r="E48" s="11" t="str">
        <f>IF($I48=0,"",INDEX('إدخال وسجل المنتجات'!$D$5:$D$590,$I48))</f>
        <v>مواد خام</v>
      </c>
      <c r="F48" s="2" t="str">
        <f>IF($I48=0,"",INDEX('إدخال وسجل المنتجات'!$G$5:$G$590,$I48))</f>
        <v>كيلو</v>
      </c>
      <c r="G48" s="12"/>
      <c r="H48" s="13"/>
      <c r="I48">
        <f>SUMPRODUCT(('إدخال وسجل المنتجات'!$I$5:$I$590="DRY")*('إدخال وسجل المنتجات'!$M$5:$M$590=46)*(ROW('إدخال وسجل المنتجات'!$I$5:$I$590)-4))</f>
        <v>365</v>
      </c>
      <c r="J48" s="2" t="str">
        <f>IF($I48=0,"",IF($G48="","",$G48*IF(INDEX('إدخال وسجل المنتجات'!$U$5:$U$590,$I48)=0,1,INDEX('إدخال وسجل المنتجات'!$U$5:$U$590,$I48))))</f>
        <v/>
      </c>
    </row>
    <row r="49" spans="1:10" ht="16" x14ac:dyDescent="0.15">
      <c r="A49" s="2">
        <f>IF($I49=0,"",47)</f>
        <v>47</v>
      </c>
      <c r="B49" s="9" t="str">
        <f>IF($I49=0,"",INDEX('إدخال وسجل المنتجات'!$F$5:$F$590,$I49))</f>
        <v>RAW-DRY-045</v>
      </c>
      <c r="C49" s="8" t="str">
        <f>IF($I49=0,"",INDEX('إدخال وسجل المنتجات'!$B$5:$B$590,$I49))</f>
        <v>دقيق ابو معية</v>
      </c>
      <c r="D49" s="10" t="str">
        <f>IF($I49=0,"",INDEX('إدخال وسجل المنتجات'!$C$5:$C$590,$I49))</f>
        <v>Flour Abu Maaiyah</v>
      </c>
      <c r="E49" s="11" t="str">
        <f>IF($I49=0,"",INDEX('إدخال وسجل المنتجات'!$D$5:$D$590,$I49))</f>
        <v>مواد خام</v>
      </c>
      <c r="F49" s="2" t="str">
        <f>IF($I49=0,"",INDEX('إدخال وسجل المنتجات'!$G$5:$G$590,$I49))</f>
        <v>كيلو</v>
      </c>
      <c r="G49" s="12"/>
      <c r="H49" s="13"/>
      <c r="I49">
        <f>SUMPRODUCT(('إدخال وسجل المنتجات'!$I$5:$I$590="DRY")*('إدخال وسجل المنتجات'!$M$5:$M$590=47)*(ROW('إدخال وسجل المنتجات'!$I$5:$I$590)-4))</f>
        <v>366</v>
      </c>
      <c r="J49" s="2" t="str">
        <f>IF($I49=0,"",IF($G49="","",$G49*IF(INDEX('إدخال وسجل المنتجات'!$U$5:$U$590,$I49)=0,1,INDEX('إدخال وسجل المنتجات'!$U$5:$U$590,$I49))))</f>
        <v/>
      </c>
    </row>
    <row r="50" spans="1:10" ht="16" x14ac:dyDescent="0.15">
      <c r="A50" s="2">
        <f>IF($I50=0,"",48)</f>
        <v>48</v>
      </c>
      <c r="B50" s="9" t="str">
        <f>IF($I50=0,"",INDEX('إدخال وسجل المنتجات'!$F$5:$F$590,$I50))</f>
        <v>RAW-DRY-046</v>
      </c>
      <c r="C50" s="8" t="str">
        <f>IF($I50=0,"",INDEX('إدخال وسجل المنتجات'!$B$5:$B$590,$I50))</f>
        <v>دقيق اسمر بر</v>
      </c>
      <c r="D50" s="10" t="str">
        <f>IF($I50=0,"",INDEX('إدخال وسجل المنتجات'!$C$5:$C$590,$I50))</f>
        <v>Flour Brown Whole Wheat</v>
      </c>
      <c r="E50" s="11" t="str">
        <f>IF($I50=0,"",INDEX('إدخال وسجل المنتجات'!$D$5:$D$590,$I50))</f>
        <v>مواد خام</v>
      </c>
      <c r="F50" s="2" t="str">
        <f>IF($I50=0,"",INDEX('إدخال وسجل المنتجات'!$G$5:$G$590,$I50))</f>
        <v>كيلو</v>
      </c>
      <c r="G50" s="12"/>
      <c r="H50" s="13"/>
      <c r="I50">
        <f>SUMPRODUCT(('إدخال وسجل المنتجات'!$I$5:$I$590="DRY")*('إدخال وسجل المنتجات'!$M$5:$M$590=48)*(ROW('إدخال وسجل المنتجات'!$I$5:$I$590)-4))</f>
        <v>367</v>
      </c>
      <c r="J50" s="2" t="str">
        <f>IF($I50=0,"",IF($G50="","",$G50*IF(INDEX('إدخال وسجل المنتجات'!$U$5:$U$590,$I50)=0,1,INDEX('إدخال وسجل المنتجات'!$U$5:$U$590,$I50))))</f>
        <v/>
      </c>
    </row>
    <row r="51" spans="1:10" ht="16" x14ac:dyDescent="0.15">
      <c r="A51" s="2">
        <f>IF($I51=0,"",49)</f>
        <v>49</v>
      </c>
      <c r="B51" s="9" t="str">
        <f>IF($I51=0,"",INDEX('إدخال وسجل المنتجات'!$F$5:$F$590,$I51))</f>
        <v>RAW-DRY-047</v>
      </c>
      <c r="C51" s="8" t="str">
        <f>IF($I51=0,"",INDEX('إدخال وسجل المنتجات'!$B$5:$B$590,$I51))</f>
        <v>دقيق عادي</v>
      </c>
      <c r="D51" s="10" t="str">
        <f>IF($I51=0,"",INDEX('إدخال وسجل المنتجات'!$C$5:$C$590,$I51))</f>
        <v>Flour</v>
      </c>
      <c r="E51" s="11" t="str">
        <f>IF($I51=0,"",INDEX('إدخال وسجل المنتجات'!$D$5:$D$590,$I51))</f>
        <v>مواد خام</v>
      </c>
      <c r="F51" s="2" t="str">
        <f>IF($I51=0,"",INDEX('إدخال وسجل المنتجات'!$G$5:$G$590,$I51))</f>
        <v>كيلو</v>
      </c>
      <c r="G51" s="12"/>
      <c r="H51" s="13"/>
      <c r="I51">
        <f>SUMPRODUCT(('إدخال وسجل المنتجات'!$I$5:$I$590="DRY")*('إدخال وسجل المنتجات'!$M$5:$M$590=49)*(ROW('إدخال وسجل المنتجات'!$I$5:$I$590)-4))</f>
        <v>368</v>
      </c>
      <c r="J51" s="2" t="str">
        <f>IF($I51=0,"",IF($G51="","",$G51*IF(INDEX('إدخال وسجل المنتجات'!$U$5:$U$590,$I51)=0,1,INDEX('إدخال وسجل المنتجات'!$U$5:$U$590,$I51))))</f>
        <v/>
      </c>
    </row>
    <row r="52" spans="1:10" ht="16" x14ac:dyDescent="0.15">
      <c r="A52" s="2">
        <f>IF($I52=0,"",50)</f>
        <v>50</v>
      </c>
      <c r="B52" s="9" t="str">
        <f>IF($I52=0,"",INDEX('إدخال وسجل المنتجات'!$F$5:$F$590,$I52))</f>
        <v>RAW-DRY-048</v>
      </c>
      <c r="C52" s="8" t="str">
        <f>IF($I52=0,"",INDEX('إدخال وسجل المنتجات'!$B$5:$B$590,$I52))</f>
        <v>دقيق فاخر المدينة</v>
      </c>
      <c r="D52" s="10" t="str">
        <f>IF($I52=0,"",INDEX('إدخال وسجل المنتجات'!$C$5:$C$590,$I52))</f>
        <v>Flour Premium Madinah</v>
      </c>
      <c r="E52" s="11" t="str">
        <f>IF($I52=0,"",INDEX('إدخال وسجل المنتجات'!$D$5:$D$590,$I52))</f>
        <v>مواد خام</v>
      </c>
      <c r="F52" s="2" t="str">
        <f>IF($I52=0,"",INDEX('إدخال وسجل المنتجات'!$G$5:$G$590,$I52))</f>
        <v>كيلو</v>
      </c>
      <c r="G52" s="12"/>
      <c r="H52" s="13"/>
      <c r="I52">
        <f>SUMPRODUCT(('إدخال وسجل المنتجات'!$I$5:$I$590="DRY")*('إدخال وسجل المنتجات'!$M$5:$M$590=50)*(ROW('إدخال وسجل المنتجات'!$I$5:$I$590)-4))</f>
        <v>369</v>
      </c>
      <c r="J52" s="2" t="str">
        <f>IF($I52=0,"",IF($G52="","",$G52*IF(INDEX('إدخال وسجل المنتجات'!$U$5:$U$590,$I52)=0,1,INDEX('إدخال وسجل المنتجات'!$U$5:$U$590,$I52))))</f>
        <v/>
      </c>
    </row>
    <row r="53" spans="1:10" ht="16" x14ac:dyDescent="0.15">
      <c r="A53" s="2">
        <f>IF($I53=0,"",51)</f>
        <v>51</v>
      </c>
      <c r="B53" s="9" t="str">
        <f>IF($I53=0,"",INDEX('إدخال وسجل المنتجات'!$F$5:$F$590,$I53))</f>
        <v>RAW-DRY-049</v>
      </c>
      <c r="C53" s="8" t="str">
        <f>IF($I53=0,"",INDEX('إدخال وسجل المنتجات'!$B$5:$B$590,$I53))</f>
        <v>دقيق نوفولا سوبر</v>
      </c>
      <c r="D53" s="10" t="str">
        <f>IF($I53=0,"",INDEX('إدخال وسجل المنتجات'!$C$5:$C$590,$I53))</f>
        <v>Flour Nuvola Super</v>
      </c>
      <c r="E53" s="11" t="str">
        <f>IF($I53=0,"",INDEX('إدخال وسجل المنتجات'!$D$5:$D$590,$I53))</f>
        <v>مواد خام</v>
      </c>
      <c r="F53" s="2" t="str">
        <f>IF($I53=0,"",INDEX('إدخال وسجل المنتجات'!$G$5:$G$590,$I53))</f>
        <v>كيلو</v>
      </c>
      <c r="G53" s="12"/>
      <c r="H53" s="13"/>
      <c r="I53">
        <f>SUMPRODUCT(('إدخال وسجل المنتجات'!$I$5:$I$590="DRY")*('إدخال وسجل المنتجات'!$M$5:$M$590=51)*(ROW('إدخال وسجل المنتجات'!$I$5:$I$590)-4))</f>
        <v>370</v>
      </c>
      <c r="J53" s="2" t="str">
        <f>IF($I53=0,"",IF($G53="","",$G53*IF(INDEX('إدخال وسجل المنتجات'!$U$5:$U$590,$I53)=0,1,INDEX('إدخال وسجل المنتجات'!$U$5:$U$590,$I53))))</f>
        <v/>
      </c>
    </row>
    <row r="54" spans="1:10" ht="16" x14ac:dyDescent="0.15">
      <c r="A54" s="2">
        <f>IF($I54=0,"",52)</f>
        <v>52</v>
      </c>
      <c r="B54" s="9" t="str">
        <f>IF($I54=0,"",INDEX('إدخال وسجل المنتجات'!$F$5:$F$590,$I54))</f>
        <v>RAW-DRY-050</v>
      </c>
      <c r="C54" s="8" t="str">
        <f>IF($I54=0,"",INDEX('إدخال وسجل المنتجات'!$B$5:$B$590,$I54))</f>
        <v>ريجاتوني</v>
      </c>
      <c r="D54" s="10" t="str">
        <f>IF($I54=0,"",INDEX('إدخال وسجل المنتجات'!$C$5:$C$590,$I54))</f>
        <v>Rigatoni</v>
      </c>
      <c r="E54" s="11" t="str">
        <f>IF($I54=0,"",INDEX('إدخال وسجل المنتجات'!$D$5:$D$590,$I54))</f>
        <v>مواد خام</v>
      </c>
      <c r="F54" s="2" t="str">
        <f>IF($I54=0,"",INDEX('إدخال وسجل المنتجات'!$G$5:$G$590,$I54))</f>
        <v>كيلو</v>
      </c>
      <c r="G54" s="12"/>
      <c r="H54" s="13"/>
      <c r="I54">
        <f>SUMPRODUCT(('إدخال وسجل المنتجات'!$I$5:$I$590="DRY")*('إدخال وسجل المنتجات'!$M$5:$M$590=52)*(ROW('إدخال وسجل المنتجات'!$I$5:$I$590)-4))</f>
        <v>378</v>
      </c>
      <c r="J54" s="2" t="str">
        <f>IF($I54=0,"",IF($G54="","",$G54*IF(INDEX('إدخال وسجل المنتجات'!$U$5:$U$590,$I54)=0,1,INDEX('إدخال وسجل المنتجات'!$U$5:$U$590,$I54))))</f>
        <v/>
      </c>
    </row>
    <row r="55" spans="1:10" ht="16" x14ac:dyDescent="0.15">
      <c r="A55" s="2">
        <f>IF($I55=0,"",53)</f>
        <v>53</v>
      </c>
      <c r="B55" s="9" t="str">
        <f>IF($I55=0,"",INDEX('إدخال وسجل المنتجات'!$F$5:$F$590,$I55))</f>
        <v>RAW-DRY-051</v>
      </c>
      <c r="C55" s="8" t="str">
        <f>IF($I55=0,"",INDEX('إدخال وسجل المنتجات'!$B$5:$B$590,$I55))</f>
        <v>زعتر بري</v>
      </c>
      <c r="D55" s="10" t="str">
        <f>IF($I55=0,"",INDEX('إدخال وسجل المنتجات'!$C$5:$C$590,$I55))</f>
        <v>Thyme</v>
      </c>
      <c r="E55" s="11" t="str">
        <f>IF($I55=0,"",INDEX('إدخال وسجل المنتجات'!$D$5:$D$590,$I55))</f>
        <v>مواد خام</v>
      </c>
      <c r="F55" s="2" t="str">
        <f>IF($I55=0,"",INDEX('إدخال وسجل المنتجات'!$G$5:$G$590,$I55))</f>
        <v>كيلو</v>
      </c>
      <c r="G55" s="12"/>
      <c r="H55" s="13"/>
      <c r="I55">
        <f>SUMPRODUCT(('إدخال وسجل المنتجات'!$I$5:$I$590="DRY")*('إدخال وسجل المنتجات'!$M$5:$M$590=53)*(ROW('إدخال وسجل المنتجات'!$I$5:$I$590)-4))</f>
        <v>394</v>
      </c>
      <c r="J55" s="2" t="str">
        <f>IF($I55=0,"",IF($G55="","",$G55*IF(INDEX('إدخال وسجل المنتجات'!$U$5:$U$590,$I55)=0,1,INDEX('إدخال وسجل المنتجات'!$U$5:$U$590,$I55))))</f>
        <v/>
      </c>
    </row>
    <row r="56" spans="1:10" ht="16" x14ac:dyDescent="0.15">
      <c r="A56" s="2">
        <f>IF($I56=0,"",54)</f>
        <v>54</v>
      </c>
      <c r="B56" s="9" t="str">
        <f>IF($I56=0,"",INDEX('إدخال وسجل المنتجات'!$F$5:$F$590,$I56))</f>
        <v>RAW-DRY-052</v>
      </c>
      <c r="C56" s="8" t="str">
        <f>IF($I56=0,"",INDEX('إدخال وسجل المنتجات'!$B$5:$B$590,$I56))</f>
        <v>زعفران</v>
      </c>
      <c r="D56" s="10" t="str">
        <f>IF($I56=0,"",INDEX('إدخال وسجل المنتجات'!$C$5:$C$590,$I56))</f>
        <v>Saffron</v>
      </c>
      <c r="E56" s="11" t="str">
        <f>IF($I56=0,"",INDEX('إدخال وسجل المنتجات'!$D$5:$D$590,$I56))</f>
        <v>مواد خام</v>
      </c>
      <c r="F56" s="2" t="str">
        <f>IF($I56=0,"",INDEX('إدخال وسجل المنتجات'!$G$5:$G$590,$I56))</f>
        <v>كيلو</v>
      </c>
      <c r="G56" s="12"/>
      <c r="H56" s="13"/>
      <c r="I56">
        <f>SUMPRODUCT(('إدخال وسجل المنتجات'!$I$5:$I$590="DRY")*('إدخال وسجل المنتجات'!$M$5:$M$590=54)*(ROW('إدخال وسجل المنتجات'!$I$5:$I$590)-4))</f>
        <v>395</v>
      </c>
      <c r="J56" s="2" t="str">
        <f>IF($I56=0,"",IF($G56="","",$G56*IF(INDEX('إدخال وسجل المنتجات'!$U$5:$U$590,$I56)=0,1,INDEX('إدخال وسجل المنتجات'!$U$5:$U$590,$I56))))</f>
        <v/>
      </c>
    </row>
    <row r="57" spans="1:10" ht="16" x14ac:dyDescent="0.15">
      <c r="A57" s="2">
        <f>IF($I57=0,"",55)</f>
        <v>55</v>
      </c>
      <c r="B57" s="9" t="str">
        <f>IF($I57=0,"",INDEX('إدخال وسجل المنتجات'!$F$5:$F$590,$I57))</f>
        <v>RAW-DRY-053</v>
      </c>
      <c r="C57" s="8" t="str">
        <f>IF($I57=0,"",INDEX('إدخال وسجل المنتجات'!$B$5:$B$590,$I57))</f>
        <v>زيت الترافل الابيض</v>
      </c>
      <c r="D57" s="10" t="str">
        <f>IF($I57=0,"",INDEX('إدخال وسجل المنتجات'!$C$5:$C$590,$I57))</f>
        <v>White Truffle Oil</v>
      </c>
      <c r="E57" s="11" t="str">
        <f>IF($I57=0,"",INDEX('إدخال وسجل المنتجات'!$D$5:$D$590,$I57))</f>
        <v>مواد خام</v>
      </c>
      <c r="F57" s="2" t="str">
        <f>IF($I57=0,"",INDEX('إدخال وسجل المنتجات'!$G$5:$G$590,$I57))</f>
        <v>لتر</v>
      </c>
      <c r="G57" s="12"/>
      <c r="H57" s="13"/>
      <c r="I57">
        <f>SUMPRODUCT(('إدخال وسجل المنتجات'!$I$5:$I$590="DRY")*('إدخال وسجل المنتجات'!$M$5:$M$590=55)*(ROW('إدخال وسجل المنتجات'!$I$5:$I$590)-4))</f>
        <v>396</v>
      </c>
      <c r="J57" s="2" t="str">
        <f>IF($I57=0,"",IF($G57="","",$G57*IF(INDEX('إدخال وسجل المنتجات'!$U$5:$U$590,$I57)=0,1,INDEX('إدخال وسجل المنتجات'!$U$5:$U$590,$I57))))</f>
        <v/>
      </c>
    </row>
    <row r="58" spans="1:10" ht="16" x14ac:dyDescent="0.15">
      <c r="A58" s="2">
        <f>IF($I58=0,"",56)</f>
        <v>56</v>
      </c>
      <c r="B58" s="9" t="str">
        <f>IF($I58=0,"",INDEX('إدخال وسجل المنتجات'!$F$5:$F$590,$I58))</f>
        <v>RAW-DRY-054</v>
      </c>
      <c r="C58" s="8" t="str">
        <f>IF($I58=0,"",INDEX('إدخال وسجل المنتجات'!$B$5:$B$590,$I58))</f>
        <v>زيت الزيتون 2 لتر</v>
      </c>
      <c r="D58" s="10" t="str">
        <f>IF($I58=0,"",INDEX('إدخال وسجل المنتجات'!$C$5:$C$590,$I58))</f>
        <v>Olive Oil</v>
      </c>
      <c r="E58" s="11" t="str">
        <f>IF($I58=0,"",INDEX('إدخال وسجل المنتجات'!$D$5:$D$590,$I58))</f>
        <v>مواد خام</v>
      </c>
      <c r="F58" s="2" t="str">
        <f>IF($I58=0,"",INDEX('إدخال وسجل المنتجات'!$G$5:$G$590,$I58))</f>
        <v>لتر</v>
      </c>
      <c r="G58" s="12"/>
      <c r="H58" s="13"/>
      <c r="I58">
        <f>SUMPRODUCT(('إدخال وسجل المنتجات'!$I$5:$I$590="DRY")*('إدخال وسجل المنتجات'!$M$5:$M$590=56)*(ROW('إدخال وسجل المنتجات'!$I$5:$I$590)-4))</f>
        <v>397</v>
      </c>
      <c r="J58" s="2" t="str">
        <f>IF($I58=0,"",IF($G58="","",$G58*IF(INDEX('إدخال وسجل المنتجات'!$U$5:$U$590,$I58)=0,1,INDEX('إدخال وسجل المنتجات'!$U$5:$U$590,$I58))))</f>
        <v/>
      </c>
    </row>
    <row r="59" spans="1:10" ht="16" x14ac:dyDescent="0.15">
      <c r="A59" s="2">
        <f>IF($I59=0,"",57)</f>
        <v>57</v>
      </c>
      <c r="B59" s="9" t="str">
        <f>IF($I59=0,"",INDEX('إدخال وسجل المنتجات'!$F$5:$F$590,$I59))</f>
        <v>RAW-DRY-055</v>
      </c>
      <c r="C59" s="8" t="str">
        <f>IF($I59=0,"",INDEX('إدخال وسجل المنتجات'!$B$5:$B$590,$I59))</f>
        <v>زيت الزيتون 4 لتر</v>
      </c>
      <c r="D59" s="10" t="str">
        <f>IF($I59=0,"",INDEX('إدخال وسجل المنتجات'!$C$5:$C$590,$I59))</f>
        <v>Olive Oil</v>
      </c>
      <c r="E59" s="11" t="str">
        <f>IF($I59=0,"",INDEX('إدخال وسجل المنتجات'!$D$5:$D$590,$I59))</f>
        <v>مواد خام</v>
      </c>
      <c r="F59" s="2" t="str">
        <f>IF($I59=0,"",INDEX('إدخال وسجل المنتجات'!$G$5:$G$590,$I59))</f>
        <v>لتر</v>
      </c>
      <c r="G59" s="12"/>
      <c r="H59" s="13"/>
      <c r="I59">
        <f>SUMPRODUCT(('إدخال وسجل المنتجات'!$I$5:$I$590="DRY")*('إدخال وسجل المنتجات'!$M$5:$M$590=57)*(ROW('إدخال وسجل المنتجات'!$I$5:$I$590)-4))</f>
        <v>398</v>
      </c>
      <c r="J59" s="2" t="str">
        <f>IF($I59=0,"",IF($G59="","",$G59*IF(INDEX('إدخال وسجل المنتجات'!$U$5:$U$590,$I59)=0,1,INDEX('إدخال وسجل المنتجات'!$U$5:$U$590,$I59))))</f>
        <v/>
      </c>
    </row>
    <row r="60" spans="1:10" ht="16" x14ac:dyDescent="0.15">
      <c r="A60" s="2">
        <f>IF($I60=0,"",58)</f>
        <v>58</v>
      </c>
      <c r="B60" s="9" t="str">
        <f>IF($I60=0,"",INDEX('إدخال وسجل المنتجات'!$F$5:$F$590,$I60))</f>
        <v>RAW-DRY-056</v>
      </c>
      <c r="C60" s="8" t="str">
        <f>IF($I60=0,"",INDEX('إدخال وسجل المنتجات'!$B$5:$B$590,$I60))</f>
        <v>زيت الزيتون الحار</v>
      </c>
      <c r="D60" s="10" t="str">
        <f>IF($I60=0,"",INDEX('إدخال وسجل المنتجات'!$C$5:$C$590,$I60))</f>
        <v>Olive Oil Spicy</v>
      </c>
      <c r="E60" s="11" t="str">
        <f>IF($I60=0,"",INDEX('إدخال وسجل المنتجات'!$D$5:$D$590,$I60))</f>
        <v>مواد خام</v>
      </c>
      <c r="F60" s="2" t="str">
        <f>IF($I60=0,"",INDEX('إدخال وسجل المنتجات'!$G$5:$G$590,$I60))</f>
        <v>لتر</v>
      </c>
      <c r="G60" s="12"/>
      <c r="H60" s="13"/>
      <c r="I60">
        <f>SUMPRODUCT(('إدخال وسجل المنتجات'!$I$5:$I$590="DRY")*('إدخال وسجل المنتجات'!$M$5:$M$590=58)*(ROW('إدخال وسجل المنتجات'!$I$5:$I$590)-4))</f>
        <v>399</v>
      </c>
      <c r="J60" s="2" t="str">
        <f>IF($I60=0,"",IF($G60="","",$G60*IF(INDEX('إدخال وسجل المنتجات'!$U$5:$U$590,$I60)=0,1,INDEX('إدخال وسجل المنتجات'!$U$5:$U$590,$I60))))</f>
        <v/>
      </c>
    </row>
    <row r="61" spans="1:10" ht="16" x14ac:dyDescent="0.15">
      <c r="A61" s="2">
        <f>IF($I61=0,"",59)</f>
        <v>59</v>
      </c>
      <c r="B61" s="9" t="str">
        <f>IF($I61=0,"",INDEX('إدخال وسجل المنتجات'!$F$5:$F$590,$I61))</f>
        <v>RAW-DRY-057</v>
      </c>
      <c r="C61" s="8" t="str">
        <f>IF($I61=0,"",INDEX('إدخال وسجل المنتجات'!$B$5:$B$590,$I61))</f>
        <v>زيت عافية</v>
      </c>
      <c r="D61" s="10" t="str">
        <f>IF($I61=0,"",INDEX('إدخال وسجل المنتجات'!$C$5:$C$590,$I61))</f>
        <v>Oil Afia</v>
      </c>
      <c r="E61" s="11" t="str">
        <f>IF($I61=0,"",INDEX('إدخال وسجل المنتجات'!$D$5:$D$590,$I61))</f>
        <v>مواد خام</v>
      </c>
      <c r="F61" s="2" t="str">
        <f>IF($I61=0,"",INDEX('إدخال وسجل المنتجات'!$G$5:$G$590,$I61))</f>
        <v>لتر</v>
      </c>
      <c r="G61" s="12"/>
      <c r="H61" s="13"/>
      <c r="I61">
        <f>SUMPRODUCT(('إدخال وسجل المنتجات'!$I$5:$I$590="DRY")*('إدخال وسجل المنتجات'!$M$5:$M$590=59)*(ROW('إدخال وسجل المنتجات'!$I$5:$I$590)-4))</f>
        <v>400</v>
      </c>
      <c r="J61" s="2" t="str">
        <f>IF($I61=0,"",IF($G61="","",$G61*IF(INDEX('إدخال وسجل المنتجات'!$U$5:$U$590,$I61)=0,1,INDEX('إدخال وسجل المنتجات'!$U$5:$U$590,$I61))))</f>
        <v/>
      </c>
    </row>
    <row r="62" spans="1:10" ht="16" x14ac:dyDescent="0.15">
      <c r="A62" s="2">
        <f>IF($I62=0,"",60)</f>
        <v>60</v>
      </c>
      <c r="B62" s="9" t="str">
        <f>IF($I62=0,"",INDEX('إدخال وسجل المنتجات'!$F$5:$F$590,$I62))</f>
        <v>RAW-DRY-058</v>
      </c>
      <c r="C62" s="8" t="str">
        <f>IF($I62=0,"",INDEX('إدخال وسجل المنتجات'!$B$5:$B$590,$I62))</f>
        <v>زيت قلي 18 لتر الوليمة</v>
      </c>
      <c r="D62" s="10" t="str">
        <f>IF($I62=0,"",INDEX('إدخال وسجل المنتجات'!$C$5:$C$590,$I62))</f>
        <v>Frying Oil Al-Walima</v>
      </c>
      <c r="E62" s="11" t="str">
        <f>IF($I62=0,"",INDEX('إدخال وسجل المنتجات'!$D$5:$D$590,$I62))</f>
        <v>مواد خام</v>
      </c>
      <c r="F62" s="2" t="str">
        <f>IF($I62=0,"",INDEX('إدخال وسجل المنتجات'!$G$5:$G$590,$I62))</f>
        <v>لتر</v>
      </c>
      <c r="G62" s="12"/>
      <c r="H62" s="13"/>
      <c r="I62">
        <f>SUMPRODUCT(('إدخال وسجل المنتجات'!$I$5:$I$590="DRY")*('إدخال وسجل المنتجات'!$M$5:$M$590=60)*(ROW('إدخال وسجل المنتجات'!$I$5:$I$590)-4))</f>
        <v>401</v>
      </c>
      <c r="J62" s="2" t="str">
        <f>IF($I62=0,"",IF($G62="","",$G62*IF(INDEX('إدخال وسجل المنتجات'!$U$5:$U$590,$I62)=0,1,INDEX('إدخال وسجل المنتجات'!$U$5:$U$590,$I62))))</f>
        <v/>
      </c>
    </row>
    <row r="63" spans="1:10" ht="16" x14ac:dyDescent="0.15">
      <c r="A63" s="2">
        <f>IF($I63=0,"",61)</f>
        <v>61</v>
      </c>
      <c r="B63" s="9" t="str">
        <f>IF($I63=0,"",INDEX('إدخال وسجل المنتجات'!$F$5:$F$590,$I63))</f>
        <v>RAW-DRY-059</v>
      </c>
      <c r="C63" s="8" t="str">
        <f>IF($I63=0,"",INDEX('إدخال وسجل المنتجات'!$B$5:$B$590,$I63))</f>
        <v>زيتون شرائح</v>
      </c>
      <c r="D63" s="10" t="str">
        <f>IF($I63=0,"",INDEX('إدخال وسجل المنتجات'!$C$5:$C$590,$I63))</f>
        <v>Olive</v>
      </c>
      <c r="E63" s="11" t="str">
        <f>IF($I63=0,"",INDEX('إدخال وسجل المنتجات'!$D$5:$D$590,$I63))</f>
        <v>مواد خام</v>
      </c>
      <c r="F63" s="2" t="str">
        <f>IF($I63=0,"",INDEX('إدخال وسجل المنتجات'!$G$5:$G$590,$I63))</f>
        <v>كيلو</v>
      </c>
      <c r="G63" s="12"/>
      <c r="H63" s="13"/>
      <c r="I63">
        <f>SUMPRODUCT(('إدخال وسجل المنتجات'!$I$5:$I$590="DRY")*('إدخال وسجل المنتجات'!$M$5:$M$590=61)*(ROW('إدخال وسجل المنتجات'!$I$5:$I$590)-4))</f>
        <v>402</v>
      </c>
      <c r="J63" s="2" t="str">
        <f>IF($I63=0,"",IF($G63="","",$G63*IF(INDEX('إدخال وسجل المنتجات'!$U$5:$U$590,$I63)=0,1,INDEX('إدخال وسجل المنتجات'!$U$5:$U$590,$I63))))</f>
        <v/>
      </c>
    </row>
    <row r="64" spans="1:10" ht="16" x14ac:dyDescent="0.15">
      <c r="A64" s="2">
        <f>IF($I64=0,"",62)</f>
        <v>62</v>
      </c>
      <c r="B64" s="9" t="str">
        <f>IF($I64=0,"",INDEX('إدخال وسجل المنتجات'!$F$5:$F$590,$I64))</f>
        <v>RAW-DRY-060</v>
      </c>
      <c r="C64" s="8" t="str">
        <f>IF($I64=0,"",INDEX('إدخال وسجل المنتجات'!$B$5:$B$590,$I64))</f>
        <v>سكر ناعم</v>
      </c>
      <c r="D64" s="10" t="str">
        <f>IF($I64=0,"",INDEX('إدخال وسجل المنتجات'!$C$5:$C$590,$I64))</f>
        <v>Sugar</v>
      </c>
      <c r="E64" s="11" t="str">
        <f>IF($I64=0,"",INDEX('إدخال وسجل المنتجات'!$D$5:$D$590,$I64))</f>
        <v>مواد خام</v>
      </c>
      <c r="F64" s="2" t="str">
        <f>IF($I64=0,"",INDEX('إدخال وسجل المنتجات'!$G$5:$G$590,$I64))</f>
        <v>كيلو</v>
      </c>
      <c r="G64" s="12"/>
      <c r="H64" s="13"/>
      <c r="I64">
        <f>SUMPRODUCT(('إدخال وسجل المنتجات'!$I$5:$I$590="DRY")*('إدخال وسجل المنتجات'!$M$5:$M$590=62)*(ROW('إدخال وسجل المنتجات'!$I$5:$I$590)-4))</f>
        <v>406</v>
      </c>
      <c r="J64" s="2" t="str">
        <f>IF($I64=0,"",IF($G64="","",$G64*IF(INDEX('إدخال وسجل المنتجات'!$U$5:$U$590,$I64)=0,1,INDEX('إدخال وسجل المنتجات'!$U$5:$U$590,$I64))))</f>
        <v/>
      </c>
    </row>
    <row r="65" spans="1:10" ht="16" x14ac:dyDescent="0.15">
      <c r="A65" s="2">
        <f>IF($I65=0,"",63)</f>
        <v>63</v>
      </c>
      <c r="B65" s="9" t="str">
        <f>IF($I65=0,"",INDEX('إدخال وسجل المنتجات'!$F$5:$F$590,$I65))</f>
        <v>RAW-DRY-061</v>
      </c>
      <c r="C65" s="8" t="str">
        <f>IF($I65=0,"",INDEX('إدخال وسجل المنتجات'!$B$5:$B$590,$I65))</f>
        <v>سماق</v>
      </c>
      <c r="D65" s="10" t="str">
        <f>IF($I65=0,"",INDEX('إدخال وسجل المنتجات'!$C$5:$C$590,$I65))</f>
        <v>Sumac</v>
      </c>
      <c r="E65" s="11" t="str">
        <f>IF($I65=0,"",INDEX('إدخال وسجل المنتجات'!$D$5:$D$590,$I65))</f>
        <v>مواد خام</v>
      </c>
      <c r="F65" s="2" t="str">
        <f>IF($I65=0,"",INDEX('إدخال وسجل المنتجات'!$G$5:$G$590,$I65))</f>
        <v>كيلو</v>
      </c>
      <c r="G65" s="12"/>
      <c r="H65" s="13"/>
      <c r="I65">
        <f>SUMPRODUCT(('إدخال وسجل المنتجات'!$I$5:$I$590="DRY")*('إدخال وسجل المنتجات'!$M$5:$M$590=63)*(ROW('إدخال وسجل المنتجات'!$I$5:$I$590)-4))</f>
        <v>409</v>
      </c>
      <c r="J65" s="2" t="str">
        <f>IF($I65=0,"",IF($G65="","",$G65*IF(INDEX('إدخال وسجل المنتجات'!$U$5:$U$590,$I65)=0,1,INDEX('إدخال وسجل المنتجات'!$U$5:$U$590,$I65))))</f>
        <v/>
      </c>
    </row>
    <row r="66" spans="1:10" ht="16" x14ac:dyDescent="0.15">
      <c r="A66" s="2">
        <f>IF($I66=0,"",64)</f>
        <v>64</v>
      </c>
      <c r="B66" s="9" t="str">
        <f>IF($I66=0,"",INDEX('إدخال وسجل المنتجات'!$F$5:$F$590,$I66))</f>
        <v>RAW-DRY-062</v>
      </c>
      <c r="C66" s="8" t="str">
        <f>IF($I66=0,"",INDEX('إدخال وسجل المنتجات'!$B$5:$B$590,$I66))</f>
        <v>سمسم ابيض</v>
      </c>
      <c r="D66" s="10" t="str">
        <f>IF($I66=0,"",INDEX('إدخال وسجل المنتجات'!$C$5:$C$590,$I66))</f>
        <v>Sesame</v>
      </c>
      <c r="E66" s="11" t="str">
        <f>IF($I66=0,"",INDEX('إدخال وسجل المنتجات'!$D$5:$D$590,$I66))</f>
        <v>مواد خام</v>
      </c>
      <c r="F66" s="2" t="str">
        <f>IF($I66=0,"",INDEX('إدخال وسجل المنتجات'!$G$5:$G$590,$I66))</f>
        <v>كيلو</v>
      </c>
      <c r="G66" s="12"/>
      <c r="H66" s="13"/>
      <c r="I66">
        <f>SUMPRODUCT(('إدخال وسجل المنتجات'!$I$5:$I$590="DRY")*('إدخال وسجل المنتجات'!$M$5:$M$590=64)*(ROW('إدخال وسجل المنتجات'!$I$5:$I$590)-4))</f>
        <v>410</v>
      </c>
      <c r="J66" s="2" t="str">
        <f>IF($I66=0,"",IF($G66="","",$G66*IF(INDEX('إدخال وسجل المنتجات'!$U$5:$U$590,$I66)=0,1,INDEX('إدخال وسجل المنتجات'!$U$5:$U$590,$I66))))</f>
        <v/>
      </c>
    </row>
    <row r="67" spans="1:10" ht="16" x14ac:dyDescent="0.15">
      <c r="A67" s="2">
        <f>IF($I67=0,"",65)</f>
        <v>65</v>
      </c>
      <c r="B67" s="9" t="str">
        <f>IF($I67=0,"",INDEX('إدخال وسجل المنتجات'!$F$5:$F$590,$I67))</f>
        <v>RAW-DRY-063</v>
      </c>
      <c r="C67" s="8" t="str">
        <f>IF($I67=0,"",INDEX('إدخال وسجل المنتجات'!$B$5:$B$590,$I67))</f>
        <v>سمسم هندي</v>
      </c>
      <c r="D67" s="10" t="str">
        <f>IF($I67=0,"",INDEX('إدخال وسجل المنتجات'!$C$5:$C$590,$I67))</f>
        <v>Sesame</v>
      </c>
      <c r="E67" s="11" t="str">
        <f>IF($I67=0,"",INDEX('إدخال وسجل المنتجات'!$D$5:$D$590,$I67))</f>
        <v>مواد خام</v>
      </c>
      <c r="F67" s="2" t="str">
        <f>IF($I67=0,"",INDEX('إدخال وسجل المنتجات'!$G$5:$G$590,$I67))</f>
        <v>كيلو</v>
      </c>
      <c r="G67" s="12"/>
      <c r="H67" s="13"/>
      <c r="I67">
        <f>SUMPRODUCT(('إدخال وسجل المنتجات'!$I$5:$I$590="DRY")*('إدخال وسجل المنتجات'!$M$5:$M$590=65)*(ROW('إدخال وسجل المنتجات'!$I$5:$I$590)-4))</f>
        <v>411</v>
      </c>
      <c r="J67" s="2" t="str">
        <f>IF($I67=0,"",IF($G67="","",$G67*IF(INDEX('إدخال وسجل المنتجات'!$U$5:$U$590,$I67)=0,1,INDEX('إدخال وسجل المنتجات'!$U$5:$U$590,$I67))))</f>
        <v/>
      </c>
    </row>
    <row r="68" spans="1:10" ht="16" x14ac:dyDescent="0.15">
      <c r="A68" s="2">
        <f>IF($I68=0,"",66)</f>
        <v>66</v>
      </c>
      <c r="B68" s="9" t="str">
        <f>IF($I68=0,"",INDEX('إدخال وسجل المنتجات'!$F$5:$F$590,$I68))</f>
        <v>RAW-DRY-064</v>
      </c>
      <c r="C68" s="8" t="str">
        <f>IF($I68=0,"",INDEX('إدخال وسجل المنتجات'!$B$5:$B$590,$I68))</f>
        <v>سميد ايطالي</v>
      </c>
      <c r="D68" s="10" t="str">
        <f>IF($I68=0,"",INDEX('إدخال وسجل المنتجات'!$C$5:$C$590,$I68))</f>
        <v>Semolina</v>
      </c>
      <c r="E68" s="11" t="str">
        <f>IF($I68=0,"",INDEX('إدخال وسجل المنتجات'!$D$5:$D$590,$I68))</f>
        <v>مواد خام</v>
      </c>
      <c r="F68" s="2" t="str">
        <f>IF($I68=0,"",INDEX('إدخال وسجل المنتجات'!$G$5:$G$590,$I68))</f>
        <v>كيلو</v>
      </c>
      <c r="G68" s="12"/>
      <c r="H68" s="13"/>
      <c r="I68">
        <f>SUMPRODUCT(('إدخال وسجل المنتجات'!$I$5:$I$590="DRY")*('إدخال وسجل المنتجات'!$M$5:$M$590=66)*(ROW('إدخال وسجل المنتجات'!$I$5:$I$590)-4))</f>
        <v>412</v>
      </c>
      <c r="J68" s="2" t="str">
        <f>IF($I68=0,"",IF($G68="","",$G68*IF(INDEX('إدخال وسجل المنتجات'!$U$5:$U$590,$I68)=0,1,INDEX('إدخال وسجل المنتجات'!$U$5:$U$590,$I68))))</f>
        <v/>
      </c>
    </row>
    <row r="69" spans="1:10" ht="16" x14ac:dyDescent="0.15">
      <c r="A69" s="2">
        <f>IF($I69=0,"",67)</f>
        <v>67</v>
      </c>
      <c r="B69" s="9" t="str">
        <f>IF($I69=0,"",INDEX('إدخال وسجل المنتجات'!$F$5:$F$590,$I69))</f>
        <v>RAW-DRY-065</v>
      </c>
      <c r="C69" s="8" t="str">
        <f>IF($I69=0,"",INDEX('إدخال وسجل المنتجات'!$B$5:$B$590,$I69))</f>
        <v>سيرب اناناس 1.30 كيلو</v>
      </c>
      <c r="D69" s="10" t="str">
        <f>IF($I69=0,"",INDEX('إدخال وسجل المنتجات'!$C$5:$C$590,$I69))</f>
        <v>Pineapple Syrup</v>
      </c>
      <c r="E69" s="11" t="str">
        <f>IF($I69=0,"",INDEX('إدخال وسجل المنتجات'!$D$5:$D$590,$I69))</f>
        <v>مواد خام</v>
      </c>
      <c r="F69" s="2" t="str">
        <f>IF($I69=0,"",INDEX('إدخال وسجل المنتجات'!$G$5:$G$590,$I69))</f>
        <v>لتر</v>
      </c>
      <c r="G69" s="12"/>
      <c r="H69" s="13"/>
      <c r="I69">
        <f>SUMPRODUCT(('إدخال وسجل المنتجات'!$I$5:$I$590="DRY")*('إدخال وسجل المنتجات'!$M$5:$M$590=67)*(ROW('إدخال وسجل المنتجات'!$I$5:$I$590)-4))</f>
        <v>413</v>
      </c>
      <c r="J69" s="2" t="str">
        <f>IF($I69=0,"",IF($G69="","",$G69*IF(INDEX('إدخال وسجل المنتجات'!$U$5:$U$590,$I69)=0,1,INDEX('إدخال وسجل المنتجات'!$U$5:$U$590,$I69))))</f>
        <v/>
      </c>
    </row>
    <row r="70" spans="1:10" ht="16" x14ac:dyDescent="0.15">
      <c r="A70" s="2">
        <f>IF($I70=0,"",68)</f>
        <v>68</v>
      </c>
      <c r="B70" s="9" t="str">
        <f>IF($I70=0,"",INDEX('إدخال وسجل المنتجات'!$F$5:$F$590,$I70))</f>
        <v>RAW-DRY-066</v>
      </c>
      <c r="C70" s="8" t="str">
        <f>IF($I70=0,"",INDEX('إدخال وسجل المنتجات'!$B$5:$B$590,$I70))</f>
        <v>سيرب اناناس 5 كيلو</v>
      </c>
      <c r="D70" s="10" t="str">
        <f>IF($I70=0,"",INDEX('إدخال وسجل المنتجات'!$C$5:$C$590,$I70))</f>
        <v>Pineapple Syrup</v>
      </c>
      <c r="E70" s="11" t="str">
        <f>IF($I70=0,"",INDEX('إدخال وسجل المنتجات'!$D$5:$D$590,$I70))</f>
        <v>مواد خام</v>
      </c>
      <c r="F70" s="2" t="str">
        <f>IF($I70=0,"",INDEX('إدخال وسجل المنتجات'!$G$5:$G$590,$I70))</f>
        <v>لتر</v>
      </c>
      <c r="G70" s="12"/>
      <c r="H70" s="13"/>
      <c r="I70">
        <f>SUMPRODUCT(('إدخال وسجل المنتجات'!$I$5:$I$590="DRY")*('إدخال وسجل المنتجات'!$M$5:$M$590=68)*(ROW('إدخال وسجل المنتجات'!$I$5:$I$590)-4))</f>
        <v>414</v>
      </c>
      <c r="J70" s="2" t="str">
        <f>IF($I70=0,"",IF($G70="","",$G70*IF(INDEX('إدخال وسجل المنتجات'!$U$5:$U$590,$I70)=0,1,INDEX('إدخال وسجل المنتجات'!$U$5:$U$590,$I70))))</f>
        <v/>
      </c>
    </row>
    <row r="71" spans="1:10" ht="16" x14ac:dyDescent="0.15">
      <c r="A71" s="2">
        <f>IF($I71=0,"",69)</f>
        <v>69</v>
      </c>
      <c r="B71" s="9" t="str">
        <f>IF($I71=0,"",INDEX('إدخال وسجل المنتجات'!$F$5:$F$590,$I71))</f>
        <v>RAW-DRY-067</v>
      </c>
      <c r="C71" s="8" t="str">
        <f>IF($I71=0,"",INDEX('إدخال وسجل المنتجات'!$B$5:$B$590,$I71))</f>
        <v>سيرب باشن فروت</v>
      </c>
      <c r="D71" s="10" t="str">
        <f>IF($I71=0,"",INDEX('إدخال وسجل المنتجات'!$C$5:$C$590,$I71))</f>
        <v>Passion Fruit Syrup</v>
      </c>
      <c r="E71" s="11" t="str">
        <f>IF($I71=0,"",INDEX('إدخال وسجل المنتجات'!$D$5:$D$590,$I71))</f>
        <v>مواد خام</v>
      </c>
      <c r="F71" s="2" t="str">
        <f>IF($I71=0,"",INDEX('إدخال وسجل المنتجات'!$G$5:$G$590,$I71))</f>
        <v>لتر</v>
      </c>
      <c r="G71" s="12"/>
      <c r="H71" s="13"/>
      <c r="I71">
        <f>SUMPRODUCT(('إدخال وسجل المنتجات'!$I$5:$I$590="DRY")*('إدخال وسجل المنتجات'!$M$5:$M$590=69)*(ROW('إدخال وسجل المنتجات'!$I$5:$I$590)-4))</f>
        <v>415</v>
      </c>
      <c r="J71" s="2" t="str">
        <f>IF($I71=0,"",IF($G71="","",$G71*IF(INDEX('إدخال وسجل المنتجات'!$U$5:$U$590,$I71)=0,1,INDEX('إدخال وسجل المنتجات'!$U$5:$U$590,$I71))))</f>
        <v/>
      </c>
    </row>
    <row r="72" spans="1:10" ht="16" x14ac:dyDescent="0.15">
      <c r="A72" s="2">
        <f>IF($I72=0,"",70)</f>
        <v>70</v>
      </c>
      <c r="B72" s="9" t="str">
        <f>IF($I72=0,"",INDEX('إدخال وسجل المنتجات'!$F$5:$F$590,$I72))</f>
        <v>RAW-DRY-068</v>
      </c>
      <c r="C72" s="8" t="str">
        <f>IF($I72=0,"",INDEX('إدخال وسجل المنتجات'!$B$5:$B$590,$I72))</f>
        <v>سيرب توت ازرق</v>
      </c>
      <c r="D72" s="10" t="str">
        <f>IF($I72=0,"",INDEX('إدخال وسجل المنتجات'!$C$5:$C$590,$I72))</f>
        <v>Berry Syrup</v>
      </c>
      <c r="E72" s="11" t="str">
        <f>IF($I72=0,"",INDEX('إدخال وسجل المنتجات'!$D$5:$D$590,$I72))</f>
        <v>مواد خام</v>
      </c>
      <c r="F72" s="2" t="str">
        <f>IF($I72=0,"",INDEX('إدخال وسجل المنتجات'!$G$5:$G$590,$I72))</f>
        <v>لتر</v>
      </c>
      <c r="G72" s="12"/>
      <c r="H72" s="13"/>
      <c r="I72">
        <f>SUMPRODUCT(('إدخال وسجل المنتجات'!$I$5:$I$590="DRY")*('إدخال وسجل المنتجات'!$M$5:$M$590=70)*(ROW('إدخال وسجل المنتجات'!$I$5:$I$590)-4))</f>
        <v>416</v>
      </c>
      <c r="J72" s="2" t="str">
        <f>IF($I72=0,"",IF($G72="","",$G72*IF(INDEX('إدخال وسجل المنتجات'!$U$5:$U$590,$I72)=0,1,INDEX('إدخال وسجل المنتجات'!$U$5:$U$590,$I72))))</f>
        <v/>
      </c>
    </row>
    <row r="73" spans="1:10" ht="16" x14ac:dyDescent="0.15">
      <c r="A73" s="2">
        <f>IF($I73=0,"",71)</f>
        <v>71</v>
      </c>
      <c r="B73" s="9" t="str">
        <f>IF($I73=0,"",INDEX('إدخال وسجل المنتجات'!$F$5:$F$590,$I73))</f>
        <v>RAW-DRY-069</v>
      </c>
      <c r="C73" s="8" t="str">
        <f>IF($I73=0,"",INDEX('إدخال وسجل المنتجات'!$B$5:$B$590,$I73))</f>
        <v>سيرب ليمون حامض</v>
      </c>
      <c r="D73" s="10" t="str">
        <f>IF($I73=0,"",INDEX('إدخال وسجل المنتجات'!$C$5:$C$590,$I73))</f>
        <v>Lemon Syrup</v>
      </c>
      <c r="E73" s="11" t="str">
        <f>IF($I73=0,"",INDEX('إدخال وسجل المنتجات'!$D$5:$D$590,$I73))</f>
        <v>مواد خام</v>
      </c>
      <c r="F73" s="2" t="str">
        <f>IF($I73=0,"",INDEX('إدخال وسجل المنتجات'!$G$5:$G$590,$I73))</f>
        <v>لتر</v>
      </c>
      <c r="G73" s="12"/>
      <c r="H73" s="13"/>
      <c r="I73">
        <f>SUMPRODUCT(('إدخال وسجل المنتجات'!$I$5:$I$590="DRY")*('إدخال وسجل المنتجات'!$M$5:$M$590=71)*(ROW('إدخال وسجل المنتجات'!$I$5:$I$590)-4))</f>
        <v>417</v>
      </c>
      <c r="J73" s="2" t="str">
        <f>IF($I73=0,"",IF($G73="","",$G73*IF(INDEX('إدخال وسجل المنتجات'!$U$5:$U$590,$I73)=0,1,INDEX('إدخال وسجل المنتجات'!$U$5:$U$590,$I73))))</f>
        <v/>
      </c>
    </row>
    <row r="74" spans="1:10" ht="16" x14ac:dyDescent="0.15">
      <c r="A74" s="2">
        <f>IF($I74=0,"",72)</f>
        <v>72</v>
      </c>
      <c r="B74" s="9" t="str">
        <f>IF($I74=0,"",INDEX('إدخال وسجل المنتجات'!$F$5:$F$590,$I74))</f>
        <v>RAW-DRY-070</v>
      </c>
      <c r="C74" s="8" t="str">
        <f>IF($I74=0,"",INDEX('إدخال وسجل المنتجات'!$B$5:$B$590,$I74))</f>
        <v>سيرب يوزو</v>
      </c>
      <c r="D74" s="10" t="str">
        <f>IF($I74=0,"",INDEX('إدخال وسجل المنتجات'!$C$5:$C$590,$I74))</f>
        <v>Yuzu Syrup</v>
      </c>
      <c r="E74" s="11" t="str">
        <f>IF($I74=0,"",INDEX('إدخال وسجل المنتجات'!$D$5:$D$590,$I74))</f>
        <v>مواد خام</v>
      </c>
      <c r="F74" s="2" t="str">
        <f>IF($I74=0,"",INDEX('إدخال وسجل المنتجات'!$G$5:$G$590,$I74))</f>
        <v>لتر</v>
      </c>
      <c r="G74" s="12"/>
      <c r="H74" s="13"/>
      <c r="I74">
        <f>SUMPRODUCT(('إدخال وسجل المنتجات'!$I$5:$I$590="DRY")*('إدخال وسجل المنتجات'!$M$5:$M$590=72)*(ROW('إدخال وسجل المنتجات'!$I$5:$I$590)-4))</f>
        <v>418</v>
      </c>
      <c r="J74" s="2" t="str">
        <f>IF($I74=0,"",IF($G74="","",$G74*IF(INDEX('إدخال وسجل المنتجات'!$U$5:$U$590,$I74)=0,1,INDEX('إدخال وسجل المنتجات'!$U$5:$U$590,$I74))))</f>
        <v/>
      </c>
    </row>
    <row r="75" spans="1:10" ht="16" x14ac:dyDescent="0.15">
      <c r="A75" s="2">
        <f>IF($I75=0,"",73)</f>
        <v>73</v>
      </c>
      <c r="B75" s="9" t="str">
        <f>IF($I75=0,"",INDEX('إدخال وسجل المنتجات'!$F$5:$F$590,$I75))</f>
        <v>RAW-DRY-071</v>
      </c>
      <c r="C75" s="8" t="str">
        <f>IF($I75=0,"",INDEX('إدخال وسجل المنتجات'!$B$5:$B$590,$I75))</f>
        <v>شراب الاناناس</v>
      </c>
      <c r="D75" s="10" t="str">
        <f>IF($I75=0,"",INDEX('إدخال وسجل المنتجات'!$C$5:$C$590,$I75))</f>
        <v>Pineapple Syrup</v>
      </c>
      <c r="E75" s="11" t="str">
        <f>IF($I75=0,"",INDEX('إدخال وسجل المنتجات'!$D$5:$D$590,$I75))</f>
        <v>مواد خام</v>
      </c>
      <c r="F75" s="2" t="str">
        <f>IF($I75=0,"",INDEX('إدخال وسجل المنتجات'!$G$5:$G$590,$I75))</f>
        <v>لتر</v>
      </c>
      <c r="G75" s="12"/>
      <c r="H75" s="13"/>
      <c r="I75">
        <f>SUMPRODUCT(('إدخال وسجل المنتجات'!$I$5:$I$590="DRY")*('إدخال وسجل المنتجات'!$M$5:$M$590=73)*(ROW('إدخال وسجل المنتجات'!$I$5:$I$590)-4))</f>
        <v>423</v>
      </c>
      <c r="J75" s="2" t="str">
        <f>IF($I75=0,"",IF($G75="","",$G75*IF(INDEX('إدخال وسجل المنتجات'!$U$5:$U$590,$I75)=0,1,INDEX('إدخال وسجل المنتجات'!$U$5:$U$590,$I75))))</f>
        <v/>
      </c>
    </row>
    <row r="76" spans="1:10" ht="16" x14ac:dyDescent="0.15">
      <c r="A76" s="2">
        <f>IF($I76=0,"",74)</f>
        <v>74</v>
      </c>
      <c r="B76" s="9" t="str">
        <f>IF($I76=0,"",INDEX('إدخال وسجل المنتجات'!$F$5:$F$590,$I76))</f>
        <v>RAW-DRY-072</v>
      </c>
      <c r="C76" s="8" t="str">
        <f>IF($I76=0,"",INDEX('إدخال وسجل المنتجات'!$B$5:$B$590,$I76))</f>
        <v>شراب الرمان</v>
      </c>
      <c r="D76" s="10" t="str">
        <f>IF($I76=0,"",INDEX('إدخال وسجل المنتجات'!$C$5:$C$590,$I76))</f>
        <v>Pomegranate Syrup</v>
      </c>
      <c r="E76" s="11" t="str">
        <f>IF($I76=0,"",INDEX('إدخال وسجل المنتجات'!$D$5:$D$590,$I76))</f>
        <v>مواد خام</v>
      </c>
      <c r="F76" s="2" t="str">
        <f>IF($I76=0,"",INDEX('إدخال وسجل المنتجات'!$G$5:$G$590,$I76))</f>
        <v>لتر</v>
      </c>
      <c r="G76" s="12"/>
      <c r="H76" s="13"/>
      <c r="I76">
        <f>SUMPRODUCT(('إدخال وسجل المنتجات'!$I$5:$I$590="DRY")*('إدخال وسجل المنتجات'!$M$5:$M$590=74)*(ROW('إدخال وسجل المنتجات'!$I$5:$I$590)-4))</f>
        <v>424</v>
      </c>
      <c r="J76" s="2" t="str">
        <f>IF($I76=0,"",IF($G76="","",$G76*IF(INDEX('إدخال وسجل المنتجات'!$U$5:$U$590,$I76)=0,1,INDEX('إدخال وسجل المنتجات'!$U$5:$U$590,$I76))))</f>
        <v/>
      </c>
    </row>
    <row r="77" spans="1:10" ht="16" x14ac:dyDescent="0.15">
      <c r="A77" s="2">
        <f>IF($I77=0,"",75)</f>
        <v>75</v>
      </c>
      <c r="B77" s="9" t="str">
        <f>IF($I77=0,"",INDEX('إدخال وسجل المنتجات'!$F$5:$F$590,$I77))</f>
        <v>RAW-DRY-073</v>
      </c>
      <c r="C77" s="8" t="str">
        <f>IF($I77=0,"",INDEX('إدخال وسجل المنتجات'!$B$5:$B$590,$I77))</f>
        <v>شراب الكرز</v>
      </c>
      <c r="D77" s="10" t="str">
        <f>IF($I77=0,"",INDEX('إدخال وسجل المنتجات'!$C$5:$C$590,$I77))</f>
        <v>Cherry Syrup</v>
      </c>
      <c r="E77" s="11" t="str">
        <f>IF($I77=0,"",INDEX('إدخال وسجل المنتجات'!$D$5:$D$590,$I77))</f>
        <v>مواد خام</v>
      </c>
      <c r="F77" s="2" t="str">
        <f>IF($I77=0,"",INDEX('إدخال وسجل المنتجات'!$G$5:$G$590,$I77))</f>
        <v>لتر</v>
      </c>
      <c r="G77" s="12"/>
      <c r="H77" s="13"/>
      <c r="I77">
        <f>SUMPRODUCT(('إدخال وسجل المنتجات'!$I$5:$I$590="DRY")*('إدخال وسجل المنتجات'!$M$5:$M$590=75)*(ROW('إدخال وسجل المنتجات'!$I$5:$I$590)-4))</f>
        <v>425</v>
      </c>
      <c r="J77" s="2" t="str">
        <f>IF($I77=0,"",IF($G77="","",$G77*IF(INDEX('إدخال وسجل المنتجات'!$U$5:$U$590,$I77)=0,1,INDEX('إدخال وسجل المنتجات'!$U$5:$U$590,$I77))))</f>
        <v/>
      </c>
    </row>
    <row r="78" spans="1:10" ht="16" x14ac:dyDescent="0.15">
      <c r="A78" s="2">
        <f>IF($I78=0,"",76)</f>
        <v>76</v>
      </c>
      <c r="B78" s="9" t="str">
        <f>IF($I78=0,"",INDEX('إدخال وسجل المنتجات'!$F$5:$F$590,$I78))</f>
        <v>RAW-DRY-074</v>
      </c>
      <c r="C78" s="8" t="str">
        <f>IF($I78=0,"",INDEX('إدخال وسجل المنتجات'!$B$5:$B$590,$I78))</f>
        <v>شراب الليمون</v>
      </c>
      <c r="D78" s="10" t="str">
        <f>IF($I78=0,"",INDEX('إدخال وسجل المنتجات'!$C$5:$C$590,$I78))</f>
        <v>Lemon Syrup</v>
      </c>
      <c r="E78" s="11" t="str">
        <f>IF($I78=0,"",INDEX('إدخال وسجل المنتجات'!$D$5:$D$590,$I78))</f>
        <v>مواد خام</v>
      </c>
      <c r="F78" s="2" t="str">
        <f>IF($I78=0,"",INDEX('إدخال وسجل المنتجات'!$G$5:$G$590,$I78))</f>
        <v>لتر</v>
      </c>
      <c r="G78" s="12"/>
      <c r="H78" s="13"/>
      <c r="I78">
        <f>SUMPRODUCT(('إدخال وسجل المنتجات'!$I$5:$I$590="DRY")*('إدخال وسجل المنتجات'!$M$5:$M$590=76)*(ROW('إدخال وسجل المنتجات'!$I$5:$I$590)-4))</f>
        <v>426</v>
      </c>
      <c r="J78" s="2" t="str">
        <f>IF($I78=0,"",IF($G78="","",$G78*IF(INDEX('إدخال وسجل المنتجات'!$U$5:$U$590,$I78)=0,1,INDEX('إدخال وسجل المنتجات'!$U$5:$U$590,$I78))))</f>
        <v/>
      </c>
    </row>
    <row r="79" spans="1:10" ht="16" x14ac:dyDescent="0.15">
      <c r="A79" s="2">
        <f>IF($I79=0,"",77)</f>
        <v>77</v>
      </c>
      <c r="B79" s="9" t="str">
        <f>IF($I79=0,"",INDEX('إدخال وسجل المنتجات'!$F$5:$F$590,$I79))</f>
        <v>RAW-DRY-075</v>
      </c>
      <c r="C79" s="8" t="str">
        <f>IF($I79=0,"",INDEX('إدخال وسجل المنتجات'!$B$5:$B$590,$I79))</f>
        <v>شوربة كويكر</v>
      </c>
      <c r="D79" s="10" t="str">
        <f>IF($I79=0,"",INDEX('إدخال وسجل المنتجات'!$C$5:$C$590,$I79))</f>
        <v>Quaker Soup</v>
      </c>
      <c r="E79" s="11" t="str">
        <f>IF($I79=0,"",INDEX('إدخال وسجل المنتجات'!$D$5:$D$590,$I79))</f>
        <v>مواد خام</v>
      </c>
      <c r="F79" s="2" t="str">
        <f>IF($I79=0,"",INDEX('إدخال وسجل المنتجات'!$G$5:$G$590,$I79))</f>
        <v>كيلو</v>
      </c>
      <c r="G79" s="12"/>
      <c r="H79" s="13"/>
      <c r="I79">
        <f>SUMPRODUCT(('إدخال وسجل المنتجات'!$I$5:$I$590="DRY")*('إدخال وسجل المنتجات'!$M$5:$M$590=77)*(ROW('إدخال وسجل المنتجات'!$I$5:$I$590)-4))</f>
        <v>428</v>
      </c>
      <c r="J79" s="2" t="str">
        <f>IF($I79=0,"",IF($G79="","",$G79*IF(INDEX('إدخال وسجل المنتجات'!$U$5:$U$590,$I79)=0,1,INDEX('إدخال وسجل المنتجات'!$U$5:$U$590,$I79))))</f>
        <v/>
      </c>
    </row>
    <row r="80" spans="1:10" ht="16" x14ac:dyDescent="0.15">
      <c r="A80" s="2">
        <f>IF($I80=0,"",78)</f>
        <v>78</v>
      </c>
      <c r="B80" s="9" t="str">
        <f>IF($I80=0,"",INDEX('إدخال وسجل المنتجات'!$F$5:$F$590,$I80))</f>
        <v>RAW-DRY-076</v>
      </c>
      <c r="C80" s="8" t="str">
        <f>IF($I80=0,"",INDEX('إدخال وسجل المنتجات'!$B$5:$B$590,$I80))</f>
        <v>شوفان</v>
      </c>
      <c r="D80" s="10" t="str">
        <f>IF($I80=0,"",INDEX('إدخال وسجل المنتجات'!$C$5:$C$590,$I80))</f>
        <v>Oats</v>
      </c>
      <c r="E80" s="11" t="str">
        <f>IF($I80=0,"",INDEX('إدخال وسجل المنتجات'!$D$5:$D$590,$I80))</f>
        <v>مواد خام</v>
      </c>
      <c r="F80" s="2" t="str">
        <f>IF($I80=0,"",INDEX('إدخال وسجل المنتجات'!$G$5:$G$590,$I80))</f>
        <v>كيلو</v>
      </c>
      <c r="G80" s="12"/>
      <c r="H80" s="13"/>
      <c r="I80">
        <f>SUMPRODUCT(('إدخال وسجل المنتجات'!$I$5:$I$590="DRY")*('إدخال وسجل المنتجات'!$M$5:$M$590=78)*(ROW('إدخال وسجل المنتجات'!$I$5:$I$590)-4))</f>
        <v>429</v>
      </c>
      <c r="J80" s="2" t="str">
        <f>IF($I80=0,"",IF($G80="","",$G80*IF(INDEX('إدخال وسجل المنتجات'!$U$5:$U$590,$I80)=0,1,INDEX('إدخال وسجل المنتجات'!$U$5:$U$590,$I80))))</f>
        <v/>
      </c>
    </row>
    <row r="81" spans="1:10" ht="16" x14ac:dyDescent="0.15">
      <c r="A81" s="2">
        <f>IF($I81=0,"",79)</f>
        <v>79</v>
      </c>
      <c r="B81" s="9" t="str">
        <f>IF($I81=0,"",INDEX('إدخال وسجل المنتجات'!$F$5:$F$590,$I81))</f>
        <v>RAW-DRY-077</v>
      </c>
      <c r="C81" s="8" t="str">
        <f>IF($I81=0,"",INDEX('إدخال وسجل المنتجات'!$B$5:$B$590,$I81))</f>
        <v>صلصة باربيكيو</v>
      </c>
      <c r="D81" s="10" t="str">
        <f>IF($I81=0,"",INDEX('إدخال وسجل المنتجات'!$C$5:$C$590,$I81))</f>
        <v>Barbecue Sauce</v>
      </c>
      <c r="E81" s="11" t="str">
        <f>IF($I81=0,"",INDEX('إدخال وسجل المنتجات'!$D$5:$D$590,$I81))</f>
        <v>مواد خام</v>
      </c>
      <c r="F81" s="2" t="str">
        <f>IF($I81=0,"",INDEX('إدخال وسجل المنتجات'!$G$5:$G$590,$I81))</f>
        <v>كيلو</v>
      </c>
      <c r="G81" s="12"/>
      <c r="H81" s="13"/>
      <c r="I81">
        <f>SUMPRODUCT(('إدخال وسجل المنتجات'!$I$5:$I$590="DRY")*('إدخال وسجل المنتجات'!$M$5:$M$590=79)*(ROW('إدخال وسجل المنتجات'!$I$5:$I$590)-4))</f>
        <v>439</v>
      </c>
      <c r="J81" s="2" t="str">
        <f>IF($I81=0,"",IF($G81="","",$G81*IF(INDEX('إدخال وسجل المنتجات'!$U$5:$U$590,$I81)=0,1,INDEX('إدخال وسجل المنتجات'!$U$5:$U$590,$I81))))</f>
        <v/>
      </c>
    </row>
    <row r="82" spans="1:10" ht="16" x14ac:dyDescent="0.15">
      <c r="A82" s="2">
        <f>IF($I82=0,"",80)</f>
        <v>80</v>
      </c>
      <c r="B82" s="9" t="str">
        <f>IF($I82=0,"",INDEX('إدخال وسجل المنتجات'!$F$5:$F$590,$I82))</f>
        <v>RAW-DRY-078</v>
      </c>
      <c r="C82" s="8" t="str">
        <f>IF($I82=0,"",INDEX('إدخال وسجل المنتجات'!$B$5:$B$590,$I82))</f>
        <v>صلصة تاتكو فلفل حار</v>
      </c>
      <c r="D82" s="10" t="str">
        <f>IF($I82=0,"",INDEX('إدخال وسجل المنتجات'!$C$5:$C$590,$I82))</f>
        <v>Pepper Spicy Sauce</v>
      </c>
      <c r="E82" s="11" t="str">
        <f>IF($I82=0,"",INDEX('إدخال وسجل المنتجات'!$D$5:$D$590,$I82))</f>
        <v>مواد خام</v>
      </c>
      <c r="F82" s="2" t="str">
        <f>IF($I82=0,"",INDEX('إدخال وسجل المنتجات'!$G$5:$G$590,$I82))</f>
        <v>كيلو</v>
      </c>
      <c r="G82" s="12"/>
      <c r="H82" s="13"/>
      <c r="I82">
        <f>SUMPRODUCT(('إدخال وسجل المنتجات'!$I$5:$I$590="DRY")*('إدخال وسجل المنتجات'!$M$5:$M$590=80)*(ROW('إدخال وسجل المنتجات'!$I$5:$I$590)-4))</f>
        <v>440</v>
      </c>
      <c r="J82" s="2" t="str">
        <f>IF($I82=0,"",IF($G82="","",$G82*IF(INDEX('إدخال وسجل المنتجات'!$U$5:$U$590,$I82)=0,1,INDEX('إدخال وسجل المنتجات'!$U$5:$U$590,$I82))))</f>
        <v/>
      </c>
    </row>
    <row r="83" spans="1:10" ht="16" x14ac:dyDescent="0.15">
      <c r="A83" s="2">
        <f>IF($I83=0,"",81)</f>
        <v>81</v>
      </c>
      <c r="B83" s="9" t="str">
        <f>IF($I83=0,"",INDEX('إدخال وسجل المنتجات'!$F$5:$F$590,$I83))</f>
        <v>RAW-DRY-079</v>
      </c>
      <c r="C83" s="8" t="str">
        <f>IF($I83=0,"",INDEX('إدخال وسجل المنتجات'!$B$5:$B$590,$I83))</f>
        <v>صلصة شواء</v>
      </c>
      <c r="D83" s="10" t="str">
        <f>IF($I83=0,"",INDEX('إدخال وسجل المنتجات'!$C$5:$C$590,$I83))</f>
        <v>BBQ Sauce</v>
      </c>
      <c r="E83" s="11" t="str">
        <f>IF($I83=0,"",INDEX('إدخال وسجل المنتجات'!$D$5:$D$590,$I83))</f>
        <v>مواد خام</v>
      </c>
      <c r="F83" s="2" t="str">
        <f>IF($I83=0,"",INDEX('إدخال وسجل المنتجات'!$G$5:$G$590,$I83))</f>
        <v>كيلو</v>
      </c>
      <c r="G83" s="12"/>
      <c r="H83" s="13"/>
      <c r="I83">
        <f>SUMPRODUCT(('إدخال وسجل المنتجات'!$I$5:$I$590="DRY")*('إدخال وسجل المنتجات'!$M$5:$M$590=81)*(ROW('إدخال وسجل المنتجات'!$I$5:$I$590)-4))</f>
        <v>441</v>
      </c>
      <c r="J83" s="2" t="str">
        <f>IF($I83=0,"",IF($G83="","",$G83*IF(INDEX('إدخال وسجل المنتجات'!$U$5:$U$590,$I83)=0,1,INDEX('إدخال وسجل المنتجات'!$U$5:$U$590,$I83))))</f>
        <v/>
      </c>
    </row>
    <row r="84" spans="1:10" ht="16" x14ac:dyDescent="0.15">
      <c r="A84" s="2">
        <f>IF($I84=0,"",82)</f>
        <v>82</v>
      </c>
      <c r="B84" s="9" t="str">
        <f>IF($I84=0,"",INDEX('إدخال وسجل المنتجات'!$F$5:$F$590,$I84))</f>
        <v>RAW-DRY-080</v>
      </c>
      <c r="C84" s="8" t="str">
        <f>IF($I84=0,"",INDEX('إدخال وسجل المنتجات'!$B$5:$B$590,$I84))</f>
        <v>صلصة وارشستر</v>
      </c>
      <c r="D84" s="10" t="str">
        <f>IF($I84=0,"",INDEX('إدخال وسجل المنتجات'!$C$5:$C$590,$I84))</f>
        <v>Worcestershire Sauce</v>
      </c>
      <c r="E84" s="11" t="str">
        <f>IF($I84=0,"",INDEX('إدخال وسجل المنتجات'!$D$5:$D$590,$I84))</f>
        <v>مواد خام</v>
      </c>
      <c r="F84" s="2" t="str">
        <f>IF($I84=0,"",INDEX('إدخال وسجل المنتجات'!$G$5:$G$590,$I84))</f>
        <v>كيلو</v>
      </c>
      <c r="G84" s="12"/>
      <c r="H84" s="13"/>
      <c r="I84">
        <f>SUMPRODUCT(('إدخال وسجل المنتجات'!$I$5:$I$590="DRY")*('إدخال وسجل المنتجات'!$M$5:$M$590=82)*(ROW('إدخال وسجل المنتجات'!$I$5:$I$590)-4))</f>
        <v>442</v>
      </c>
      <c r="J84" s="2" t="str">
        <f>IF($I84=0,"",IF($G84="","",$G84*IF(INDEX('إدخال وسجل المنتجات'!$U$5:$U$590,$I84)=0,1,INDEX('إدخال وسجل المنتجات'!$U$5:$U$590,$I84))))</f>
        <v/>
      </c>
    </row>
    <row r="85" spans="1:10" ht="16" x14ac:dyDescent="0.15">
      <c r="A85" s="2">
        <f>IF($I85=0,"",83)</f>
        <v>83</v>
      </c>
      <c r="B85" s="9" t="str">
        <f>IF($I85=0,"",INDEX('إدخال وسجل المنتجات'!$F$5:$F$590,$I85))</f>
        <v>RAW-DRY-081</v>
      </c>
      <c r="C85" s="8" t="str">
        <f>IF($I85=0,"",INDEX('إدخال وسجل المنتجات'!$B$5:$B$590,$I85))</f>
        <v>صنوبر</v>
      </c>
      <c r="D85" s="10" t="str">
        <f>IF($I85=0,"",INDEX('إدخال وسجل المنتجات'!$C$5:$C$590,$I85))</f>
        <v>Pine Nuts</v>
      </c>
      <c r="E85" s="11" t="str">
        <f>IF($I85=0,"",INDEX('إدخال وسجل المنتجات'!$D$5:$D$590,$I85))</f>
        <v>مواد خام</v>
      </c>
      <c r="F85" s="2" t="str">
        <f>IF($I85=0,"",INDEX('إدخال وسجل المنتجات'!$G$5:$G$590,$I85))</f>
        <v>كيلو</v>
      </c>
      <c r="G85" s="12"/>
      <c r="H85" s="13"/>
      <c r="I85">
        <f>SUMPRODUCT(('إدخال وسجل المنتجات'!$I$5:$I$590="DRY")*('إدخال وسجل المنتجات'!$M$5:$M$590=83)*(ROW('إدخال وسجل المنتجات'!$I$5:$I$590)-4))</f>
        <v>443</v>
      </c>
      <c r="J85" s="2" t="str">
        <f>IF($I85=0,"",IF($G85="","",$G85*IF(INDEX('إدخال وسجل المنتجات'!$U$5:$U$590,$I85)=0,1,INDEX('إدخال وسجل المنتجات'!$U$5:$U$590,$I85))))</f>
        <v/>
      </c>
    </row>
    <row r="86" spans="1:10" ht="16" x14ac:dyDescent="0.15">
      <c r="A86" s="2">
        <f>IF($I86=0,"",84)</f>
        <v>84</v>
      </c>
      <c r="B86" s="9" t="str">
        <f>IF($I86=0,"",INDEX('إدخال وسجل المنتجات'!$F$5:$F$590,$I86))</f>
        <v>RAW-DRY-082</v>
      </c>
      <c r="C86" s="8" t="str">
        <f>IF($I86=0,"",INDEX('إدخال وسجل المنتجات'!$B$5:$B$590,$I86))</f>
        <v>طحين دبل زيرو</v>
      </c>
      <c r="D86" s="10" t="str">
        <f>IF($I86=0,"",INDEX('إدخال وسجل المنتجات'!$C$5:$C$590,$I86))</f>
        <v>Flour Double Zero</v>
      </c>
      <c r="E86" s="11" t="str">
        <f>IF($I86=0,"",INDEX('إدخال وسجل المنتجات'!$D$5:$D$590,$I86))</f>
        <v>مواد خام</v>
      </c>
      <c r="F86" s="2" t="str">
        <f>IF($I86=0,"",INDEX('إدخال وسجل المنتجات'!$G$5:$G$590,$I86))</f>
        <v>كيلو</v>
      </c>
      <c r="G86" s="12"/>
      <c r="H86" s="13"/>
      <c r="I86">
        <f>SUMPRODUCT(('إدخال وسجل المنتجات'!$I$5:$I$590="DRY")*('إدخال وسجل المنتجات'!$M$5:$M$590=84)*(ROW('إدخال وسجل المنتجات'!$I$5:$I$590)-4))</f>
        <v>473</v>
      </c>
      <c r="J86" s="2" t="str">
        <f>IF($I86=0,"",IF($G86="","",$G86*IF(INDEX('إدخال وسجل المنتجات'!$U$5:$U$590,$I86)=0,1,INDEX('إدخال وسجل المنتجات'!$U$5:$U$590,$I86))))</f>
        <v/>
      </c>
    </row>
    <row r="87" spans="1:10" ht="16" x14ac:dyDescent="0.15">
      <c r="A87" s="2">
        <f>IF($I87=0,"",85)</f>
        <v>85</v>
      </c>
      <c r="B87" s="9" t="str">
        <f>IF($I87=0,"",INDEX('إدخال وسجل المنتجات'!$F$5:$F$590,$I87))</f>
        <v>RAW-DRY-083</v>
      </c>
      <c r="C87" s="8" t="str">
        <f>IF($I87=0,"",INDEX('إدخال وسجل المنتجات'!$B$5:$B$590,$I87))</f>
        <v>طحينة</v>
      </c>
      <c r="D87" s="10" t="str">
        <f>IF($I87=0,"",INDEX('إدخال وسجل المنتجات'!$C$5:$C$590,$I87))</f>
        <v>Tahini</v>
      </c>
      <c r="E87" s="11" t="str">
        <f>IF($I87=0,"",INDEX('إدخال وسجل المنتجات'!$D$5:$D$590,$I87))</f>
        <v>مواد خام</v>
      </c>
      <c r="F87" s="2" t="str">
        <f>IF($I87=0,"",INDEX('إدخال وسجل المنتجات'!$G$5:$G$590,$I87))</f>
        <v>كيلو</v>
      </c>
      <c r="G87" s="12"/>
      <c r="H87" s="13"/>
      <c r="I87">
        <f>SUMPRODUCT(('إدخال وسجل المنتجات'!$I$5:$I$590="DRY")*('إدخال وسجل المنتجات'!$M$5:$M$590=85)*(ROW('إدخال وسجل المنتجات'!$I$5:$I$590)-4))</f>
        <v>474</v>
      </c>
      <c r="J87" s="2" t="str">
        <f>IF($I87=0,"",IF($G87="","",$G87*IF(INDEX('إدخال وسجل المنتجات'!$U$5:$U$590,$I87)=0,1,INDEX('إدخال وسجل المنتجات'!$U$5:$U$590,$I87))))</f>
        <v/>
      </c>
    </row>
    <row r="88" spans="1:10" ht="16" x14ac:dyDescent="0.15">
      <c r="A88" s="2">
        <f>IF($I88=0,"",86)</f>
        <v>86</v>
      </c>
      <c r="B88" s="9" t="str">
        <f>IF($I88=0,"",INDEX('إدخال وسجل المنتجات'!$F$5:$F$590,$I88))</f>
        <v>RAW-DRY-084</v>
      </c>
      <c r="C88" s="8" t="str">
        <f>IF($I88=0,"",INDEX('إدخال وسجل المنتجات'!$B$5:$B$590,$I88))</f>
        <v>طماطم سان مارزانو</v>
      </c>
      <c r="D88" s="10" t="str">
        <f>IF($I88=0,"",INDEX('إدخال وسجل المنتجات'!$C$5:$C$590,$I88))</f>
        <v>San Marzano Tomato</v>
      </c>
      <c r="E88" s="11" t="str">
        <f>IF($I88=0,"",INDEX('إدخال وسجل المنتجات'!$D$5:$D$590,$I88))</f>
        <v>مواد خام</v>
      </c>
      <c r="F88" s="2" t="str">
        <f>IF($I88=0,"",INDEX('إدخال وسجل المنتجات'!$G$5:$G$590,$I88))</f>
        <v>كيلو</v>
      </c>
      <c r="G88" s="12"/>
      <c r="H88" s="13"/>
      <c r="I88">
        <f>SUMPRODUCT(('إدخال وسجل المنتجات'!$I$5:$I$590="DRY")*('إدخال وسجل المنتجات'!$M$5:$M$590=86)*(ROW('إدخال وسجل المنتجات'!$I$5:$I$590)-4))</f>
        <v>477</v>
      </c>
      <c r="J88" s="2" t="str">
        <f>IF($I88=0,"",IF($G88="","",$G88*IF(INDEX('إدخال وسجل المنتجات'!$U$5:$U$590,$I88)=0,1,INDEX('إدخال وسجل المنتجات'!$U$5:$U$590,$I88))))</f>
        <v/>
      </c>
    </row>
    <row r="89" spans="1:10" ht="16" x14ac:dyDescent="0.15">
      <c r="A89" s="2">
        <f>IF($I89=0,"",87)</f>
        <v>87</v>
      </c>
      <c r="B89" s="9" t="str">
        <f>IF($I89=0,"",INDEX('إدخال وسجل المنتجات'!$F$5:$F$590,$I89))</f>
        <v>RAW-DRY-085</v>
      </c>
      <c r="C89" s="8" t="str">
        <f>IF($I89=0,"",INDEX('إدخال وسجل المنتجات'!$B$5:$B$590,$I89))</f>
        <v>طماطم مجففة</v>
      </c>
      <c r="D89" s="10" t="str">
        <f>IF($I89=0,"",INDEX('إدخال وسجل المنتجات'!$C$5:$C$590,$I89))</f>
        <v>Sun-Dried Tomato</v>
      </c>
      <c r="E89" s="11" t="str">
        <f>IF($I89=0,"",INDEX('إدخال وسجل المنتجات'!$D$5:$D$590,$I89))</f>
        <v>مواد خام</v>
      </c>
      <c r="F89" s="2" t="str">
        <f>IF($I89=0,"",INDEX('إدخال وسجل المنتجات'!$G$5:$G$590,$I89))</f>
        <v>كيلو</v>
      </c>
      <c r="G89" s="12"/>
      <c r="H89" s="13"/>
      <c r="I89">
        <f>SUMPRODUCT(('إدخال وسجل المنتجات'!$I$5:$I$590="DRY")*('إدخال وسجل المنتجات'!$M$5:$M$590=87)*(ROW('إدخال وسجل المنتجات'!$I$5:$I$590)-4))</f>
        <v>479</v>
      </c>
      <c r="J89" s="2" t="str">
        <f>IF($I89=0,"",IF($G89="","",$G89*IF(INDEX('إدخال وسجل المنتجات'!$U$5:$U$590,$I89)=0,1,INDEX('إدخال وسجل المنتجات'!$U$5:$U$590,$I89))))</f>
        <v/>
      </c>
    </row>
    <row r="90" spans="1:10" ht="16" x14ac:dyDescent="0.15">
      <c r="A90" s="2">
        <f>IF($I90=0,"",88)</f>
        <v>88</v>
      </c>
      <c r="B90" s="9" t="str">
        <f>IF($I90=0,"",INDEX('إدخال وسجل المنتجات'!$F$5:$F$590,$I90))</f>
        <v>RAW-DRY-086</v>
      </c>
      <c r="C90" s="8" t="str">
        <f>IF($I90=0,"",INDEX('إدخال وسجل المنتجات'!$B$5:$B$590,$I90))</f>
        <v>عسل نحل</v>
      </c>
      <c r="D90" s="10" t="str">
        <f>IF($I90=0,"",INDEX('إدخال وسجل المنتجات'!$C$5:$C$590,$I90))</f>
        <v>Honey</v>
      </c>
      <c r="E90" s="11" t="str">
        <f>IF($I90=0,"",INDEX('إدخال وسجل المنتجات'!$D$5:$D$590,$I90))</f>
        <v>مواد خام</v>
      </c>
      <c r="F90" s="2" t="str">
        <f>IF($I90=0,"",INDEX('إدخال وسجل المنتجات'!$G$5:$G$590,$I90))</f>
        <v>كيلو</v>
      </c>
      <c r="G90" s="12"/>
      <c r="H90" s="13"/>
      <c r="I90">
        <f>SUMPRODUCT(('إدخال وسجل المنتجات'!$I$5:$I$590="DRY")*('إدخال وسجل المنتجات'!$M$5:$M$590=88)*(ROW('إدخال وسجل المنتجات'!$I$5:$I$590)-4))</f>
        <v>482</v>
      </c>
      <c r="J90" s="2" t="str">
        <f>IF($I90=0,"",IF($G90="","",$G90*IF(INDEX('إدخال وسجل المنتجات'!$U$5:$U$590,$I90)=0,1,INDEX('إدخال وسجل المنتجات'!$U$5:$U$590,$I90))))</f>
        <v/>
      </c>
    </row>
    <row r="91" spans="1:10" ht="16" x14ac:dyDescent="0.15">
      <c r="A91" s="2">
        <f>IF($I91=0,"",89)</f>
        <v>89</v>
      </c>
      <c r="B91" s="9" t="str">
        <f>IF($I91=0,"",INDEX('إدخال وسجل المنتجات'!$F$5:$F$590,$I91))</f>
        <v>RAW-DRY-087</v>
      </c>
      <c r="C91" s="8" t="str">
        <f>IF($I91=0,"",INDEX('إدخال وسجل المنتجات'!$B$5:$B$590,$I91))</f>
        <v>فانيليا سائلة</v>
      </c>
      <c r="D91" s="10" t="str">
        <f>IF($I91=0,"",INDEX('إدخال وسجل المنتجات'!$C$5:$C$590,$I91))</f>
        <v>Vanilla</v>
      </c>
      <c r="E91" s="11" t="str">
        <f>IF($I91=0,"",INDEX('إدخال وسجل المنتجات'!$D$5:$D$590,$I91))</f>
        <v>مواد خام</v>
      </c>
      <c r="F91" s="2" t="str">
        <f>IF($I91=0,"",INDEX('إدخال وسجل المنتجات'!$G$5:$G$590,$I91))</f>
        <v>لتر</v>
      </c>
      <c r="G91" s="12"/>
      <c r="H91" s="13"/>
      <c r="I91">
        <f>SUMPRODUCT(('إدخال وسجل المنتجات'!$I$5:$I$590="DRY")*('إدخال وسجل المنتجات'!$M$5:$M$590=89)*(ROW('إدخال وسجل المنتجات'!$I$5:$I$590)-4))</f>
        <v>494</v>
      </c>
      <c r="J91" s="2" t="str">
        <f>IF($I91=0,"",IF($G91="","",$G91*IF(INDEX('إدخال وسجل المنتجات'!$U$5:$U$590,$I91)=0,1,INDEX('إدخال وسجل المنتجات'!$U$5:$U$590,$I91))))</f>
        <v/>
      </c>
    </row>
    <row r="92" spans="1:10" ht="16" x14ac:dyDescent="0.15">
      <c r="A92" s="2">
        <f>IF($I92=0,"",90)</f>
        <v>90</v>
      </c>
      <c r="B92" s="9" t="str">
        <f>IF($I92=0,"",INDEX('إدخال وسجل المنتجات'!$F$5:$F$590,$I92))</f>
        <v>RAW-DRY-088</v>
      </c>
      <c r="C92" s="8" t="str">
        <f>IF($I92=0,"",INDEX('إدخال وسجل المنتجات'!$B$5:$B$590,$I92))</f>
        <v>فلفل احمر مجروش</v>
      </c>
      <c r="D92" s="10" t="str">
        <f>IF($I92=0,"",INDEX('إدخال وسجل المنتجات'!$C$5:$C$590,$I92))</f>
        <v>Pepper</v>
      </c>
      <c r="E92" s="11" t="str">
        <f>IF($I92=0,"",INDEX('إدخال وسجل المنتجات'!$D$5:$D$590,$I92))</f>
        <v>مواد خام</v>
      </c>
      <c r="F92" s="2" t="str">
        <f>IF($I92=0,"",INDEX('إدخال وسجل المنتجات'!$G$5:$G$590,$I92))</f>
        <v>كيلو</v>
      </c>
      <c r="G92" s="12"/>
      <c r="H92" s="13"/>
      <c r="I92">
        <f>SUMPRODUCT(('إدخال وسجل المنتجات'!$I$5:$I$590="DRY")*('إدخال وسجل المنتجات'!$M$5:$M$590=90)*(ROW('إدخال وسجل المنتجات'!$I$5:$I$590)-4))</f>
        <v>497</v>
      </c>
      <c r="J92" s="2" t="str">
        <f>IF($I92=0,"",IF($G92="","",$G92*IF(INDEX('إدخال وسجل المنتجات'!$U$5:$U$590,$I92)=0,1,INDEX('إدخال وسجل المنتجات'!$U$5:$U$590,$I92))))</f>
        <v/>
      </c>
    </row>
    <row r="93" spans="1:10" ht="16" x14ac:dyDescent="0.15">
      <c r="A93" s="2">
        <f>IF($I93=0,"",91)</f>
        <v>91</v>
      </c>
      <c r="B93" s="9" t="str">
        <f>IF($I93=0,"",INDEX('إدخال وسجل المنتجات'!$F$5:$F$590,$I93))</f>
        <v>RAW-DRY-089</v>
      </c>
      <c r="C93" s="8" t="str">
        <f>IF($I93=0,"",INDEX('إدخال وسجل المنتجات'!$B$5:$B$590,$I93))</f>
        <v>فلفل اسود</v>
      </c>
      <c r="D93" s="10" t="str">
        <f>IF($I93=0,"",INDEX('إدخال وسجل المنتجات'!$C$5:$C$590,$I93))</f>
        <v>Pepper</v>
      </c>
      <c r="E93" s="11" t="str">
        <f>IF($I93=0,"",INDEX('إدخال وسجل المنتجات'!$D$5:$D$590,$I93))</f>
        <v>مواد خام</v>
      </c>
      <c r="F93" s="2" t="str">
        <f>IF($I93=0,"",INDEX('إدخال وسجل المنتجات'!$G$5:$G$590,$I93))</f>
        <v>كيلو</v>
      </c>
      <c r="G93" s="12"/>
      <c r="H93" s="13"/>
      <c r="I93">
        <f>SUMPRODUCT(('إدخال وسجل المنتجات'!$I$5:$I$590="DRY")*('إدخال وسجل المنتجات'!$M$5:$M$590=91)*(ROW('إدخال وسجل المنتجات'!$I$5:$I$590)-4))</f>
        <v>498</v>
      </c>
      <c r="J93" s="2" t="str">
        <f>IF($I93=0,"",IF($G93="","",$G93*IF(INDEX('إدخال وسجل المنتجات'!$U$5:$U$590,$I93)=0,1,INDEX('إدخال وسجل المنتجات'!$U$5:$U$590,$I93))))</f>
        <v/>
      </c>
    </row>
    <row r="94" spans="1:10" ht="16" x14ac:dyDescent="0.15">
      <c r="A94" s="2">
        <f>IF($I94=0,"",92)</f>
        <v>92</v>
      </c>
      <c r="B94" s="9" t="str">
        <f>IF($I94=0,"",INDEX('إدخال وسجل المنتجات'!$F$5:$F$590,$I94))</f>
        <v>RAW-DRY-090</v>
      </c>
      <c r="C94" s="8" t="str">
        <f>IF($I94=0,"",INDEX('إدخال وسجل المنتجات'!$B$5:$B$590,$I94))</f>
        <v>فوستر كاستر</v>
      </c>
      <c r="D94" s="10" t="str">
        <f>IF($I94=0,"",INDEX('إدخال وسجل المنتجات'!$C$5:$C$590,$I94))</f>
        <v>Foster Custard</v>
      </c>
      <c r="E94" s="11" t="str">
        <f>IF($I94=0,"",INDEX('إدخال وسجل المنتجات'!$D$5:$D$590,$I94))</f>
        <v>مواد خام</v>
      </c>
      <c r="F94" s="2" t="str">
        <f>IF($I94=0,"",INDEX('إدخال وسجل المنتجات'!$G$5:$G$590,$I94))</f>
        <v>كيلو</v>
      </c>
      <c r="G94" s="12"/>
      <c r="H94" s="13"/>
      <c r="I94">
        <f>SUMPRODUCT(('إدخال وسجل المنتجات'!$I$5:$I$590="DRY")*('إدخال وسجل المنتجات'!$M$5:$M$590=92)*(ROW('إدخال وسجل المنتجات'!$I$5:$I$590)-4))</f>
        <v>501</v>
      </c>
      <c r="J94" s="2" t="str">
        <f>IF($I94=0,"",IF($G94="","",$G94*IF(INDEX('إدخال وسجل المنتجات'!$U$5:$U$590,$I94)=0,1,INDEX('إدخال وسجل المنتجات'!$U$5:$U$590,$I94))))</f>
        <v/>
      </c>
    </row>
    <row r="95" spans="1:10" ht="16" x14ac:dyDescent="0.15">
      <c r="A95" s="2">
        <f>IF($I95=0,"",93)</f>
        <v>93</v>
      </c>
      <c r="B95" s="9" t="str">
        <f>IF($I95=0,"",INDEX('إدخال وسجل المنتجات'!$F$5:$F$590,$I95))</f>
        <v>RAW-DRY-091</v>
      </c>
      <c r="C95" s="8" t="str">
        <f>IF($I95=0,"",INDEX('إدخال وسجل المنتجات'!$B$5:$B$590,$I95))</f>
        <v>قرنفل مطحون</v>
      </c>
      <c r="D95" s="10" t="str">
        <f>IF($I95=0,"",INDEX('إدخال وسجل المنتجات'!$C$5:$C$590,$I95))</f>
        <v>Clove</v>
      </c>
      <c r="E95" s="11" t="str">
        <f>IF($I95=0,"",INDEX('إدخال وسجل المنتجات'!$D$5:$D$590,$I95))</f>
        <v>مواد خام</v>
      </c>
      <c r="F95" s="2" t="str">
        <f>IF($I95=0,"",INDEX('إدخال وسجل المنتجات'!$G$5:$G$590,$I95))</f>
        <v>كيلو</v>
      </c>
      <c r="G95" s="12"/>
      <c r="H95" s="13"/>
      <c r="I95">
        <f>SUMPRODUCT(('إدخال وسجل المنتجات'!$I$5:$I$590="DRY")*('إدخال وسجل المنتجات'!$M$5:$M$590=93)*(ROW('إدخال وسجل المنتجات'!$I$5:$I$590)-4))</f>
        <v>504</v>
      </c>
      <c r="J95" s="2" t="str">
        <f>IF($I95=0,"",IF($G95="","",$G95*IF(INDEX('إدخال وسجل المنتجات'!$U$5:$U$590,$I95)=0,1,INDEX('إدخال وسجل المنتجات'!$U$5:$U$590,$I95))))</f>
        <v/>
      </c>
    </row>
    <row r="96" spans="1:10" ht="16" x14ac:dyDescent="0.15">
      <c r="A96" s="2">
        <f>IF($I96=0,"",94)</f>
        <v>94</v>
      </c>
      <c r="B96" s="9" t="str">
        <f>IF($I96=0,"",INDEX('إدخال وسجل المنتجات'!$F$5:$F$590,$I96))</f>
        <v>RAW-DRY-092</v>
      </c>
      <c r="C96" s="8" t="str">
        <f>IF($I96=0,"",INDEX('إدخال وسجل المنتجات'!$B$5:$B$590,$I96))</f>
        <v>كاتشب 342 جرام</v>
      </c>
      <c r="D96" s="10" t="str">
        <f>IF($I96=0,"",INDEX('إدخال وسجل المنتجات'!$C$5:$C$590,$I96))</f>
        <v>Ketchup</v>
      </c>
      <c r="E96" s="11" t="str">
        <f>IF($I96=0,"",INDEX('إدخال وسجل المنتجات'!$D$5:$D$590,$I96))</f>
        <v>مواد خام</v>
      </c>
      <c r="F96" s="2" t="str">
        <f>IF($I96=0,"",INDEX('إدخال وسجل المنتجات'!$G$5:$G$590,$I96))</f>
        <v>وحدة</v>
      </c>
      <c r="G96" s="12"/>
      <c r="H96" s="13"/>
      <c r="I96">
        <f>SUMPRODUCT(('إدخال وسجل المنتجات'!$I$5:$I$590="DRY")*('إدخال وسجل المنتجات'!$M$5:$M$590=94)*(ROW('إدخال وسجل المنتجات'!$I$5:$I$590)-4))</f>
        <v>509</v>
      </c>
      <c r="J96" s="2" t="str">
        <f>IF($I96=0,"",IF($G96="","",$G96*IF(INDEX('إدخال وسجل المنتجات'!$U$5:$U$590,$I96)=0,1,INDEX('إدخال وسجل المنتجات'!$U$5:$U$590,$I96))))</f>
        <v/>
      </c>
    </row>
    <row r="97" spans="1:10" ht="16" x14ac:dyDescent="0.15">
      <c r="A97" s="2">
        <f>IF($I97=0,"",95)</f>
        <v>95</v>
      </c>
      <c r="B97" s="9" t="str">
        <f>IF($I97=0,"",INDEX('إدخال وسجل المنتجات'!$F$5:$F$590,$I97))</f>
        <v>RAW-DRY-093</v>
      </c>
      <c r="C97" s="8" t="str">
        <f>IF($I97=0,"",INDEX('إدخال وسجل المنتجات'!$B$5:$B$590,$I97))</f>
        <v>كاتشب 570 جرام</v>
      </c>
      <c r="D97" s="10" t="str">
        <f>IF($I97=0,"",INDEX('إدخال وسجل المنتجات'!$C$5:$C$590,$I97))</f>
        <v>Ketchup</v>
      </c>
      <c r="E97" s="11" t="str">
        <f>IF($I97=0,"",INDEX('إدخال وسجل المنتجات'!$D$5:$D$590,$I97))</f>
        <v>مواد خام</v>
      </c>
      <c r="F97" s="2" t="str">
        <f>IF($I97=0,"",INDEX('إدخال وسجل المنتجات'!$G$5:$G$590,$I97))</f>
        <v>وحدة</v>
      </c>
      <c r="G97" s="12"/>
      <c r="H97" s="13"/>
      <c r="I97">
        <f>SUMPRODUCT(('إدخال وسجل المنتجات'!$I$5:$I$590="DRY")*('إدخال وسجل المنتجات'!$M$5:$M$590=95)*(ROW('إدخال وسجل المنتجات'!$I$5:$I$590)-4))</f>
        <v>510</v>
      </c>
      <c r="J97" s="2" t="str">
        <f>IF($I97=0,"",IF($G97="","",$G97*IF(INDEX('إدخال وسجل المنتجات'!$U$5:$U$590,$I97)=0,1,INDEX('إدخال وسجل المنتجات'!$U$5:$U$590,$I97))))</f>
        <v/>
      </c>
    </row>
    <row r="98" spans="1:10" ht="16" x14ac:dyDescent="0.15">
      <c r="A98" s="2">
        <f>IF($I98=0,"",96)</f>
        <v>96</v>
      </c>
      <c r="B98" s="9" t="str">
        <f>IF($I98=0,"",INDEX('إدخال وسجل المنتجات'!$F$5:$F$590,$I98))</f>
        <v>RAW-DRY-094</v>
      </c>
      <c r="C98" s="8" t="str">
        <f>IF($I98=0,"",INDEX('إدخال وسجل المنتجات'!$B$5:$B$590,$I98))</f>
        <v>كاستر تيراميسو</v>
      </c>
      <c r="D98" s="10" t="str">
        <f>IF($I98=0,"",INDEX('إدخال وسجل المنتجات'!$C$5:$C$590,$I98))</f>
        <v>Custard Tiramisu</v>
      </c>
      <c r="E98" s="11" t="str">
        <f>IF($I98=0,"",INDEX('إدخال وسجل المنتجات'!$D$5:$D$590,$I98))</f>
        <v>مواد خام</v>
      </c>
      <c r="F98" s="2" t="str">
        <f>IF($I98=0,"",INDEX('إدخال وسجل المنتجات'!$G$5:$G$590,$I98))</f>
        <v>كيلو</v>
      </c>
      <c r="G98" s="12"/>
      <c r="H98" s="13"/>
      <c r="I98">
        <f>SUMPRODUCT(('إدخال وسجل المنتجات'!$I$5:$I$590="DRY")*('إدخال وسجل المنتجات'!$M$5:$M$590=96)*(ROW('إدخال وسجل المنتجات'!$I$5:$I$590)-4))</f>
        <v>514</v>
      </c>
      <c r="J98" s="2" t="str">
        <f>IF($I98=0,"",IF($G98="","",$G98*IF(INDEX('إدخال وسجل المنتجات'!$U$5:$U$590,$I98)=0,1,INDEX('إدخال وسجل المنتجات'!$U$5:$U$590,$I98))))</f>
        <v/>
      </c>
    </row>
    <row r="99" spans="1:10" ht="16" x14ac:dyDescent="0.15">
      <c r="A99" s="2">
        <f>IF($I99=0,"",97)</f>
        <v>97</v>
      </c>
      <c r="B99" s="9" t="str">
        <f>IF($I99=0,"",INDEX('إدخال وسجل المنتجات'!$F$5:$F$590,$I99))</f>
        <v>RAW-DRY-095</v>
      </c>
      <c r="C99" s="8" t="str">
        <f>IF($I99=0,"",INDEX('إدخال وسجل المنتجات'!$B$5:$B$590,$I99))</f>
        <v>كاسترد</v>
      </c>
      <c r="D99" s="10" t="str">
        <f>IF($I99=0,"",INDEX('إدخال وسجل المنتجات'!$C$5:$C$590,$I99))</f>
        <v>Custard</v>
      </c>
      <c r="E99" s="11" t="str">
        <f>IF($I99=0,"",INDEX('إدخال وسجل المنتجات'!$D$5:$D$590,$I99))</f>
        <v>مواد خام</v>
      </c>
      <c r="F99" s="2" t="str">
        <f>IF($I99=0,"",INDEX('إدخال وسجل المنتجات'!$G$5:$G$590,$I99))</f>
        <v>كيلو</v>
      </c>
      <c r="G99" s="12"/>
      <c r="H99" s="13"/>
      <c r="I99">
        <f>SUMPRODUCT(('إدخال وسجل المنتجات'!$I$5:$I$590="DRY")*('إدخال وسجل المنتجات'!$M$5:$M$590=97)*(ROW('إدخال وسجل المنتجات'!$I$5:$I$590)-4))</f>
        <v>515</v>
      </c>
      <c r="J99" s="2" t="str">
        <f>IF($I99=0,"",IF($G99="","",$G99*IF(INDEX('إدخال وسجل المنتجات'!$U$5:$U$590,$I99)=0,1,INDEX('إدخال وسجل المنتجات'!$U$5:$U$590,$I99))))</f>
        <v/>
      </c>
    </row>
    <row r="100" spans="1:10" ht="16" x14ac:dyDescent="0.15">
      <c r="A100" s="2">
        <f>IF($I100=0,"",98)</f>
        <v>98</v>
      </c>
      <c r="B100" s="9" t="str">
        <f>IF($I100=0,"",INDEX('إدخال وسجل المنتجات'!$F$5:$F$590,$I100))</f>
        <v>RAW-DRY-096</v>
      </c>
      <c r="C100" s="8" t="str">
        <f>IF($I100=0,"",INDEX('إدخال وسجل المنتجات'!$B$5:$B$590,$I100))</f>
        <v>كاكاو بودرة</v>
      </c>
      <c r="D100" s="10" t="str">
        <f>IF($I100=0,"",INDEX('إدخال وسجل المنتجات'!$C$5:$C$590,$I100))</f>
        <v>Cocoa Powder</v>
      </c>
      <c r="E100" s="11" t="str">
        <f>IF($I100=0,"",INDEX('إدخال وسجل المنتجات'!$D$5:$D$590,$I100))</f>
        <v>مواد خام</v>
      </c>
      <c r="F100" s="2" t="str">
        <f>IF($I100=0,"",INDEX('إدخال وسجل المنتجات'!$G$5:$G$590,$I100))</f>
        <v>كيلو</v>
      </c>
      <c r="G100" s="12"/>
      <c r="H100" s="13"/>
      <c r="I100">
        <f>SUMPRODUCT(('إدخال وسجل المنتجات'!$I$5:$I$590="DRY")*('إدخال وسجل المنتجات'!$M$5:$M$590=98)*(ROW('إدخال وسجل المنتجات'!$I$5:$I$590)-4))</f>
        <v>517</v>
      </c>
      <c r="J100" s="2" t="str">
        <f>IF($I100=0,"",IF($G100="","",$G100*IF(INDEX('إدخال وسجل المنتجات'!$U$5:$U$590,$I100)=0,1,INDEX('إدخال وسجل المنتجات'!$U$5:$U$590,$I100))))</f>
        <v/>
      </c>
    </row>
    <row r="101" spans="1:10" ht="16" x14ac:dyDescent="0.15">
      <c r="A101" s="2">
        <f>IF($I101=0,"",99)</f>
        <v>99</v>
      </c>
      <c r="B101" s="9" t="str">
        <f>IF($I101=0,"",INDEX('إدخال وسجل المنتجات'!$F$5:$F$590,$I101))</f>
        <v>RAW-DRY-097</v>
      </c>
      <c r="C101" s="8" t="str">
        <f>IF($I101=0,"",INDEX('إدخال وسجل المنتجات'!$B$5:$B$590,$I101))</f>
        <v>كركم مطحون</v>
      </c>
      <c r="D101" s="10" t="str">
        <f>IF($I101=0,"",INDEX('إدخال وسجل المنتجات'!$C$5:$C$590,$I101))</f>
        <v>Turmeric</v>
      </c>
      <c r="E101" s="11" t="str">
        <f>IF($I101=0,"",INDEX('إدخال وسجل المنتجات'!$D$5:$D$590,$I101))</f>
        <v>مواد خام</v>
      </c>
      <c r="F101" s="2" t="str">
        <f>IF($I101=0,"",INDEX('إدخال وسجل المنتجات'!$G$5:$G$590,$I101))</f>
        <v>كيلو</v>
      </c>
      <c r="G101" s="12"/>
      <c r="H101" s="13"/>
      <c r="I101">
        <f>SUMPRODUCT(('إدخال وسجل المنتجات'!$I$5:$I$590="DRY")*('إدخال وسجل المنتجات'!$M$5:$M$590=99)*(ROW('إدخال وسجل المنتجات'!$I$5:$I$590)-4))</f>
        <v>520</v>
      </c>
      <c r="J101" s="2" t="str">
        <f>IF($I101=0,"",IF($G101="","",$G101*IF(INDEX('إدخال وسجل المنتجات'!$U$5:$U$590,$I101)=0,1,INDEX('إدخال وسجل المنتجات'!$U$5:$U$590,$I101))))</f>
        <v/>
      </c>
    </row>
    <row r="102" spans="1:10" ht="16" x14ac:dyDescent="0.15">
      <c r="A102" s="2">
        <f>IF($I102=0,"",100)</f>
        <v>100</v>
      </c>
      <c r="B102" s="9" t="str">
        <f>IF($I102=0,"",INDEX('إدخال وسجل المنتجات'!$F$5:$F$590,$I102))</f>
        <v>RAW-DRY-098</v>
      </c>
      <c r="C102" s="8" t="str">
        <f>IF($I102=0,"",INDEX('إدخال وسجل المنتجات'!$B$5:$B$590,$I102))</f>
        <v>كريمة البلسميك</v>
      </c>
      <c r="D102" s="10" t="str">
        <f>IF($I102=0,"",INDEX('إدخال وسجل المنتجات'!$C$5:$C$590,$I102))</f>
        <v>Cream</v>
      </c>
      <c r="E102" s="11" t="str">
        <f>IF($I102=0,"",INDEX('إدخال وسجل المنتجات'!$D$5:$D$590,$I102))</f>
        <v>مواد خام</v>
      </c>
      <c r="F102" s="2" t="str">
        <f>IF($I102=0,"",INDEX('إدخال وسجل المنتجات'!$G$5:$G$590,$I102))</f>
        <v>لتر</v>
      </c>
      <c r="G102" s="12"/>
      <c r="H102" s="13"/>
      <c r="I102">
        <f>SUMPRODUCT(('إدخال وسجل المنتجات'!$I$5:$I$590="DRY")*('إدخال وسجل المنتجات'!$M$5:$M$590=100)*(ROW('إدخال وسجل المنتجات'!$I$5:$I$590)-4))</f>
        <v>521</v>
      </c>
      <c r="J102" s="2" t="str">
        <f>IF($I102=0,"",IF($G102="","",$G102*IF(INDEX('إدخال وسجل المنتجات'!$U$5:$U$590,$I102)=0,1,INDEX('إدخال وسجل المنتجات'!$U$5:$U$590,$I102))))</f>
        <v/>
      </c>
    </row>
    <row r="103" spans="1:10" ht="16" x14ac:dyDescent="0.15">
      <c r="A103" s="2">
        <f>IF($I103=0,"",101)</f>
        <v>101</v>
      </c>
      <c r="B103" s="9" t="str">
        <f>IF($I103=0,"",INDEX('إدخال وسجل المنتجات'!$F$5:$F$590,$I103))</f>
        <v>RAW-DRY-099</v>
      </c>
      <c r="C103" s="8" t="str">
        <f>IF($I103=0,"",INDEX('إدخال وسجل المنتجات'!$B$5:$B$590,$I103))</f>
        <v>كزبرة مطحونة</v>
      </c>
      <c r="D103" s="10" t="str">
        <f>IF($I103=0,"",INDEX('إدخال وسجل المنتجات'!$C$5:$C$590,$I103))</f>
        <v>Coriander</v>
      </c>
      <c r="E103" s="11" t="str">
        <f>IF($I103=0,"",INDEX('إدخال وسجل المنتجات'!$D$5:$D$590,$I103))</f>
        <v>مواد خام</v>
      </c>
      <c r="F103" s="2" t="str">
        <f>IF($I103=0,"",INDEX('إدخال وسجل المنتجات'!$G$5:$G$590,$I103))</f>
        <v>كيلو</v>
      </c>
      <c r="G103" s="12"/>
      <c r="H103" s="13"/>
      <c r="I103">
        <f>SUMPRODUCT(('إدخال وسجل المنتجات'!$I$5:$I$590="DRY")*('إدخال وسجل المنتجات'!$M$5:$M$590=101)*(ROW('إدخال وسجل المنتجات'!$I$5:$I$590)-4))</f>
        <v>526</v>
      </c>
      <c r="J103" s="2" t="str">
        <f>IF($I103=0,"",IF($G103="","",$G103*IF(INDEX('إدخال وسجل المنتجات'!$U$5:$U$590,$I103)=0,1,INDEX('إدخال وسجل المنتجات'!$U$5:$U$590,$I103))))</f>
        <v/>
      </c>
    </row>
    <row r="104" spans="1:10" ht="16" x14ac:dyDescent="0.15">
      <c r="A104" s="2">
        <f>IF($I104=0,"",102)</f>
        <v>102</v>
      </c>
      <c r="B104" s="9" t="str">
        <f>IF($I104=0,"",INDEX('إدخال وسجل المنتجات'!$F$5:$F$590,$I104))</f>
        <v>RAW-DRY-100</v>
      </c>
      <c r="C104" s="8" t="str">
        <f>IF($I104=0,"",INDEX('إدخال وسجل المنتجات'!$B$5:$B$590,$I104))</f>
        <v>كينوا ابيض</v>
      </c>
      <c r="D104" s="10" t="str">
        <f>IF($I104=0,"",INDEX('إدخال وسجل المنتجات'!$C$5:$C$590,$I104))</f>
        <v>Quinoa</v>
      </c>
      <c r="E104" s="11" t="str">
        <f>IF($I104=0,"",INDEX('إدخال وسجل المنتجات'!$D$5:$D$590,$I104))</f>
        <v>مواد خام</v>
      </c>
      <c r="F104" s="2" t="str">
        <f>IF($I104=0,"",INDEX('إدخال وسجل المنتجات'!$G$5:$G$590,$I104))</f>
        <v>كيلو</v>
      </c>
      <c r="G104" s="12"/>
      <c r="H104" s="13"/>
      <c r="I104">
        <f>SUMPRODUCT(('إدخال وسجل المنتجات'!$I$5:$I$590="DRY")*('إدخال وسجل المنتجات'!$M$5:$M$590=102)*(ROW('إدخال وسجل المنتجات'!$I$5:$I$590)-4))</f>
        <v>531</v>
      </c>
      <c r="J104" s="2" t="str">
        <f>IF($I104=0,"",IF($G104="","",$G104*IF(INDEX('إدخال وسجل المنتجات'!$U$5:$U$590,$I104)=0,1,INDEX('إدخال وسجل المنتجات'!$U$5:$U$590,$I104))))</f>
        <v/>
      </c>
    </row>
    <row r="105" spans="1:10" ht="16" x14ac:dyDescent="0.15">
      <c r="A105" s="2">
        <f>IF($I105=0,"",103)</f>
        <v>103</v>
      </c>
      <c r="B105" s="9" t="str">
        <f>IF($I105=0,"",INDEX('إدخال وسجل المنتجات'!$F$5:$F$590,$I105))</f>
        <v>RAW-DRY-101</v>
      </c>
      <c r="C105" s="8" t="str">
        <f>IF($I105=0,"",INDEX('إدخال وسجل المنتجات'!$B$5:$B$590,$I105))</f>
        <v>كينوا احمر</v>
      </c>
      <c r="D105" s="10" t="str">
        <f>IF($I105=0,"",INDEX('إدخال وسجل المنتجات'!$C$5:$C$590,$I105))</f>
        <v>Quinoa</v>
      </c>
      <c r="E105" s="11" t="str">
        <f>IF($I105=0,"",INDEX('إدخال وسجل المنتجات'!$D$5:$D$590,$I105))</f>
        <v>مواد خام</v>
      </c>
      <c r="F105" s="2" t="str">
        <f>IF($I105=0,"",INDEX('إدخال وسجل المنتجات'!$G$5:$G$590,$I105))</f>
        <v>كيلو</v>
      </c>
      <c r="G105" s="12"/>
      <c r="H105" s="13"/>
      <c r="I105">
        <f>SUMPRODUCT(('إدخال وسجل المنتجات'!$I$5:$I$590="DRY")*('إدخال وسجل المنتجات'!$M$5:$M$590=103)*(ROW('إدخال وسجل المنتجات'!$I$5:$I$590)-4))</f>
        <v>532</v>
      </c>
      <c r="J105" s="2" t="str">
        <f>IF($I105=0,"",IF($G105="","",$G105*IF(INDEX('إدخال وسجل المنتجات'!$U$5:$U$590,$I105)=0,1,INDEX('إدخال وسجل المنتجات'!$U$5:$U$590,$I105))))</f>
        <v/>
      </c>
    </row>
    <row r="106" spans="1:10" ht="16" x14ac:dyDescent="0.15">
      <c r="A106" s="2">
        <f>IF($I106=0,"",104)</f>
        <v>104</v>
      </c>
      <c r="B106" s="9" t="str">
        <f>IF($I106=0,"",INDEX('إدخال وسجل المنتجات'!$F$5:$F$590,$I106))</f>
        <v>RAW-DRY-102</v>
      </c>
      <c r="C106" s="8" t="str">
        <f>IF($I106=0,"",INDEX('إدخال وسجل المنتجات'!$B$5:$B$590,$I106))</f>
        <v>كينوا اسود</v>
      </c>
      <c r="D106" s="10" t="str">
        <f>IF($I106=0,"",INDEX('إدخال وسجل المنتجات'!$C$5:$C$590,$I106))</f>
        <v>Quinoa</v>
      </c>
      <c r="E106" s="11" t="str">
        <f>IF($I106=0,"",INDEX('إدخال وسجل المنتجات'!$D$5:$D$590,$I106))</f>
        <v>مواد خام</v>
      </c>
      <c r="F106" s="2" t="str">
        <f>IF($I106=0,"",INDEX('إدخال وسجل المنتجات'!$G$5:$G$590,$I106))</f>
        <v>كيلو</v>
      </c>
      <c r="G106" s="12"/>
      <c r="H106" s="13"/>
      <c r="I106">
        <f>SUMPRODUCT(('إدخال وسجل المنتجات'!$I$5:$I$590="DRY")*('إدخال وسجل المنتجات'!$M$5:$M$590=104)*(ROW('إدخال وسجل المنتجات'!$I$5:$I$590)-4))</f>
        <v>533</v>
      </c>
      <c r="J106" s="2" t="str">
        <f>IF($I106=0,"",IF($G106="","",$G106*IF(INDEX('إدخال وسجل المنتجات'!$U$5:$U$590,$I106)=0,1,INDEX('إدخال وسجل المنتجات'!$U$5:$U$590,$I106))))</f>
        <v/>
      </c>
    </row>
    <row r="107" spans="1:10" ht="16" x14ac:dyDescent="0.15">
      <c r="A107" s="2">
        <f>IF($I107=0,"",105)</f>
        <v>105</v>
      </c>
      <c r="B107" s="9" t="str">
        <f>IF($I107=0,"",INDEX('إدخال وسجل المنتجات'!$F$5:$F$590,$I107))</f>
        <v>RAW-DRY-103</v>
      </c>
      <c r="C107" s="8" t="str">
        <f>IF($I107=0,"",INDEX('إدخال وسجل المنتجات'!$B$5:$B$590,$I107))</f>
        <v>لون زعفران</v>
      </c>
      <c r="D107" s="10" t="str">
        <f>IF($I107=0,"",INDEX('إدخال وسجل المنتجات'!$C$5:$C$590,$I107))</f>
        <v>Saffron</v>
      </c>
      <c r="E107" s="11" t="str">
        <f>IF($I107=0,"",INDEX('إدخال وسجل المنتجات'!$D$5:$D$590,$I107))</f>
        <v>مواد خام</v>
      </c>
      <c r="F107" s="2" t="str">
        <f>IF($I107=0,"",INDEX('إدخال وسجل المنتجات'!$G$5:$G$590,$I107))</f>
        <v>كيلو</v>
      </c>
      <c r="G107" s="12"/>
      <c r="H107" s="13"/>
      <c r="I107">
        <f>SUMPRODUCT(('إدخال وسجل المنتجات'!$I$5:$I$590="DRY")*('إدخال وسجل المنتجات'!$M$5:$M$590=105)*(ROW('إدخال وسجل المنتجات'!$I$5:$I$590)-4))</f>
        <v>541</v>
      </c>
      <c r="J107" s="2" t="str">
        <f>IF($I107=0,"",IF($G107="","",$G107*IF(INDEX('إدخال وسجل المنتجات'!$U$5:$U$590,$I107)=0,1,INDEX('إدخال وسجل المنتجات'!$U$5:$U$590,$I107))))</f>
        <v/>
      </c>
    </row>
    <row r="108" spans="1:10" ht="16" x14ac:dyDescent="0.15">
      <c r="A108" s="2">
        <f>IF($I108=0,"",106)</f>
        <v>106</v>
      </c>
      <c r="B108" s="9" t="str">
        <f>IF($I108=0,"",INDEX('إدخال وسجل المنتجات'!$F$5:$F$590,$I108))</f>
        <v>RAW-DRY-104</v>
      </c>
      <c r="C108" s="8" t="str">
        <f>IF($I108=0,"",INDEX('إدخال وسجل المنتجات'!$B$5:$B$590,$I108))</f>
        <v>مايونيز كبير 3078</v>
      </c>
      <c r="D108" s="10" t="str">
        <f>IF($I108=0,"",INDEX('إدخال وسجل المنتجات'!$C$5:$C$590,$I108))</f>
        <v>Mayonnaise</v>
      </c>
      <c r="E108" s="11" t="str">
        <f>IF($I108=0,"",INDEX('إدخال وسجل المنتجات'!$D$5:$D$590,$I108))</f>
        <v>مواد خام</v>
      </c>
      <c r="F108" s="2" t="str">
        <f>IF($I108=0,"",INDEX('إدخال وسجل المنتجات'!$G$5:$G$590,$I108))</f>
        <v>كيلو</v>
      </c>
      <c r="G108" s="12"/>
      <c r="H108" s="13"/>
      <c r="I108">
        <f>SUMPRODUCT(('إدخال وسجل المنتجات'!$I$5:$I$590="DRY")*('إدخال وسجل المنتجات'!$M$5:$M$590=106)*(ROW('إدخال وسجل المنتجات'!$I$5:$I$590)-4))</f>
        <v>548</v>
      </c>
      <c r="J108" s="2" t="str">
        <f>IF($I108=0,"",IF($G108="","",$G108*IF(INDEX('إدخال وسجل المنتجات'!$U$5:$U$590,$I108)=0,1,INDEX('إدخال وسجل المنتجات'!$U$5:$U$590,$I108))))</f>
        <v/>
      </c>
    </row>
    <row r="109" spans="1:10" ht="16" x14ac:dyDescent="0.15">
      <c r="A109" s="2">
        <f>IF($I109=0,"",107)</f>
        <v>107</v>
      </c>
      <c r="B109" s="9" t="str">
        <f>IF($I109=0,"",INDEX('إدخال وسجل المنتجات'!$F$5:$F$590,$I109))</f>
        <v>RAW-DRY-105</v>
      </c>
      <c r="C109" s="8" t="str">
        <f>IF($I109=0,"",INDEX('إدخال وسجل المنتجات'!$B$5:$B$590,$I109))</f>
        <v>مرق دجاج</v>
      </c>
      <c r="D109" s="10" t="str">
        <f>IF($I109=0,"",INDEX('إدخال وسجل المنتجات'!$C$5:$C$590,$I109))</f>
        <v>Chicken</v>
      </c>
      <c r="E109" s="11" t="str">
        <f>IF($I109=0,"",INDEX('إدخال وسجل المنتجات'!$D$5:$D$590,$I109))</f>
        <v>مواد خام</v>
      </c>
      <c r="F109" s="2" t="str">
        <f>IF($I109=0,"",INDEX('إدخال وسجل المنتجات'!$G$5:$G$590,$I109))</f>
        <v>كيلو</v>
      </c>
      <c r="G109" s="12"/>
      <c r="H109" s="13"/>
      <c r="I109">
        <f>SUMPRODUCT(('إدخال وسجل المنتجات'!$I$5:$I$590="DRY")*('إدخال وسجل المنتجات'!$M$5:$M$590=107)*(ROW('إدخال وسجل المنتجات'!$I$5:$I$590)-4))</f>
        <v>550</v>
      </c>
      <c r="J109" s="2" t="str">
        <f>IF($I109=0,"",IF($G109="","",$G109*IF(INDEX('إدخال وسجل المنتجات'!$U$5:$U$590,$I109)=0,1,INDEX('إدخال وسجل المنتجات'!$U$5:$U$590,$I109))))</f>
        <v/>
      </c>
    </row>
    <row r="110" spans="1:10" ht="16" x14ac:dyDescent="0.15">
      <c r="A110" s="2">
        <f>IF($I110=0,"",108)</f>
        <v>108</v>
      </c>
      <c r="B110" s="9" t="str">
        <f>IF($I110=0,"",INDEX('إدخال وسجل المنتجات'!$F$5:$F$590,$I110))</f>
        <v>RAW-DRY-106</v>
      </c>
      <c r="C110" s="8" t="str">
        <f>IF($I110=0,"",INDEX('إدخال وسجل المنتجات'!$B$5:$B$590,$I110))</f>
        <v>معجون الترافل</v>
      </c>
      <c r="D110" s="10" t="str">
        <f>IF($I110=0,"",INDEX('إدخال وسجل المنتجات'!$C$5:$C$590,$I110))</f>
        <v>Truffle Paste</v>
      </c>
      <c r="E110" s="11" t="str">
        <f>IF($I110=0,"",INDEX('إدخال وسجل المنتجات'!$D$5:$D$590,$I110))</f>
        <v>مواد خام</v>
      </c>
      <c r="F110" s="2" t="str">
        <f>IF($I110=0,"",INDEX('إدخال وسجل المنتجات'!$G$5:$G$590,$I110))</f>
        <v>كيلو</v>
      </c>
      <c r="G110" s="12"/>
      <c r="H110" s="13"/>
      <c r="I110">
        <f>SUMPRODUCT(('إدخال وسجل المنتجات'!$I$5:$I$590="DRY")*('إدخال وسجل المنتجات'!$M$5:$M$590=108)*(ROW('إدخال وسجل المنتجات'!$I$5:$I$590)-4))</f>
        <v>553</v>
      </c>
      <c r="J110" s="2" t="str">
        <f>IF($I110=0,"",IF($G110="","",$G110*IF(INDEX('إدخال وسجل المنتجات'!$U$5:$U$590,$I110)=0,1,INDEX('إدخال وسجل المنتجات'!$U$5:$U$590,$I110))))</f>
        <v/>
      </c>
    </row>
    <row r="111" spans="1:10" ht="16" x14ac:dyDescent="0.15">
      <c r="A111" s="2">
        <f>IF($I111=0,"",109)</f>
        <v>109</v>
      </c>
      <c r="B111" s="9" t="str">
        <f>IF($I111=0,"",INDEX('إدخال وسجل المنتجات'!$F$5:$F$590,$I111))</f>
        <v>RAW-DRY-107</v>
      </c>
      <c r="C111" s="8" t="str">
        <f>IF($I111=0,"",INDEX('إدخال وسجل المنتجات'!$B$5:$B$590,$I111))</f>
        <v>معجون الثوم</v>
      </c>
      <c r="D111" s="10" t="str">
        <f>IF($I111=0,"",INDEX('إدخال وسجل المنتجات'!$C$5:$C$590,$I111))</f>
        <v>Garlic Paste</v>
      </c>
      <c r="E111" s="11" t="str">
        <f>IF($I111=0,"",INDEX('إدخال وسجل المنتجات'!$D$5:$D$590,$I111))</f>
        <v>مواد خام</v>
      </c>
      <c r="F111" s="2" t="str">
        <f>IF($I111=0,"",INDEX('إدخال وسجل المنتجات'!$G$5:$G$590,$I111))</f>
        <v>كيلو</v>
      </c>
      <c r="G111" s="12"/>
      <c r="H111" s="13"/>
      <c r="I111">
        <f>SUMPRODUCT(('إدخال وسجل المنتجات'!$I$5:$I$590="DRY")*('إدخال وسجل المنتجات'!$M$5:$M$590=109)*(ROW('إدخال وسجل المنتجات'!$I$5:$I$590)-4))</f>
        <v>554</v>
      </c>
      <c r="J111" s="2" t="str">
        <f>IF($I111=0,"",IF($G111="","",$G111*IF(INDEX('إدخال وسجل المنتجات'!$U$5:$U$590,$I111)=0,1,INDEX('إدخال وسجل المنتجات'!$U$5:$U$590,$I111))))</f>
        <v/>
      </c>
    </row>
    <row r="112" spans="1:10" ht="16" x14ac:dyDescent="0.15">
      <c r="A112" s="2">
        <f>IF($I112=0,"",110)</f>
        <v>110</v>
      </c>
      <c r="B112" s="9" t="str">
        <f>IF($I112=0,"",INDEX('إدخال وسجل المنتجات'!$F$5:$F$590,$I112))</f>
        <v>RAW-DRY-108</v>
      </c>
      <c r="C112" s="8" t="str">
        <f>IF($I112=0,"",INDEX('إدخال وسجل المنتجات'!$B$5:$B$590,$I112))</f>
        <v>معجون الفلفل الحار</v>
      </c>
      <c r="D112" s="10" t="str">
        <f>IF($I112=0,"",INDEX('إدخال وسجل المنتجات'!$C$5:$C$590,$I112))</f>
        <v>Pepper Spicy Paste</v>
      </c>
      <c r="E112" s="11" t="str">
        <f>IF($I112=0,"",INDEX('إدخال وسجل المنتجات'!$D$5:$D$590,$I112))</f>
        <v>مواد خام</v>
      </c>
      <c r="F112" s="2" t="str">
        <f>IF($I112=0,"",INDEX('إدخال وسجل المنتجات'!$G$5:$G$590,$I112))</f>
        <v>كيلو</v>
      </c>
      <c r="G112" s="12"/>
      <c r="H112" s="13"/>
      <c r="I112">
        <f>SUMPRODUCT(('إدخال وسجل المنتجات'!$I$5:$I$590="DRY")*('إدخال وسجل المنتجات'!$M$5:$M$590=110)*(ROW('إدخال وسجل المنتجات'!$I$5:$I$590)-4))</f>
        <v>555</v>
      </c>
      <c r="J112" s="2" t="str">
        <f>IF($I112=0,"",IF($G112="","",$G112*IF(INDEX('إدخال وسجل المنتجات'!$U$5:$U$590,$I112)=0,1,INDEX('إدخال وسجل المنتجات'!$U$5:$U$590,$I112))))</f>
        <v/>
      </c>
    </row>
    <row r="113" spans="1:10" ht="16" x14ac:dyDescent="0.15">
      <c r="A113" s="2">
        <f>IF($I113=0,"",111)</f>
        <v>111</v>
      </c>
      <c r="B113" s="9" t="str">
        <f>IF($I113=0,"",INDEX('إدخال وسجل المنتجات'!$F$5:$F$590,$I113))</f>
        <v>RAW-DRY-109</v>
      </c>
      <c r="C113" s="8" t="str">
        <f>IF($I113=0,"",INDEX('إدخال وسجل المنتجات'!$B$5:$B$590,$I113))</f>
        <v>معجون طماطم</v>
      </c>
      <c r="D113" s="10" t="str">
        <f>IF($I113=0,"",INDEX('إدخال وسجل المنتجات'!$C$5:$C$590,$I113))</f>
        <v>Tomato Paste</v>
      </c>
      <c r="E113" s="11" t="str">
        <f>IF($I113=0,"",INDEX('إدخال وسجل المنتجات'!$D$5:$D$590,$I113))</f>
        <v>مواد خام</v>
      </c>
      <c r="F113" s="2" t="str">
        <f>IF($I113=0,"",INDEX('إدخال وسجل المنتجات'!$G$5:$G$590,$I113))</f>
        <v>كيلو</v>
      </c>
      <c r="G113" s="12"/>
      <c r="H113" s="13"/>
      <c r="I113">
        <f>SUMPRODUCT(('إدخال وسجل المنتجات'!$I$5:$I$590="DRY")*('إدخال وسجل المنتجات'!$M$5:$M$590=111)*(ROW('إدخال وسجل المنتجات'!$I$5:$I$590)-4))</f>
        <v>556</v>
      </c>
      <c r="J113" s="2" t="str">
        <f>IF($I113=0,"",IF($G113="","",$G113*IF(INDEX('إدخال وسجل المنتجات'!$U$5:$U$590,$I113)=0,1,INDEX('إدخال وسجل المنتجات'!$U$5:$U$590,$I113))))</f>
        <v/>
      </c>
    </row>
    <row r="114" spans="1:10" ht="16" x14ac:dyDescent="0.15">
      <c r="A114" s="2">
        <f>IF($I114=0,"",112)</f>
        <v>112</v>
      </c>
      <c r="B114" s="9" t="str">
        <f>IF($I114=0,"",INDEX('إدخال وسجل المنتجات'!$F$5:$F$590,$I114))</f>
        <v>RAW-DRY-110</v>
      </c>
      <c r="C114" s="8" t="str">
        <f>IF($I114=0,"",INDEX('إدخال وسجل المنتجات'!$B$5:$B$590,$I114))</f>
        <v>مكرونة اكواع قودي</v>
      </c>
      <c r="D114" s="10" t="str">
        <f>IF($I114=0,"",INDEX('إدخال وسجل المنتجات'!$C$5:$C$590,$I114))</f>
        <v>Elbow Goody Pasta</v>
      </c>
      <c r="E114" s="11" t="str">
        <f>IF($I114=0,"",INDEX('إدخال وسجل المنتجات'!$D$5:$D$590,$I114))</f>
        <v>مواد خام</v>
      </c>
      <c r="F114" s="2" t="str">
        <f>IF($I114=0,"",INDEX('إدخال وسجل المنتجات'!$G$5:$G$590,$I114))</f>
        <v>كيلو</v>
      </c>
      <c r="G114" s="12"/>
      <c r="H114" s="13"/>
      <c r="I114">
        <f>SUMPRODUCT(('إدخال وسجل المنتجات'!$I$5:$I$590="DRY")*('إدخال وسجل المنتجات'!$M$5:$M$590=112)*(ROW('إدخال وسجل المنتجات'!$I$5:$I$590)-4))</f>
        <v>557</v>
      </c>
      <c r="J114" s="2" t="str">
        <f>IF($I114=0,"",IF($G114="","",$G114*IF(INDEX('إدخال وسجل المنتجات'!$U$5:$U$590,$I114)=0,1,INDEX('إدخال وسجل المنتجات'!$U$5:$U$590,$I114))))</f>
        <v/>
      </c>
    </row>
    <row r="115" spans="1:10" ht="16" x14ac:dyDescent="0.15">
      <c r="A115" s="2">
        <f>IF($I115=0,"",113)</f>
        <v>113</v>
      </c>
      <c r="B115" s="9" t="str">
        <f>IF($I115=0,"",INDEX('إدخال وسجل المنتجات'!$F$5:$F$590,$I115))</f>
        <v>RAW-DRY-111</v>
      </c>
      <c r="C115" s="8" t="str">
        <f>IF($I115=0,"",INDEX('إدخال وسجل المنتجات'!$B$5:$B$590,$I115))</f>
        <v>مكرونة بيني ريجاتي</v>
      </c>
      <c r="D115" s="10" t="str">
        <f>IF($I115=0,"",INDEX('إدخال وسجل المنتجات'!$C$5:$C$590,$I115))</f>
        <v>Penne Rigati Pasta</v>
      </c>
      <c r="E115" s="11" t="str">
        <f>IF($I115=0,"",INDEX('إدخال وسجل المنتجات'!$D$5:$D$590,$I115))</f>
        <v>مواد خام</v>
      </c>
      <c r="F115" s="2" t="str">
        <f>IF($I115=0,"",INDEX('إدخال وسجل المنتجات'!$G$5:$G$590,$I115))</f>
        <v>كيلو</v>
      </c>
      <c r="G115" s="12"/>
      <c r="H115" s="13"/>
      <c r="I115">
        <f>SUMPRODUCT(('إدخال وسجل المنتجات'!$I$5:$I$590="DRY")*('إدخال وسجل المنتجات'!$M$5:$M$590=113)*(ROW('إدخال وسجل المنتجات'!$I$5:$I$590)-4))</f>
        <v>558</v>
      </c>
      <c r="J115" s="2" t="str">
        <f>IF($I115=0,"",IF($G115="","",$G115*IF(INDEX('إدخال وسجل المنتجات'!$U$5:$U$590,$I115)=0,1,INDEX('إدخال وسجل المنتجات'!$U$5:$U$590,$I115))))</f>
        <v/>
      </c>
    </row>
    <row r="116" spans="1:10" ht="16" x14ac:dyDescent="0.15">
      <c r="A116" s="2">
        <f>IF($I116=0,"",114)</f>
        <v>114</v>
      </c>
      <c r="B116" s="9" t="str">
        <f>IF($I116=0,"",INDEX('إدخال وسجل المنتجات'!$F$5:$F$590,$I116))</f>
        <v>RAW-DRY-112</v>
      </c>
      <c r="C116" s="8" t="str">
        <f>IF($I116=0,"",INDEX('إدخال وسجل المنتجات'!$B$5:$B$590,$I116))</f>
        <v>مكرونة سباجيتي</v>
      </c>
      <c r="D116" s="10" t="str">
        <f>IF($I116=0,"",INDEX('إدخال وسجل المنتجات'!$C$5:$C$590,$I116))</f>
        <v>Spaghetti Pasta</v>
      </c>
      <c r="E116" s="11" t="str">
        <f>IF($I116=0,"",INDEX('إدخال وسجل المنتجات'!$D$5:$D$590,$I116))</f>
        <v>مواد خام</v>
      </c>
      <c r="F116" s="2" t="str">
        <f>IF($I116=0,"",INDEX('إدخال وسجل المنتجات'!$G$5:$G$590,$I116))</f>
        <v>كيلو</v>
      </c>
      <c r="G116" s="12"/>
      <c r="H116" s="13"/>
      <c r="I116">
        <f>SUMPRODUCT(('إدخال وسجل المنتجات'!$I$5:$I$590="DRY")*('إدخال وسجل المنتجات'!$M$5:$M$590=114)*(ROW('إدخال وسجل المنتجات'!$I$5:$I$590)-4))</f>
        <v>559</v>
      </c>
      <c r="J116" s="2" t="str">
        <f>IF($I116=0,"",IF($G116="","",$G116*IF(INDEX('إدخال وسجل المنتجات'!$U$5:$U$590,$I116)=0,1,INDEX('إدخال وسجل المنتجات'!$U$5:$U$590,$I116))))</f>
        <v/>
      </c>
    </row>
    <row r="117" spans="1:10" ht="16" x14ac:dyDescent="0.15">
      <c r="A117" s="2">
        <f>IF($I117=0,"",115)</f>
        <v>115</v>
      </c>
      <c r="B117" s="9" t="str">
        <f>IF($I117=0,"",INDEX('إدخال وسجل المنتجات'!$F$5:$F$590,$I117))</f>
        <v>RAW-DRY-113</v>
      </c>
      <c r="C117" s="8" t="str">
        <f>IF($I117=0,"",INDEX('إدخال وسجل المنتجات'!$B$5:$B$590,$I117))</f>
        <v>مكرونة لازانيا</v>
      </c>
      <c r="D117" s="10" t="str">
        <f>IF($I117=0,"",INDEX('إدخال وسجل المنتجات'!$C$5:$C$590,$I117))</f>
        <v>Lasagna Pasta</v>
      </c>
      <c r="E117" s="11" t="str">
        <f>IF($I117=0,"",INDEX('إدخال وسجل المنتجات'!$D$5:$D$590,$I117))</f>
        <v>مواد خام</v>
      </c>
      <c r="F117" s="2" t="str">
        <f>IF($I117=0,"",INDEX('إدخال وسجل المنتجات'!$G$5:$G$590,$I117))</f>
        <v>كيلو</v>
      </c>
      <c r="G117" s="12"/>
      <c r="H117" s="13"/>
      <c r="I117">
        <f>SUMPRODUCT(('إدخال وسجل المنتجات'!$I$5:$I$590="DRY")*('إدخال وسجل المنتجات'!$M$5:$M$590=115)*(ROW('إدخال وسجل المنتجات'!$I$5:$I$590)-4))</f>
        <v>560</v>
      </c>
      <c r="J117" s="2" t="str">
        <f>IF($I117=0,"",IF($G117="","",$G117*IF(INDEX('إدخال وسجل المنتجات'!$U$5:$U$590,$I117)=0,1,INDEX('إدخال وسجل المنتجات'!$U$5:$U$590,$I117))))</f>
        <v/>
      </c>
    </row>
    <row r="118" spans="1:10" ht="16" x14ac:dyDescent="0.15">
      <c r="A118" s="2">
        <f>IF($I118=0,"",116)</f>
        <v>116</v>
      </c>
      <c r="B118" s="9" t="str">
        <f>IF($I118=0,"",INDEX('إدخال وسجل المنتجات'!$F$5:$F$590,$I118))</f>
        <v>RAW-DRY-114</v>
      </c>
      <c r="C118" s="8" t="str">
        <f>IF($I118=0,"",INDEX('إدخال وسجل المنتجات'!$B$5:$B$590,$I118))</f>
        <v>ملح</v>
      </c>
      <c r="D118" s="10" t="str">
        <f>IF($I118=0,"",INDEX('إدخال وسجل المنتجات'!$C$5:$C$590,$I118))</f>
        <v>Salt</v>
      </c>
      <c r="E118" s="11" t="str">
        <f>IF($I118=0,"",INDEX('إدخال وسجل المنتجات'!$D$5:$D$590,$I118))</f>
        <v>مواد خام</v>
      </c>
      <c r="F118" s="2" t="str">
        <f>IF($I118=0,"",INDEX('إدخال وسجل المنتجات'!$G$5:$G$590,$I118))</f>
        <v>كيلو</v>
      </c>
      <c r="G118" s="12"/>
      <c r="H118" s="13"/>
      <c r="I118">
        <f>SUMPRODUCT(('إدخال وسجل المنتجات'!$I$5:$I$590="DRY")*('إدخال وسجل المنتجات'!$M$5:$M$590=116)*(ROW('إدخال وسجل المنتجات'!$I$5:$I$590)-4))</f>
        <v>563</v>
      </c>
      <c r="J118" s="2" t="str">
        <f>IF($I118=0,"",IF($G118="","",$G118*IF(INDEX('إدخال وسجل المنتجات'!$U$5:$U$590,$I118)=0,1,INDEX('إدخال وسجل المنتجات'!$U$5:$U$590,$I118))))</f>
        <v/>
      </c>
    </row>
    <row r="119" spans="1:10" ht="16" x14ac:dyDescent="0.15">
      <c r="A119" s="2">
        <f>IF($I119=0,"",117)</f>
        <v>117</v>
      </c>
      <c r="B119" s="9" t="str">
        <f>IF($I119=0,"",INDEX('إدخال وسجل المنتجات'!$F$5:$F$590,$I119))</f>
        <v>RAW-DRY-115</v>
      </c>
      <c r="C119" s="8" t="str">
        <f>IF($I119=0,"",INDEX('إدخال وسجل المنتجات'!$B$5:$B$590,$I119))</f>
        <v>ملح ساسا</v>
      </c>
      <c r="D119" s="10" t="str">
        <f>IF($I119=0,"",INDEX('إدخال وسجل المنتجات'!$C$5:$C$590,$I119))</f>
        <v>Salt Sasa</v>
      </c>
      <c r="E119" s="11" t="str">
        <f>IF($I119=0,"",INDEX('إدخال وسجل المنتجات'!$D$5:$D$590,$I119))</f>
        <v>مواد خام</v>
      </c>
      <c r="F119" s="2" t="str">
        <f>IF($I119=0,"",INDEX('إدخال وسجل المنتجات'!$G$5:$G$590,$I119))</f>
        <v>كيلو</v>
      </c>
      <c r="G119" s="12"/>
      <c r="H119" s="13"/>
      <c r="I119">
        <f>SUMPRODUCT(('إدخال وسجل المنتجات'!$I$5:$I$590="DRY")*('إدخال وسجل المنتجات'!$M$5:$M$590=117)*(ROW('إدخال وسجل المنتجات'!$I$5:$I$590)-4))</f>
        <v>564</v>
      </c>
      <c r="J119" s="2" t="str">
        <f>IF($I119=0,"",IF($G119="","",$G119*IF(INDEX('إدخال وسجل المنتجات'!$U$5:$U$590,$I119)=0,1,INDEX('إدخال وسجل المنتجات'!$U$5:$U$590,$I119))))</f>
        <v/>
      </c>
    </row>
    <row r="120" spans="1:10" ht="16" x14ac:dyDescent="0.15">
      <c r="A120" s="2">
        <f>IF($I120=0,"",118)</f>
        <v>118</v>
      </c>
      <c r="B120" s="9" t="str">
        <f>IF($I120=0,"",INDEX('إدخال وسجل المنتجات'!$F$5:$F$590,$I120))</f>
        <v>RAW-DRY-116</v>
      </c>
      <c r="C120" s="8" t="str">
        <f>IF($I120=0,"",INDEX('إدخال وسجل المنتجات'!$B$5:$B$590,$I120))</f>
        <v>ورق الريحان المجفف</v>
      </c>
      <c r="D120" s="10" t="str">
        <f>IF($I120=0,"",INDEX('إدخال وسجل المنتجات'!$C$5:$C$590,$I120))</f>
        <v>Dried Basil Leaves</v>
      </c>
      <c r="E120" s="11" t="str">
        <f>IF($I120=0,"",INDEX('إدخال وسجل المنتجات'!$D$5:$D$590,$I120))</f>
        <v>مواد خام</v>
      </c>
      <c r="F120" s="2" t="str">
        <f>IF($I120=0,"",INDEX('إدخال وسجل المنتجات'!$G$5:$G$590,$I120))</f>
        <v>كيلو</v>
      </c>
      <c r="G120" s="12"/>
      <c r="H120" s="13"/>
      <c r="I120">
        <f>SUMPRODUCT(('إدخال وسجل المنتجات'!$I$5:$I$590="DRY")*('إدخال وسجل المنتجات'!$M$5:$M$590=118)*(ROW('إدخال وسجل المنتجات'!$I$5:$I$590)-4))</f>
        <v>580</v>
      </c>
      <c r="J120" s="2" t="str">
        <f>IF($I120=0,"",IF($G120="","",$G120*IF(INDEX('إدخال وسجل المنتجات'!$U$5:$U$590,$I120)=0,1,INDEX('إدخال وسجل المنتجات'!$U$5:$U$590,$I120))))</f>
        <v/>
      </c>
    </row>
    <row r="121" spans="1:10" ht="16" x14ac:dyDescent="0.15">
      <c r="A121" s="2">
        <f>IF($I121=0,"",119)</f>
        <v>119</v>
      </c>
      <c r="B121" s="9" t="str">
        <f>IF($I121=0,"",INDEX('إدخال وسجل المنتجات'!$F$5:$F$590,$I121))</f>
        <v>RAW-DRY-117</v>
      </c>
      <c r="C121" s="8" t="str">
        <f>IF($I121=0,"",INDEX('إدخال وسجل المنتجات'!$B$5:$B$590,$I121))</f>
        <v>يقطين</v>
      </c>
      <c r="D121" s="10" t="str">
        <f>IF($I121=0,"",INDEX('إدخال وسجل المنتجات'!$C$5:$C$590,$I121))</f>
        <v>Pumpkin</v>
      </c>
      <c r="E121" s="11" t="str">
        <f>IF($I121=0,"",INDEX('إدخال وسجل المنتجات'!$D$5:$D$590,$I121))</f>
        <v>مواد خام</v>
      </c>
      <c r="F121" s="2" t="str">
        <f>IF($I121=0,"",INDEX('إدخال وسجل المنتجات'!$G$5:$G$590,$I121))</f>
        <v>كيلو</v>
      </c>
      <c r="G121" s="12"/>
      <c r="H121" s="13"/>
      <c r="I121">
        <f>SUMPRODUCT(('إدخال وسجل المنتجات'!$I$5:$I$590="DRY")*('إدخال وسجل المنتجات'!$M$5:$M$590=119)*(ROW('إدخال وسجل المنتجات'!$I$5:$I$590)-4))</f>
        <v>586</v>
      </c>
      <c r="J121" s="2" t="str">
        <f>IF($I121=0,"",IF($G121="","",$G121*IF(INDEX('إدخال وسجل المنتجات'!$U$5:$U$590,$I121)=0,1,INDEX('إدخال وسجل المنتجات'!$U$5:$U$590,$I121))))</f>
        <v/>
      </c>
    </row>
    <row r="122" spans="1:10" ht="16" x14ac:dyDescent="0.15">
      <c r="A122" s="2" t="str">
        <f>IF($I122=0,"",120)</f>
        <v/>
      </c>
      <c r="B122" s="9" t="str">
        <f>IF($I122=0,"",INDEX('إدخال وسجل المنتجات'!$F$5:$F$590,$I122))</f>
        <v/>
      </c>
      <c r="C122" s="8" t="str">
        <f>IF($I122=0,"",INDEX('إدخال وسجل المنتجات'!$B$5:$B$590,$I122))</f>
        <v/>
      </c>
      <c r="D122" s="10" t="str">
        <f>IF($I122=0,"",INDEX('إدخال وسجل المنتجات'!$C$5:$C$590,$I122))</f>
        <v/>
      </c>
      <c r="E122" s="11" t="str">
        <f>IF($I122=0,"",INDEX('إدخال وسجل المنتجات'!$D$5:$D$590,$I122))</f>
        <v/>
      </c>
      <c r="F122" s="2" t="str">
        <f>IF($I122=0,"",INDEX('إدخال وسجل المنتجات'!$G$5:$G$590,$I122))</f>
        <v/>
      </c>
      <c r="G122" s="12"/>
      <c r="H122" s="13"/>
      <c r="I122">
        <f>SUMPRODUCT(('إدخال وسجل المنتجات'!$I$5:$I$590="DRY")*('إدخال وسجل المنتجات'!$M$5:$M$590=120)*(ROW('إدخال وسجل المنتجات'!$I$5:$I$590)-4))</f>
        <v>0</v>
      </c>
      <c r="J122" s="2" t="str">
        <f>IF($I122=0,"",IF($G122="","",$G122*IF(INDEX('إدخال وسجل المنتجات'!$U$5:$U$590,$I122)=0,1,INDEX('إدخال وسجل المنتجات'!$U$5:$U$590,$I122))))</f>
        <v/>
      </c>
    </row>
    <row r="123" spans="1:10" ht="16" x14ac:dyDescent="0.15">
      <c r="A123" s="2" t="str">
        <f>IF($I123=0,"",121)</f>
        <v/>
      </c>
      <c r="B123" s="9" t="str">
        <f>IF($I123=0,"",INDEX('إدخال وسجل المنتجات'!$F$5:$F$590,$I123))</f>
        <v/>
      </c>
      <c r="C123" s="8" t="str">
        <f>IF($I123=0,"",INDEX('إدخال وسجل المنتجات'!$B$5:$B$590,$I123))</f>
        <v/>
      </c>
      <c r="D123" s="10" t="str">
        <f>IF($I123=0,"",INDEX('إدخال وسجل المنتجات'!$C$5:$C$590,$I123))</f>
        <v/>
      </c>
      <c r="E123" s="11" t="str">
        <f>IF($I123=0,"",INDEX('إدخال وسجل المنتجات'!$D$5:$D$590,$I123))</f>
        <v/>
      </c>
      <c r="F123" s="2" t="str">
        <f>IF($I123=0,"",INDEX('إدخال وسجل المنتجات'!$G$5:$G$590,$I123))</f>
        <v/>
      </c>
      <c r="G123" s="12"/>
      <c r="H123" s="13"/>
      <c r="I123">
        <f>SUMPRODUCT(('إدخال وسجل المنتجات'!$I$5:$I$590="DRY")*('إدخال وسجل المنتجات'!$M$5:$M$590=121)*(ROW('إدخال وسجل المنتجات'!$I$5:$I$590)-4))</f>
        <v>0</v>
      </c>
      <c r="J123" s="2" t="str">
        <f>IF($I123=0,"",IF($G123="","",$G123*IF(INDEX('إدخال وسجل المنتجات'!$U$5:$U$590,$I123)=0,1,INDEX('إدخال وسجل المنتجات'!$U$5:$U$590,$I123))))</f>
        <v/>
      </c>
    </row>
    <row r="124" spans="1:10" ht="16" x14ac:dyDescent="0.15">
      <c r="A124" s="2" t="str">
        <f>IF($I124=0,"",122)</f>
        <v/>
      </c>
      <c r="B124" s="9" t="str">
        <f>IF($I124=0,"",INDEX('إدخال وسجل المنتجات'!$F$5:$F$590,$I124))</f>
        <v/>
      </c>
      <c r="C124" s="8" t="str">
        <f>IF($I124=0,"",INDEX('إدخال وسجل المنتجات'!$B$5:$B$590,$I124))</f>
        <v/>
      </c>
      <c r="D124" s="10" t="str">
        <f>IF($I124=0,"",INDEX('إدخال وسجل المنتجات'!$C$5:$C$590,$I124))</f>
        <v/>
      </c>
      <c r="E124" s="11" t="str">
        <f>IF($I124=0,"",INDEX('إدخال وسجل المنتجات'!$D$5:$D$590,$I124))</f>
        <v/>
      </c>
      <c r="F124" s="2" t="str">
        <f>IF($I124=0,"",INDEX('إدخال وسجل المنتجات'!$G$5:$G$590,$I124))</f>
        <v/>
      </c>
      <c r="G124" s="12"/>
      <c r="H124" s="13"/>
      <c r="I124">
        <f>SUMPRODUCT(('إدخال وسجل المنتجات'!$I$5:$I$590="DRY")*('إدخال وسجل المنتجات'!$M$5:$M$590=122)*(ROW('إدخال وسجل المنتجات'!$I$5:$I$590)-4))</f>
        <v>0</v>
      </c>
      <c r="J124" s="2" t="str">
        <f>IF($I124=0,"",IF($G124="","",$G124*IF(INDEX('إدخال وسجل المنتجات'!$U$5:$U$590,$I124)=0,1,INDEX('إدخال وسجل المنتجات'!$U$5:$U$590,$I124))))</f>
        <v/>
      </c>
    </row>
    <row r="125" spans="1:10" ht="16" x14ac:dyDescent="0.15">
      <c r="A125" s="2" t="str">
        <f>IF($I125=0,"",123)</f>
        <v/>
      </c>
      <c r="B125" s="9" t="str">
        <f>IF($I125=0,"",INDEX('إدخال وسجل المنتجات'!$F$5:$F$590,$I125))</f>
        <v/>
      </c>
      <c r="C125" s="8" t="str">
        <f>IF($I125=0,"",INDEX('إدخال وسجل المنتجات'!$B$5:$B$590,$I125))</f>
        <v/>
      </c>
      <c r="D125" s="10" t="str">
        <f>IF($I125=0,"",INDEX('إدخال وسجل المنتجات'!$C$5:$C$590,$I125))</f>
        <v/>
      </c>
      <c r="E125" s="11" t="str">
        <f>IF($I125=0,"",INDEX('إدخال وسجل المنتجات'!$D$5:$D$590,$I125))</f>
        <v/>
      </c>
      <c r="F125" s="2" t="str">
        <f>IF($I125=0,"",INDEX('إدخال وسجل المنتجات'!$G$5:$G$590,$I125))</f>
        <v/>
      </c>
      <c r="G125" s="12"/>
      <c r="H125" s="13"/>
      <c r="I125">
        <f>SUMPRODUCT(('إدخال وسجل المنتجات'!$I$5:$I$590="DRY")*('إدخال وسجل المنتجات'!$M$5:$M$590=123)*(ROW('إدخال وسجل المنتجات'!$I$5:$I$590)-4))</f>
        <v>0</v>
      </c>
      <c r="J125" s="2" t="str">
        <f>IF($I125=0,"",IF($G125="","",$G125*IF(INDEX('إدخال وسجل المنتجات'!$U$5:$U$590,$I125)=0,1,INDEX('إدخال وسجل المنتجات'!$U$5:$U$590,$I125))))</f>
        <v/>
      </c>
    </row>
    <row r="126" spans="1:10" ht="16" x14ac:dyDescent="0.15">
      <c r="A126" s="2" t="str">
        <f>IF($I126=0,"",124)</f>
        <v/>
      </c>
      <c r="B126" s="9" t="str">
        <f>IF($I126=0,"",INDEX('إدخال وسجل المنتجات'!$F$5:$F$590,$I126))</f>
        <v/>
      </c>
      <c r="C126" s="8" t="str">
        <f>IF($I126=0,"",INDEX('إدخال وسجل المنتجات'!$B$5:$B$590,$I126))</f>
        <v/>
      </c>
      <c r="D126" s="10" t="str">
        <f>IF($I126=0,"",INDEX('إدخال وسجل المنتجات'!$C$5:$C$590,$I126))</f>
        <v/>
      </c>
      <c r="E126" s="11" t="str">
        <f>IF($I126=0,"",INDEX('إدخال وسجل المنتجات'!$D$5:$D$590,$I126))</f>
        <v/>
      </c>
      <c r="F126" s="2" t="str">
        <f>IF($I126=0,"",INDEX('إدخال وسجل المنتجات'!$G$5:$G$590,$I126))</f>
        <v/>
      </c>
      <c r="G126" s="12"/>
      <c r="H126" s="13"/>
      <c r="I126">
        <f>SUMPRODUCT(('إدخال وسجل المنتجات'!$I$5:$I$590="DRY")*('إدخال وسجل المنتجات'!$M$5:$M$590=124)*(ROW('إدخال وسجل المنتجات'!$I$5:$I$590)-4))</f>
        <v>0</v>
      </c>
      <c r="J126" s="2" t="str">
        <f>IF($I126=0,"",IF($G126="","",$G126*IF(INDEX('إدخال وسجل المنتجات'!$U$5:$U$590,$I126)=0,1,INDEX('إدخال وسجل المنتجات'!$U$5:$U$590,$I126))))</f>
        <v/>
      </c>
    </row>
    <row r="127" spans="1:10" ht="16" x14ac:dyDescent="0.15">
      <c r="A127" s="2" t="str">
        <f>IF($I127=0,"",125)</f>
        <v/>
      </c>
      <c r="B127" s="9" t="str">
        <f>IF($I127=0,"",INDEX('إدخال وسجل المنتجات'!$F$5:$F$590,$I127))</f>
        <v/>
      </c>
      <c r="C127" s="8" t="str">
        <f>IF($I127=0,"",INDEX('إدخال وسجل المنتجات'!$B$5:$B$590,$I127))</f>
        <v/>
      </c>
      <c r="D127" s="10" t="str">
        <f>IF($I127=0,"",INDEX('إدخال وسجل المنتجات'!$C$5:$C$590,$I127))</f>
        <v/>
      </c>
      <c r="E127" s="11" t="str">
        <f>IF($I127=0,"",INDEX('إدخال وسجل المنتجات'!$D$5:$D$590,$I127))</f>
        <v/>
      </c>
      <c r="F127" s="2" t="str">
        <f>IF($I127=0,"",INDEX('إدخال وسجل المنتجات'!$G$5:$G$590,$I127))</f>
        <v/>
      </c>
      <c r="G127" s="12"/>
      <c r="H127" s="13"/>
      <c r="I127">
        <f>SUMPRODUCT(('إدخال وسجل المنتجات'!$I$5:$I$590="DRY")*('إدخال وسجل المنتجات'!$M$5:$M$590=125)*(ROW('إدخال وسجل المنتجات'!$I$5:$I$590)-4))</f>
        <v>0</v>
      </c>
      <c r="J127" s="2" t="str">
        <f>IF($I127=0,"",IF($G127="","",$G127*IF(INDEX('إدخال وسجل المنتجات'!$U$5:$U$590,$I127)=0,1,INDEX('إدخال وسجل المنتجات'!$U$5:$U$590,$I127))))</f>
        <v/>
      </c>
    </row>
    <row r="128" spans="1:10" ht="16" x14ac:dyDescent="0.15">
      <c r="A128" s="2" t="str">
        <f>IF($I128=0,"",126)</f>
        <v/>
      </c>
      <c r="B128" s="9" t="str">
        <f>IF($I128=0,"",INDEX('إدخال وسجل المنتجات'!$F$5:$F$590,$I128))</f>
        <v/>
      </c>
      <c r="C128" s="8" t="str">
        <f>IF($I128=0,"",INDEX('إدخال وسجل المنتجات'!$B$5:$B$590,$I128))</f>
        <v/>
      </c>
      <c r="D128" s="10" t="str">
        <f>IF($I128=0,"",INDEX('إدخال وسجل المنتجات'!$C$5:$C$590,$I128))</f>
        <v/>
      </c>
      <c r="E128" s="11" t="str">
        <f>IF($I128=0,"",INDEX('إدخال وسجل المنتجات'!$D$5:$D$590,$I128))</f>
        <v/>
      </c>
      <c r="F128" s="2" t="str">
        <f>IF($I128=0,"",INDEX('إدخال وسجل المنتجات'!$G$5:$G$590,$I128))</f>
        <v/>
      </c>
      <c r="G128" s="12"/>
      <c r="H128" s="13"/>
      <c r="I128">
        <f>SUMPRODUCT(('إدخال وسجل المنتجات'!$I$5:$I$590="DRY")*('إدخال وسجل المنتجات'!$M$5:$M$590=126)*(ROW('إدخال وسجل المنتجات'!$I$5:$I$590)-4))</f>
        <v>0</v>
      </c>
      <c r="J128" s="2" t="str">
        <f>IF($I128=0,"",IF($G128="","",$G128*IF(INDEX('إدخال وسجل المنتجات'!$U$5:$U$590,$I128)=0,1,INDEX('إدخال وسجل المنتجات'!$U$5:$U$590,$I128))))</f>
        <v/>
      </c>
    </row>
    <row r="129" spans="1:10" ht="16" x14ac:dyDescent="0.15">
      <c r="A129" s="2" t="str">
        <f>IF($I129=0,"",127)</f>
        <v/>
      </c>
      <c r="B129" s="9" t="str">
        <f>IF($I129=0,"",INDEX('إدخال وسجل المنتجات'!$F$5:$F$590,$I129))</f>
        <v/>
      </c>
      <c r="C129" s="8" t="str">
        <f>IF($I129=0,"",INDEX('إدخال وسجل المنتجات'!$B$5:$B$590,$I129))</f>
        <v/>
      </c>
      <c r="D129" s="10" t="str">
        <f>IF($I129=0,"",INDEX('إدخال وسجل المنتجات'!$C$5:$C$590,$I129))</f>
        <v/>
      </c>
      <c r="E129" s="11" t="str">
        <f>IF($I129=0,"",INDEX('إدخال وسجل المنتجات'!$D$5:$D$590,$I129))</f>
        <v/>
      </c>
      <c r="F129" s="2" t="str">
        <f>IF($I129=0,"",INDEX('إدخال وسجل المنتجات'!$G$5:$G$590,$I129))</f>
        <v/>
      </c>
      <c r="G129" s="12"/>
      <c r="H129" s="13"/>
      <c r="I129">
        <f>SUMPRODUCT(('إدخال وسجل المنتجات'!$I$5:$I$590="DRY")*('إدخال وسجل المنتجات'!$M$5:$M$590=127)*(ROW('إدخال وسجل المنتجات'!$I$5:$I$590)-4))</f>
        <v>0</v>
      </c>
      <c r="J129" s="2" t="str">
        <f>IF($I129=0,"",IF($G129="","",$G129*IF(INDEX('إدخال وسجل المنتجات'!$U$5:$U$590,$I129)=0,1,INDEX('إدخال وسجل المنتجات'!$U$5:$U$590,$I129))))</f>
        <v/>
      </c>
    </row>
    <row r="130" spans="1:10" ht="16" x14ac:dyDescent="0.15">
      <c r="A130" s="2" t="str">
        <f>IF($I130=0,"",128)</f>
        <v/>
      </c>
      <c r="B130" s="9" t="str">
        <f>IF($I130=0,"",INDEX('إدخال وسجل المنتجات'!$F$5:$F$590,$I130))</f>
        <v/>
      </c>
      <c r="C130" s="8" t="str">
        <f>IF($I130=0,"",INDEX('إدخال وسجل المنتجات'!$B$5:$B$590,$I130))</f>
        <v/>
      </c>
      <c r="D130" s="10" t="str">
        <f>IF($I130=0,"",INDEX('إدخال وسجل المنتجات'!$C$5:$C$590,$I130))</f>
        <v/>
      </c>
      <c r="E130" s="11" t="str">
        <f>IF($I130=0,"",INDEX('إدخال وسجل المنتجات'!$D$5:$D$590,$I130))</f>
        <v/>
      </c>
      <c r="F130" s="2" t="str">
        <f>IF($I130=0,"",INDEX('إدخال وسجل المنتجات'!$G$5:$G$590,$I130))</f>
        <v/>
      </c>
      <c r="G130" s="12"/>
      <c r="H130" s="13"/>
      <c r="I130">
        <f>SUMPRODUCT(('إدخال وسجل المنتجات'!$I$5:$I$590="DRY")*('إدخال وسجل المنتجات'!$M$5:$M$590=128)*(ROW('إدخال وسجل المنتجات'!$I$5:$I$590)-4))</f>
        <v>0</v>
      </c>
      <c r="J130" s="2" t="str">
        <f>IF($I130=0,"",IF($G130="","",$G130*IF(INDEX('إدخال وسجل المنتجات'!$U$5:$U$590,$I130)=0,1,INDEX('إدخال وسجل المنتجات'!$U$5:$U$590,$I130))))</f>
        <v/>
      </c>
    </row>
    <row r="131" spans="1:10" ht="16" x14ac:dyDescent="0.15">
      <c r="A131" s="2" t="str">
        <f>IF($I131=0,"",129)</f>
        <v/>
      </c>
      <c r="B131" s="9" t="str">
        <f>IF($I131=0,"",INDEX('إدخال وسجل المنتجات'!$F$5:$F$590,$I131))</f>
        <v/>
      </c>
      <c r="C131" s="8" t="str">
        <f>IF($I131=0,"",INDEX('إدخال وسجل المنتجات'!$B$5:$B$590,$I131))</f>
        <v/>
      </c>
      <c r="D131" s="10" t="str">
        <f>IF($I131=0,"",INDEX('إدخال وسجل المنتجات'!$C$5:$C$590,$I131))</f>
        <v/>
      </c>
      <c r="E131" s="11" t="str">
        <f>IF($I131=0,"",INDEX('إدخال وسجل المنتجات'!$D$5:$D$590,$I131))</f>
        <v/>
      </c>
      <c r="F131" s="2" t="str">
        <f>IF($I131=0,"",INDEX('إدخال وسجل المنتجات'!$G$5:$G$590,$I131))</f>
        <v/>
      </c>
      <c r="G131" s="12"/>
      <c r="H131" s="13"/>
      <c r="I131">
        <f>SUMPRODUCT(('إدخال وسجل المنتجات'!$I$5:$I$590="DRY")*('إدخال وسجل المنتجات'!$M$5:$M$590=129)*(ROW('إدخال وسجل المنتجات'!$I$5:$I$590)-4))</f>
        <v>0</v>
      </c>
      <c r="J131" s="2" t="str">
        <f>IF($I131=0,"",IF($G131="","",$G131*IF(INDEX('إدخال وسجل المنتجات'!$U$5:$U$590,$I131)=0,1,INDEX('إدخال وسجل المنتجات'!$U$5:$U$590,$I131))))</f>
        <v/>
      </c>
    </row>
    <row r="132" spans="1:10" ht="16" x14ac:dyDescent="0.15">
      <c r="A132" s="2" t="str">
        <f>IF($I132=0,"",130)</f>
        <v/>
      </c>
      <c r="B132" s="9" t="str">
        <f>IF($I132=0,"",INDEX('إدخال وسجل المنتجات'!$F$5:$F$590,$I132))</f>
        <v/>
      </c>
      <c r="C132" s="8" t="str">
        <f>IF($I132=0,"",INDEX('إدخال وسجل المنتجات'!$B$5:$B$590,$I132))</f>
        <v/>
      </c>
      <c r="D132" s="10" t="str">
        <f>IF($I132=0,"",INDEX('إدخال وسجل المنتجات'!$C$5:$C$590,$I132))</f>
        <v/>
      </c>
      <c r="E132" s="11" t="str">
        <f>IF($I132=0,"",INDEX('إدخال وسجل المنتجات'!$D$5:$D$590,$I132))</f>
        <v/>
      </c>
      <c r="F132" s="2" t="str">
        <f>IF($I132=0,"",INDEX('إدخال وسجل المنتجات'!$G$5:$G$590,$I132))</f>
        <v/>
      </c>
      <c r="G132" s="12"/>
      <c r="H132" s="13"/>
      <c r="I132">
        <f>SUMPRODUCT(('إدخال وسجل المنتجات'!$I$5:$I$590="DRY")*('إدخال وسجل المنتجات'!$M$5:$M$590=130)*(ROW('إدخال وسجل المنتجات'!$I$5:$I$590)-4))</f>
        <v>0</v>
      </c>
      <c r="J132" s="2" t="str">
        <f>IF($I132=0,"",IF($G132="","",$G132*IF(INDEX('إدخال وسجل المنتجات'!$U$5:$U$590,$I132)=0,1,INDEX('إدخال وسجل المنتجات'!$U$5:$U$590,$I132))))</f>
        <v/>
      </c>
    </row>
    <row r="133" spans="1:10" ht="16" x14ac:dyDescent="0.15">
      <c r="A133" s="2" t="str">
        <f>IF($I133=0,"",131)</f>
        <v/>
      </c>
      <c r="B133" s="9" t="str">
        <f>IF($I133=0,"",INDEX('إدخال وسجل المنتجات'!$F$5:$F$590,$I133))</f>
        <v/>
      </c>
      <c r="C133" s="8" t="str">
        <f>IF($I133=0,"",INDEX('إدخال وسجل المنتجات'!$B$5:$B$590,$I133))</f>
        <v/>
      </c>
      <c r="D133" s="10" t="str">
        <f>IF($I133=0,"",INDEX('إدخال وسجل المنتجات'!$C$5:$C$590,$I133))</f>
        <v/>
      </c>
      <c r="E133" s="11" t="str">
        <f>IF($I133=0,"",INDEX('إدخال وسجل المنتجات'!$D$5:$D$590,$I133))</f>
        <v/>
      </c>
      <c r="F133" s="2" t="str">
        <f>IF($I133=0,"",INDEX('إدخال وسجل المنتجات'!$G$5:$G$590,$I133))</f>
        <v/>
      </c>
      <c r="G133" s="12"/>
      <c r="H133" s="13"/>
      <c r="I133">
        <f>SUMPRODUCT(('إدخال وسجل المنتجات'!$I$5:$I$590="DRY")*('إدخال وسجل المنتجات'!$M$5:$M$590=131)*(ROW('إدخال وسجل المنتجات'!$I$5:$I$590)-4))</f>
        <v>0</v>
      </c>
      <c r="J133" s="2" t="str">
        <f>IF($I133=0,"",IF($G133="","",$G133*IF(INDEX('إدخال وسجل المنتجات'!$U$5:$U$590,$I133)=0,1,INDEX('إدخال وسجل المنتجات'!$U$5:$U$590,$I133))))</f>
        <v/>
      </c>
    </row>
    <row r="134" spans="1:10" ht="16" x14ac:dyDescent="0.15">
      <c r="A134" s="2" t="str">
        <f>IF($I134=0,"",132)</f>
        <v/>
      </c>
      <c r="B134" s="9" t="str">
        <f>IF($I134=0,"",INDEX('إدخال وسجل المنتجات'!$F$5:$F$590,$I134))</f>
        <v/>
      </c>
      <c r="C134" s="8" t="str">
        <f>IF($I134=0,"",INDEX('إدخال وسجل المنتجات'!$B$5:$B$590,$I134))</f>
        <v/>
      </c>
      <c r="D134" s="10" t="str">
        <f>IF($I134=0,"",INDEX('إدخال وسجل المنتجات'!$C$5:$C$590,$I134))</f>
        <v/>
      </c>
      <c r="E134" s="11" t="str">
        <f>IF($I134=0,"",INDEX('إدخال وسجل المنتجات'!$D$5:$D$590,$I134))</f>
        <v/>
      </c>
      <c r="F134" s="2" t="str">
        <f>IF($I134=0,"",INDEX('إدخال وسجل المنتجات'!$G$5:$G$590,$I134))</f>
        <v/>
      </c>
      <c r="G134" s="12"/>
      <c r="H134" s="13"/>
      <c r="I134">
        <f>SUMPRODUCT(('إدخال وسجل المنتجات'!$I$5:$I$590="DRY")*('إدخال وسجل المنتجات'!$M$5:$M$590=132)*(ROW('إدخال وسجل المنتجات'!$I$5:$I$590)-4))</f>
        <v>0</v>
      </c>
      <c r="J134" s="2" t="str">
        <f>IF($I134=0,"",IF($G134="","",$G134*IF(INDEX('إدخال وسجل المنتجات'!$U$5:$U$590,$I134)=0,1,INDEX('إدخال وسجل المنتجات'!$U$5:$U$590,$I134))))</f>
        <v/>
      </c>
    </row>
    <row r="135" spans="1:10" ht="16" x14ac:dyDescent="0.15">
      <c r="A135" s="2" t="str">
        <f>IF($I135=0,"",133)</f>
        <v/>
      </c>
      <c r="B135" s="9" t="str">
        <f>IF($I135=0,"",INDEX('إدخال وسجل المنتجات'!$F$5:$F$590,$I135))</f>
        <v/>
      </c>
      <c r="C135" s="8" t="str">
        <f>IF($I135=0,"",INDEX('إدخال وسجل المنتجات'!$B$5:$B$590,$I135))</f>
        <v/>
      </c>
      <c r="D135" s="10" t="str">
        <f>IF($I135=0,"",INDEX('إدخال وسجل المنتجات'!$C$5:$C$590,$I135))</f>
        <v/>
      </c>
      <c r="E135" s="11" t="str">
        <f>IF($I135=0,"",INDEX('إدخال وسجل المنتجات'!$D$5:$D$590,$I135))</f>
        <v/>
      </c>
      <c r="F135" s="2" t="str">
        <f>IF($I135=0,"",INDEX('إدخال وسجل المنتجات'!$G$5:$G$590,$I135))</f>
        <v/>
      </c>
      <c r="G135" s="12"/>
      <c r="H135" s="13"/>
      <c r="I135">
        <f>SUMPRODUCT(('إدخال وسجل المنتجات'!$I$5:$I$590="DRY")*('إدخال وسجل المنتجات'!$M$5:$M$590=133)*(ROW('إدخال وسجل المنتجات'!$I$5:$I$590)-4))</f>
        <v>0</v>
      </c>
      <c r="J135" s="2" t="str">
        <f>IF($I135=0,"",IF($G135="","",$G135*IF(INDEX('إدخال وسجل المنتجات'!$U$5:$U$590,$I135)=0,1,INDEX('إدخال وسجل المنتجات'!$U$5:$U$590,$I135))))</f>
        <v/>
      </c>
    </row>
    <row r="136" spans="1:10" ht="16" x14ac:dyDescent="0.15">
      <c r="A136" s="2" t="str">
        <f>IF($I136=0,"",134)</f>
        <v/>
      </c>
      <c r="B136" s="9" t="str">
        <f>IF($I136=0,"",INDEX('إدخال وسجل المنتجات'!$F$5:$F$590,$I136))</f>
        <v/>
      </c>
      <c r="C136" s="8" t="str">
        <f>IF($I136=0,"",INDEX('إدخال وسجل المنتجات'!$B$5:$B$590,$I136))</f>
        <v/>
      </c>
      <c r="D136" s="10" t="str">
        <f>IF($I136=0,"",INDEX('إدخال وسجل المنتجات'!$C$5:$C$590,$I136))</f>
        <v/>
      </c>
      <c r="E136" s="11" t="str">
        <f>IF($I136=0,"",INDEX('إدخال وسجل المنتجات'!$D$5:$D$590,$I136))</f>
        <v/>
      </c>
      <c r="F136" s="2" t="str">
        <f>IF($I136=0,"",INDEX('إدخال وسجل المنتجات'!$G$5:$G$590,$I136))</f>
        <v/>
      </c>
      <c r="G136" s="12"/>
      <c r="H136" s="13"/>
      <c r="I136">
        <f>SUMPRODUCT(('إدخال وسجل المنتجات'!$I$5:$I$590="DRY")*('إدخال وسجل المنتجات'!$M$5:$M$590=134)*(ROW('إدخال وسجل المنتجات'!$I$5:$I$590)-4))</f>
        <v>0</v>
      </c>
      <c r="J136" s="2" t="str">
        <f>IF($I136=0,"",IF($G136="","",$G136*IF(INDEX('إدخال وسجل المنتجات'!$U$5:$U$590,$I136)=0,1,INDEX('إدخال وسجل المنتجات'!$U$5:$U$590,$I136))))</f>
        <v/>
      </c>
    </row>
    <row r="137" spans="1:10" ht="16" x14ac:dyDescent="0.15">
      <c r="A137" s="2" t="str">
        <f>IF($I137=0,"",135)</f>
        <v/>
      </c>
      <c r="B137" s="9" t="str">
        <f>IF($I137=0,"",INDEX('إدخال وسجل المنتجات'!$F$5:$F$590,$I137))</f>
        <v/>
      </c>
      <c r="C137" s="8" t="str">
        <f>IF($I137=0,"",INDEX('إدخال وسجل المنتجات'!$B$5:$B$590,$I137))</f>
        <v/>
      </c>
      <c r="D137" s="10" t="str">
        <f>IF($I137=0,"",INDEX('إدخال وسجل المنتجات'!$C$5:$C$590,$I137))</f>
        <v/>
      </c>
      <c r="E137" s="11" t="str">
        <f>IF($I137=0,"",INDEX('إدخال وسجل المنتجات'!$D$5:$D$590,$I137))</f>
        <v/>
      </c>
      <c r="F137" s="2" t="str">
        <f>IF($I137=0,"",INDEX('إدخال وسجل المنتجات'!$G$5:$G$590,$I137))</f>
        <v/>
      </c>
      <c r="G137" s="12"/>
      <c r="H137" s="13"/>
      <c r="I137">
        <f>SUMPRODUCT(('إدخال وسجل المنتجات'!$I$5:$I$590="DRY")*('إدخال وسجل المنتجات'!$M$5:$M$590=135)*(ROW('إدخال وسجل المنتجات'!$I$5:$I$590)-4))</f>
        <v>0</v>
      </c>
      <c r="J137" s="2" t="str">
        <f>IF($I137=0,"",IF($G137="","",$G137*IF(INDEX('إدخال وسجل المنتجات'!$U$5:$U$590,$I137)=0,1,INDEX('إدخال وسجل المنتجات'!$U$5:$U$590,$I137))))</f>
        <v/>
      </c>
    </row>
    <row r="138" spans="1:10" ht="16" x14ac:dyDescent="0.15">
      <c r="A138" s="2" t="str">
        <f>IF($I138=0,"",136)</f>
        <v/>
      </c>
      <c r="B138" s="9" t="str">
        <f>IF($I138=0,"",INDEX('إدخال وسجل المنتجات'!$F$5:$F$590,$I138))</f>
        <v/>
      </c>
      <c r="C138" s="8" t="str">
        <f>IF($I138=0,"",INDEX('إدخال وسجل المنتجات'!$B$5:$B$590,$I138))</f>
        <v/>
      </c>
      <c r="D138" s="10" t="str">
        <f>IF($I138=0,"",INDEX('إدخال وسجل المنتجات'!$C$5:$C$590,$I138))</f>
        <v/>
      </c>
      <c r="E138" s="11" t="str">
        <f>IF($I138=0,"",INDEX('إدخال وسجل المنتجات'!$D$5:$D$590,$I138))</f>
        <v/>
      </c>
      <c r="F138" s="2" t="str">
        <f>IF($I138=0,"",INDEX('إدخال وسجل المنتجات'!$G$5:$G$590,$I138))</f>
        <v/>
      </c>
      <c r="G138" s="12"/>
      <c r="H138" s="13"/>
      <c r="I138">
        <f>SUMPRODUCT(('إدخال وسجل المنتجات'!$I$5:$I$590="DRY")*('إدخال وسجل المنتجات'!$M$5:$M$590=136)*(ROW('إدخال وسجل المنتجات'!$I$5:$I$590)-4))</f>
        <v>0</v>
      </c>
      <c r="J138" s="2" t="str">
        <f>IF($I138=0,"",IF($G138="","",$G138*IF(INDEX('إدخال وسجل المنتجات'!$U$5:$U$590,$I138)=0,1,INDEX('إدخال وسجل المنتجات'!$U$5:$U$590,$I138))))</f>
        <v/>
      </c>
    </row>
    <row r="139" spans="1:10" ht="16" x14ac:dyDescent="0.15">
      <c r="A139" s="2" t="str">
        <f>IF($I139=0,"",137)</f>
        <v/>
      </c>
      <c r="B139" s="9" t="str">
        <f>IF($I139=0,"",INDEX('إدخال وسجل المنتجات'!$F$5:$F$590,$I139))</f>
        <v/>
      </c>
      <c r="C139" s="8" t="str">
        <f>IF($I139=0,"",INDEX('إدخال وسجل المنتجات'!$B$5:$B$590,$I139))</f>
        <v/>
      </c>
      <c r="D139" s="10" t="str">
        <f>IF($I139=0,"",INDEX('إدخال وسجل المنتجات'!$C$5:$C$590,$I139))</f>
        <v/>
      </c>
      <c r="E139" s="11" t="str">
        <f>IF($I139=0,"",INDEX('إدخال وسجل المنتجات'!$D$5:$D$590,$I139))</f>
        <v/>
      </c>
      <c r="F139" s="2" t="str">
        <f>IF($I139=0,"",INDEX('إدخال وسجل المنتجات'!$G$5:$G$590,$I139))</f>
        <v/>
      </c>
      <c r="G139" s="12"/>
      <c r="H139" s="13"/>
      <c r="I139">
        <f>SUMPRODUCT(('إدخال وسجل المنتجات'!$I$5:$I$590="DRY")*('إدخال وسجل المنتجات'!$M$5:$M$590=137)*(ROW('إدخال وسجل المنتجات'!$I$5:$I$590)-4))</f>
        <v>0</v>
      </c>
      <c r="J139" s="2" t="str">
        <f>IF($I139=0,"",IF($G139="","",$G139*IF(INDEX('إدخال وسجل المنتجات'!$U$5:$U$590,$I139)=0,1,INDEX('إدخال وسجل المنتجات'!$U$5:$U$590,$I139))))</f>
        <v/>
      </c>
    </row>
    <row r="140" spans="1:10" ht="16" x14ac:dyDescent="0.15">
      <c r="A140" s="2" t="str">
        <f>IF($I140=0,"",138)</f>
        <v/>
      </c>
      <c r="B140" s="9" t="str">
        <f>IF($I140=0,"",INDEX('إدخال وسجل المنتجات'!$F$5:$F$590,$I140))</f>
        <v/>
      </c>
      <c r="C140" s="8" t="str">
        <f>IF($I140=0,"",INDEX('إدخال وسجل المنتجات'!$B$5:$B$590,$I140))</f>
        <v/>
      </c>
      <c r="D140" s="10" t="str">
        <f>IF($I140=0,"",INDEX('إدخال وسجل المنتجات'!$C$5:$C$590,$I140))</f>
        <v/>
      </c>
      <c r="E140" s="11" t="str">
        <f>IF($I140=0,"",INDEX('إدخال وسجل المنتجات'!$D$5:$D$590,$I140))</f>
        <v/>
      </c>
      <c r="F140" s="2" t="str">
        <f>IF($I140=0,"",INDEX('إدخال وسجل المنتجات'!$G$5:$G$590,$I140))</f>
        <v/>
      </c>
      <c r="G140" s="12"/>
      <c r="H140" s="13"/>
      <c r="I140">
        <f>SUMPRODUCT(('إدخال وسجل المنتجات'!$I$5:$I$590="DRY")*('إدخال وسجل المنتجات'!$M$5:$M$590=138)*(ROW('إدخال وسجل المنتجات'!$I$5:$I$590)-4))</f>
        <v>0</v>
      </c>
      <c r="J140" s="2" t="str">
        <f>IF($I140=0,"",IF($G140="","",$G140*IF(INDEX('إدخال وسجل المنتجات'!$U$5:$U$590,$I140)=0,1,INDEX('إدخال وسجل المنتجات'!$U$5:$U$590,$I140))))</f>
        <v/>
      </c>
    </row>
    <row r="141" spans="1:10" ht="16" x14ac:dyDescent="0.15">
      <c r="A141" s="2" t="str">
        <f>IF($I141=0,"",139)</f>
        <v/>
      </c>
      <c r="B141" s="9" t="str">
        <f>IF($I141=0,"",INDEX('إدخال وسجل المنتجات'!$F$5:$F$590,$I141))</f>
        <v/>
      </c>
      <c r="C141" s="8" t="str">
        <f>IF($I141=0,"",INDEX('إدخال وسجل المنتجات'!$B$5:$B$590,$I141))</f>
        <v/>
      </c>
      <c r="D141" s="10" t="str">
        <f>IF($I141=0,"",INDEX('إدخال وسجل المنتجات'!$C$5:$C$590,$I141))</f>
        <v/>
      </c>
      <c r="E141" s="11" t="str">
        <f>IF($I141=0,"",INDEX('إدخال وسجل المنتجات'!$D$5:$D$590,$I141))</f>
        <v/>
      </c>
      <c r="F141" s="2" t="str">
        <f>IF($I141=0,"",INDEX('إدخال وسجل المنتجات'!$G$5:$G$590,$I141))</f>
        <v/>
      </c>
      <c r="G141" s="12"/>
      <c r="H141" s="13"/>
      <c r="I141">
        <f>SUMPRODUCT(('إدخال وسجل المنتجات'!$I$5:$I$590="DRY")*('إدخال وسجل المنتجات'!$M$5:$M$590=139)*(ROW('إدخال وسجل المنتجات'!$I$5:$I$590)-4))</f>
        <v>0</v>
      </c>
      <c r="J141" s="2" t="str">
        <f>IF($I141=0,"",IF($G141="","",$G141*IF(INDEX('إدخال وسجل المنتجات'!$U$5:$U$590,$I141)=0,1,INDEX('إدخال وسجل المنتجات'!$U$5:$U$590,$I141))))</f>
        <v/>
      </c>
    </row>
    <row r="142" spans="1:10" ht="16" x14ac:dyDescent="0.15">
      <c r="A142" s="2" t="str">
        <f>IF($I142=0,"",140)</f>
        <v/>
      </c>
      <c r="B142" s="9" t="str">
        <f>IF($I142=0,"",INDEX('إدخال وسجل المنتجات'!$F$5:$F$590,$I142))</f>
        <v/>
      </c>
      <c r="C142" s="8" t="str">
        <f>IF($I142=0,"",INDEX('إدخال وسجل المنتجات'!$B$5:$B$590,$I142))</f>
        <v/>
      </c>
      <c r="D142" s="10" t="str">
        <f>IF($I142=0,"",INDEX('إدخال وسجل المنتجات'!$C$5:$C$590,$I142))</f>
        <v/>
      </c>
      <c r="E142" s="11" t="str">
        <f>IF($I142=0,"",INDEX('إدخال وسجل المنتجات'!$D$5:$D$590,$I142))</f>
        <v/>
      </c>
      <c r="F142" s="2" t="str">
        <f>IF($I142=0,"",INDEX('إدخال وسجل المنتجات'!$G$5:$G$590,$I142))</f>
        <v/>
      </c>
      <c r="G142" s="12"/>
      <c r="H142" s="13"/>
      <c r="I142">
        <f>SUMPRODUCT(('إدخال وسجل المنتجات'!$I$5:$I$590="DRY")*('إدخال وسجل المنتجات'!$M$5:$M$590=140)*(ROW('إدخال وسجل المنتجات'!$I$5:$I$590)-4))</f>
        <v>0</v>
      </c>
      <c r="J142" s="2" t="str">
        <f>IF($I142=0,"",IF($G142="","",$G142*IF(INDEX('إدخال وسجل المنتجات'!$U$5:$U$590,$I142)=0,1,INDEX('إدخال وسجل المنتجات'!$U$5:$U$590,$I142))))</f>
        <v/>
      </c>
    </row>
    <row r="143" spans="1:10" ht="16" x14ac:dyDescent="0.15">
      <c r="A143" s="2" t="str">
        <f>IF($I143=0,"",141)</f>
        <v/>
      </c>
      <c r="B143" s="9" t="str">
        <f>IF($I143=0,"",INDEX('إدخال وسجل المنتجات'!$F$5:$F$590,$I143))</f>
        <v/>
      </c>
      <c r="C143" s="8" t="str">
        <f>IF($I143=0,"",INDEX('إدخال وسجل المنتجات'!$B$5:$B$590,$I143))</f>
        <v/>
      </c>
      <c r="D143" s="10" t="str">
        <f>IF($I143=0,"",INDEX('إدخال وسجل المنتجات'!$C$5:$C$590,$I143))</f>
        <v/>
      </c>
      <c r="E143" s="11" t="str">
        <f>IF($I143=0,"",INDEX('إدخال وسجل المنتجات'!$D$5:$D$590,$I143))</f>
        <v/>
      </c>
      <c r="F143" s="2" t="str">
        <f>IF($I143=0,"",INDEX('إدخال وسجل المنتجات'!$G$5:$G$590,$I143))</f>
        <v/>
      </c>
      <c r="G143" s="12"/>
      <c r="H143" s="13"/>
      <c r="I143">
        <f>SUMPRODUCT(('إدخال وسجل المنتجات'!$I$5:$I$590="DRY")*('إدخال وسجل المنتجات'!$M$5:$M$590=141)*(ROW('إدخال وسجل المنتجات'!$I$5:$I$590)-4))</f>
        <v>0</v>
      </c>
      <c r="J143" s="2" t="str">
        <f>IF($I143=0,"",IF($G143="","",$G143*IF(INDEX('إدخال وسجل المنتجات'!$U$5:$U$590,$I143)=0,1,INDEX('إدخال وسجل المنتجات'!$U$5:$U$590,$I143))))</f>
        <v/>
      </c>
    </row>
    <row r="144" spans="1:10" ht="16" x14ac:dyDescent="0.15">
      <c r="A144" s="2" t="str">
        <f>IF($I144=0,"",142)</f>
        <v/>
      </c>
      <c r="B144" s="9" t="str">
        <f>IF($I144=0,"",INDEX('إدخال وسجل المنتجات'!$F$5:$F$590,$I144))</f>
        <v/>
      </c>
      <c r="C144" s="8" t="str">
        <f>IF($I144=0,"",INDEX('إدخال وسجل المنتجات'!$B$5:$B$590,$I144))</f>
        <v/>
      </c>
      <c r="D144" s="10" t="str">
        <f>IF($I144=0,"",INDEX('إدخال وسجل المنتجات'!$C$5:$C$590,$I144))</f>
        <v/>
      </c>
      <c r="E144" s="11" t="str">
        <f>IF($I144=0,"",INDEX('إدخال وسجل المنتجات'!$D$5:$D$590,$I144))</f>
        <v/>
      </c>
      <c r="F144" s="2" t="str">
        <f>IF($I144=0,"",INDEX('إدخال وسجل المنتجات'!$G$5:$G$590,$I144))</f>
        <v/>
      </c>
      <c r="G144" s="12"/>
      <c r="H144" s="13"/>
      <c r="I144">
        <f>SUMPRODUCT(('إدخال وسجل المنتجات'!$I$5:$I$590="DRY")*('إدخال وسجل المنتجات'!$M$5:$M$590=142)*(ROW('إدخال وسجل المنتجات'!$I$5:$I$590)-4))</f>
        <v>0</v>
      </c>
      <c r="J144" s="2" t="str">
        <f>IF($I144=0,"",IF($G144="","",$G144*IF(INDEX('إدخال وسجل المنتجات'!$U$5:$U$590,$I144)=0,1,INDEX('إدخال وسجل المنتجات'!$U$5:$U$590,$I144))))</f>
        <v/>
      </c>
    </row>
    <row r="145" spans="1:10" ht="16" x14ac:dyDescent="0.15">
      <c r="A145" s="2" t="str">
        <f>IF($I145=0,"",143)</f>
        <v/>
      </c>
      <c r="B145" s="9" t="str">
        <f>IF($I145=0,"",INDEX('إدخال وسجل المنتجات'!$F$5:$F$590,$I145))</f>
        <v/>
      </c>
      <c r="C145" s="8" t="str">
        <f>IF($I145=0,"",INDEX('إدخال وسجل المنتجات'!$B$5:$B$590,$I145))</f>
        <v/>
      </c>
      <c r="D145" s="10" t="str">
        <f>IF($I145=0,"",INDEX('إدخال وسجل المنتجات'!$C$5:$C$590,$I145))</f>
        <v/>
      </c>
      <c r="E145" s="11" t="str">
        <f>IF($I145=0,"",INDEX('إدخال وسجل المنتجات'!$D$5:$D$590,$I145))</f>
        <v/>
      </c>
      <c r="F145" s="2" t="str">
        <f>IF($I145=0,"",INDEX('إدخال وسجل المنتجات'!$G$5:$G$590,$I145))</f>
        <v/>
      </c>
      <c r="G145" s="12"/>
      <c r="H145" s="13"/>
      <c r="I145">
        <f>SUMPRODUCT(('إدخال وسجل المنتجات'!$I$5:$I$590="DRY")*('إدخال وسجل المنتجات'!$M$5:$M$590=143)*(ROW('إدخال وسجل المنتجات'!$I$5:$I$590)-4))</f>
        <v>0</v>
      </c>
      <c r="J145" s="2" t="str">
        <f>IF($I145=0,"",IF($G145="","",$G145*IF(INDEX('إدخال وسجل المنتجات'!$U$5:$U$590,$I145)=0,1,INDEX('إدخال وسجل المنتجات'!$U$5:$U$590,$I145))))</f>
        <v/>
      </c>
    </row>
    <row r="146" spans="1:10" ht="16" x14ac:dyDescent="0.15">
      <c r="A146" s="2" t="str">
        <f>IF($I146=0,"",144)</f>
        <v/>
      </c>
      <c r="B146" s="9" t="str">
        <f>IF($I146=0,"",INDEX('إدخال وسجل المنتجات'!$F$5:$F$590,$I146))</f>
        <v/>
      </c>
      <c r="C146" s="8" t="str">
        <f>IF($I146=0,"",INDEX('إدخال وسجل المنتجات'!$B$5:$B$590,$I146))</f>
        <v/>
      </c>
      <c r="D146" s="10" t="str">
        <f>IF($I146=0,"",INDEX('إدخال وسجل المنتجات'!$C$5:$C$590,$I146))</f>
        <v/>
      </c>
      <c r="E146" s="11" t="str">
        <f>IF($I146=0,"",INDEX('إدخال وسجل المنتجات'!$D$5:$D$590,$I146))</f>
        <v/>
      </c>
      <c r="F146" s="2" t="str">
        <f>IF($I146=0,"",INDEX('إدخال وسجل المنتجات'!$G$5:$G$590,$I146))</f>
        <v/>
      </c>
      <c r="G146" s="12"/>
      <c r="H146" s="13"/>
      <c r="I146">
        <f>SUMPRODUCT(('إدخال وسجل المنتجات'!$I$5:$I$590="DRY")*('إدخال وسجل المنتجات'!$M$5:$M$590=144)*(ROW('إدخال وسجل المنتجات'!$I$5:$I$590)-4))</f>
        <v>0</v>
      </c>
      <c r="J146" s="2" t="str">
        <f>IF($I146=0,"",IF($G146="","",$G146*IF(INDEX('إدخال وسجل المنتجات'!$U$5:$U$590,$I146)=0,1,INDEX('إدخال وسجل المنتجات'!$U$5:$U$590,$I146))))</f>
        <v/>
      </c>
    </row>
    <row r="147" spans="1:10" ht="16" x14ac:dyDescent="0.15">
      <c r="A147" s="2" t="str">
        <f>IF($I147=0,"",145)</f>
        <v/>
      </c>
      <c r="B147" s="9" t="str">
        <f>IF($I147=0,"",INDEX('إدخال وسجل المنتجات'!$F$5:$F$590,$I147))</f>
        <v/>
      </c>
      <c r="C147" s="8" t="str">
        <f>IF($I147=0,"",INDEX('إدخال وسجل المنتجات'!$B$5:$B$590,$I147))</f>
        <v/>
      </c>
      <c r="D147" s="10" t="str">
        <f>IF($I147=0,"",INDEX('إدخال وسجل المنتجات'!$C$5:$C$590,$I147))</f>
        <v/>
      </c>
      <c r="E147" s="11" t="str">
        <f>IF($I147=0,"",INDEX('إدخال وسجل المنتجات'!$D$5:$D$590,$I147))</f>
        <v/>
      </c>
      <c r="F147" s="2" t="str">
        <f>IF($I147=0,"",INDEX('إدخال وسجل المنتجات'!$G$5:$G$590,$I147))</f>
        <v/>
      </c>
      <c r="G147" s="12"/>
      <c r="H147" s="13"/>
      <c r="I147">
        <f>SUMPRODUCT(('إدخال وسجل المنتجات'!$I$5:$I$590="DRY")*('إدخال وسجل المنتجات'!$M$5:$M$590=145)*(ROW('إدخال وسجل المنتجات'!$I$5:$I$590)-4))</f>
        <v>0</v>
      </c>
      <c r="J147" s="2" t="str">
        <f>IF($I147=0,"",IF($G147="","",$G147*IF(INDEX('إدخال وسجل المنتجات'!$U$5:$U$590,$I147)=0,1,INDEX('إدخال وسجل المنتجات'!$U$5:$U$590,$I147))))</f>
        <v/>
      </c>
    </row>
    <row r="148" spans="1:10" ht="16" x14ac:dyDescent="0.15">
      <c r="A148" s="2" t="str">
        <f>IF($I148=0,"",146)</f>
        <v/>
      </c>
      <c r="B148" s="9" t="str">
        <f>IF($I148=0,"",INDEX('إدخال وسجل المنتجات'!$F$5:$F$590,$I148))</f>
        <v/>
      </c>
      <c r="C148" s="8" t="str">
        <f>IF($I148=0,"",INDEX('إدخال وسجل المنتجات'!$B$5:$B$590,$I148))</f>
        <v/>
      </c>
      <c r="D148" s="10" t="str">
        <f>IF($I148=0,"",INDEX('إدخال وسجل المنتجات'!$C$5:$C$590,$I148))</f>
        <v/>
      </c>
      <c r="E148" s="11" t="str">
        <f>IF($I148=0,"",INDEX('إدخال وسجل المنتجات'!$D$5:$D$590,$I148))</f>
        <v/>
      </c>
      <c r="F148" s="2" t="str">
        <f>IF($I148=0,"",INDEX('إدخال وسجل المنتجات'!$G$5:$G$590,$I148))</f>
        <v/>
      </c>
      <c r="G148" s="12"/>
      <c r="H148" s="13"/>
      <c r="I148">
        <f>SUMPRODUCT(('إدخال وسجل المنتجات'!$I$5:$I$590="DRY")*('إدخال وسجل المنتجات'!$M$5:$M$590=146)*(ROW('إدخال وسجل المنتجات'!$I$5:$I$590)-4))</f>
        <v>0</v>
      </c>
      <c r="J148" s="2" t="str">
        <f>IF($I148=0,"",IF($G148="","",$G148*IF(INDEX('إدخال وسجل المنتجات'!$U$5:$U$590,$I148)=0,1,INDEX('إدخال وسجل المنتجات'!$U$5:$U$590,$I148))))</f>
        <v/>
      </c>
    </row>
    <row r="149" spans="1:10" ht="16" x14ac:dyDescent="0.15">
      <c r="A149" s="2" t="str">
        <f>IF($I149=0,"",147)</f>
        <v/>
      </c>
      <c r="B149" s="9" t="str">
        <f>IF($I149=0,"",INDEX('إدخال وسجل المنتجات'!$F$5:$F$590,$I149))</f>
        <v/>
      </c>
      <c r="C149" s="8" t="str">
        <f>IF($I149=0,"",INDEX('إدخال وسجل المنتجات'!$B$5:$B$590,$I149))</f>
        <v/>
      </c>
      <c r="D149" s="10" t="str">
        <f>IF($I149=0,"",INDEX('إدخال وسجل المنتجات'!$C$5:$C$590,$I149))</f>
        <v/>
      </c>
      <c r="E149" s="11" t="str">
        <f>IF($I149=0,"",INDEX('إدخال وسجل المنتجات'!$D$5:$D$590,$I149))</f>
        <v/>
      </c>
      <c r="F149" s="2" t="str">
        <f>IF($I149=0,"",INDEX('إدخال وسجل المنتجات'!$G$5:$G$590,$I149))</f>
        <v/>
      </c>
      <c r="G149" s="12"/>
      <c r="H149" s="13"/>
      <c r="I149">
        <f>SUMPRODUCT(('إدخال وسجل المنتجات'!$I$5:$I$590="DRY")*('إدخال وسجل المنتجات'!$M$5:$M$590=147)*(ROW('إدخال وسجل المنتجات'!$I$5:$I$590)-4))</f>
        <v>0</v>
      </c>
      <c r="J149" s="2" t="str">
        <f>IF($I149=0,"",IF($G149="","",$G149*IF(INDEX('إدخال وسجل المنتجات'!$U$5:$U$590,$I149)=0,1,INDEX('إدخال وسجل المنتجات'!$U$5:$U$590,$I149))))</f>
        <v/>
      </c>
    </row>
    <row r="150" spans="1:10" ht="16" x14ac:dyDescent="0.15">
      <c r="A150" s="2" t="str">
        <f>IF($I150=0,"",148)</f>
        <v/>
      </c>
      <c r="B150" s="9" t="str">
        <f>IF($I150=0,"",INDEX('إدخال وسجل المنتجات'!$F$5:$F$590,$I150))</f>
        <v/>
      </c>
      <c r="C150" s="8" t="str">
        <f>IF($I150=0,"",INDEX('إدخال وسجل المنتجات'!$B$5:$B$590,$I150))</f>
        <v/>
      </c>
      <c r="D150" s="10" t="str">
        <f>IF($I150=0,"",INDEX('إدخال وسجل المنتجات'!$C$5:$C$590,$I150))</f>
        <v/>
      </c>
      <c r="E150" s="11" t="str">
        <f>IF($I150=0,"",INDEX('إدخال وسجل المنتجات'!$D$5:$D$590,$I150))</f>
        <v/>
      </c>
      <c r="F150" s="2" t="str">
        <f>IF($I150=0,"",INDEX('إدخال وسجل المنتجات'!$G$5:$G$590,$I150))</f>
        <v/>
      </c>
      <c r="G150" s="12"/>
      <c r="H150" s="13"/>
      <c r="I150">
        <f>SUMPRODUCT(('إدخال وسجل المنتجات'!$I$5:$I$590="DRY")*('إدخال وسجل المنتجات'!$M$5:$M$590=148)*(ROW('إدخال وسجل المنتجات'!$I$5:$I$590)-4))</f>
        <v>0</v>
      </c>
      <c r="J150" s="2" t="str">
        <f>IF($I150=0,"",IF($G150="","",$G150*IF(INDEX('إدخال وسجل المنتجات'!$U$5:$U$590,$I150)=0,1,INDEX('إدخال وسجل المنتجات'!$U$5:$U$590,$I150))))</f>
        <v/>
      </c>
    </row>
    <row r="151" spans="1:10" ht="16" x14ac:dyDescent="0.15">
      <c r="A151" s="2" t="str">
        <f>IF($I151=0,"",149)</f>
        <v/>
      </c>
      <c r="B151" s="9" t="str">
        <f>IF($I151=0,"",INDEX('إدخال وسجل المنتجات'!$F$5:$F$590,$I151))</f>
        <v/>
      </c>
      <c r="C151" s="8" t="str">
        <f>IF($I151=0,"",INDEX('إدخال وسجل المنتجات'!$B$5:$B$590,$I151))</f>
        <v/>
      </c>
      <c r="D151" s="10" t="str">
        <f>IF($I151=0,"",INDEX('إدخال وسجل المنتجات'!$C$5:$C$590,$I151))</f>
        <v/>
      </c>
      <c r="E151" s="11" t="str">
        <f>IF($I151=0,"",INDEX('إدخال وسجل المنتجات'!$D$5:$D$590,$I151))</f>
        <v/>
      </c>
      <c r="F151" s="2" t="str">
        <f>IF($I151=0,"",INDEX('إدخال وسجل المنتجات'!$G$5:$G$590,$I151))</f>
        <v/>
      </c>
      <c r="G151" s="12"/>
      <c r="H151" s="13"/>
      <c r="I151">
        <f>SUMPRODUCT(('إدخال وسجل المنتجات'!$I$5:$I$590="DRY")*('إدخال وسجل المنتجات'!$M$5:$M$590=149)*(ROW('إدخال وسجل المنتجات'!$I$5:$I$590)-4))</f>
        <v>0</v>
      </c>
      <c r="J151" s="2" t="str">
        <f>IF($I151=0,"",IF($G151="","",$G151*IF(INDEX('إدخال وسجل المنتجات'!$U$5:$U$590,$I151)=0,1,INDEX('إدخال وسجل المنتجات'!$U$5:$U$590,$I151))))</f>
        <v/>
      </c>
    </row>
    <row r="152" spans="1:10" ht="16" x14ac:dyDescent="0.15">
      <c r="A152" s="2" t="str">
        <f>IF($I152=0,"",150)</f>
        <v/>
      </c>
      <c r="B152" s="9" t="str">
        <f>IF($I152=0,"",INDEX('إدخال وسجل المنتجات'!$F$5:$F$590,$I152))</f>
        <v/>
      </c>
      <c r="C152" s="8" t="str">
        <f>IF($I152=0,"",INDEX('إدخال وسجل المنتجات'!$B$5:$B$590,$I152))</f>
        <v/>
      </c>
      <c r="D152" s="10" t="str">
        <f>IF($I152=0,"",INDEX('إدخال وسجل المنتجات'!$C$5:$C$590,$I152))</f>
        <v/>
      </c>
      <c r="E152" s="11" t="str">
        <f>IF($I152=0,"",INDEX('إدخال وسجل المنتجات'!$D$5:$D$590,$I152))</f>
        <v/>
      </c>
      <c r="F152" s="2" t="str">
        <f>IF($I152=0,"",INDEX('إدخال وسجل المنتجات'!$G$5:$G$590,$I152))</f>
        <v/>
      </c>
      <c r="G152" s="12"/>
      <c r="H152" s="13"/>
      <c r="I152">
        <f>SUMPRODUCT(('إدخال وسجل المنتجات'!$I$5:$I$590="DRY")*('إدخال وسجل المنتجات'!$M$5:$M$590=150)*(ROW('إدخال وسجل المنتجات'!$I$5:$I$590)-4))</f>
        <v>0</v>
      </c>
      <c r="J152" s="2" t="str">
        <f>IF($I152=0,"",IF($G152="","",$G152*IF(INDEX('إدخال وسجل المنتجات'!$U$5:$U$590,$I152)=0,1,INDEX('إدخال وسجل المنتجات'!$U$5:$U$590,$I152))))</f>
        <v/>
      </c>
    </row>
    <row r="153" spans="1:10" ht="16" x14ac:dyDescent="0.15">
      <c r="A153" s="2" t="str">
        <f>IF($I153=0,"",151)</f>
        <v/>
      </c>
      <c r="B153" s="9" t="str">
        <f>IF($I153=0,"",INDEX('إدخال وسجل المنتجات'!$F$5:$F$590,$I153))</f>
        <v/>
      </c>
      <c r="C153" s="8" t="str">
        <f>IF($I153=0,"",INDEX('إدخال وسجل المنتجات'!$B$5:$B$590,$I153))</f>
        <v/>
      </c>
      <c r="D153" s="10" t="str">
        <f>IF($I153=0,"",INDEX('إدخال وسجل المنتجات'!$C$5:$C$590,$I153))</f>
        <v/>
      </c>
      <c r="E153" s="11" t="str">
        <f>IF($I153=0,"",INDEX('إدخال وسجل المنتجات'!$D$5:$D$590,$I153))</f>
        <v/>
      </c>
      <c r="F153" s="2" t="str">
        <f>IF($I153=0,"",INDEX('إدخال وسجل المنتجات'!$G$5:$G$590,$I153))</f>
        <v/>
      </c>
      <c r="G153" s="12"/>
      <c r="H153" s="13"/>
      <c r="I153">
        <f>SUMPRODUCT(('إدخال وسجل المنتجات'!$I$5:$I$590="DRY")*('إدخال وسجل المنتجات'!$M$5:$M$590=151)*(ROW('إدخال وسجل المنتجات'!$I$5:$I$590)-4))</f>
        <v>0</v>
      </c>
      <c r="J153" s="2" t="str">
        <f>IF($I153=0,"",IF($G153="","",$G153*IF(INDEX('إدخال وسجل المنتجات'!$U$5:$U$590,$I153)=0,1,INDEX('إدخال وسجل المنتجات'!$U$5:$U$590,$I153))))</f>
        <v/>
      </c>
    </row>
    <row r="154" spans="1:10" ht="16" x14ac:dyDescent="0.15">
      <c r="A154" s="2" t="str">
        <f>IF($I154=0,"",152)</f>
        <v/>
      </c>
      <c r="B154" s="9" t="str">
        <f>IF($I154=0,"",INDEX('إدخال وسجل المنتجات'!$F$5:$F$590,$I154))</f>
        <v/>
      </c>
      <c r="C154" s="8" t="str">
        <f>IF($I154=0,"",INDEX('إدخال وسجل المنتجات'!$B$5:$B$590,$I154))</f>
        <v/>
      </c>
      <c r="D154" s="10" t="str">
        <f>IF($I154=0,"",INDEX('إدخال وسجل المنتجات'!$C$5:$C$590,$I154))</f>
        <v/>
      </c>
      <c r="E154" s="11" t="str">
        <f>IF($I154=0,"",INDEX('إدخال وسجل المنتجات'!$D$5:$D$590,$I154))</f>
        <v/>
      </c>
      <c r="F154" s="2" t="str">
        <f>IF($I154=0,"",INDEX('إدخال وسجل المنتجات'!$G$5:$G$590,$I154))</f>
        <v/>
      </c>
      <c r="G154" s="12"/>
      <c r="H154" s="13"/>
      <c r="I154">
        <f>SUMPRODUCT(('إدخال وسجل المنتجات'!$I$5:$I$590="DRY")*('إدخال وسجل المنتجات'!$M$5:$M$590=152)*(ROW('إدخال وسجل المنتجات'!$I$5:$I$590)-4))</f>
        <v>0</v>
      </c>
      <c r="J154" s="2" t="str">
        <f>IF($I154=0,"",IF($G154="","",$G154*IF(INDEX('إدخال وسجل المنتجات'!$U$5:$U$590,$I154)=0,1,INDEX('إدخال وسجل المنتجات'!$U$5:$U$590,$I154))))</f>
        <v/>
      </c>
    </row>
    <row r="155" spans="1:10" ht="16" x14ac:dyDescent="0.15">
      <c r="A155" s="2" t="str">
        <f>IF($I155=0,"",153)</f>
        <v/>
      </c>
      <c r="B155" s="9" t="str">
        <f>IF($I155=0,"",INDEX('إدخال وسجل المنتجات'!$F$5:$F$590,$I155))</f>
        <v/>
      </c>
      <c r="C155" s="8" t="str">
        <f>IF($I155=0,"",INDEX('إدخال وسجل المنتجات'!$B$5:$B$590,$I155))</f>
        <v/>
      </c>
      <c r="D155" s="10" t="str">
        <f>IF($I155=0,"",INDEX('إدخال وسجل المنتجات'!$C$5:$C$590,$I155))</f>
        <v/>
      </c>
      <c r="E155" s="11" t="str">
        <f>IF($I155=0,"",INDEX('إدخال وسجل المنتجات'!$D$5:$D$590,$I155))</f>
        <v/>
      </c>
      <c r="F155" s="2" t="str">
        <f>IF($I155=0,"",INDEX('إدخال وسجل المنتجات'!$G$5:$G$590,$I155))</f>
        <v/>
      </c>
      <c r="G155" s="12"/>
      <c r="H155" s="13"/>
      <c r="I155">
        <f>SUMPRODUCT(('إدخال وسجل المنتجات'!$I$5:$I$590="DRY")*('إدخال وسجل المنتجات'!$M$5:$M$590=153)*(ROW('إدخال وسجل المنتجات'!$I$5:$I$590)-4))</f>
        <v>0</v>
      </c>
      <c r="J155" s="2" t="str">
        <f>IF($I155=0,"",IF($G155="","",$G155*IF(INDEX('إدخال وسجل المنتجات'!$U$5:$U$590,$I155)=0,1,INDEX('إدخال وسجل المنتجات'!$U$5:$U$590,$I155))))</f>
        <v/>
      </c>
    </row>
    <row r="156" spans="1:10" ht="16" x14ac:dyDescent="0.15">
      <c r="A156" s="2" t="str">
        <f>IF($I156=0,"",154)</f>
        <v/>
      </c>
      <c r="B156" s="9" t="str">
        <f>IF($I156=0,"",INDEX('إدخال وسجل المنتجات'!$F$5:$F$590,$I156))</f>
        <v/>
      </c>
      <c r="C156" s="8" t="str">
        <f>IF($I156=0,"",INDEX('إدخال وسجل المنتجات'!$B$5:$B$590,$I156))</f>
        <v/>
      </c>
      <c r="D156" s="10" t="str">
        <f>IF($I156=0,"",INDEX('إدخال وسجل المنتجات'!$C$5:$C$590,$I156))</f>
        <v/>
      </c>
      <c r="E156" s="11" t="str">
        <f>IF($I156=0,"",INDEX('إدخال وسجل المنتجات'!$D$5:$D$590,$I156))</f>
        <v/>
      </c>
      <c r="F156" s="2" t="str">
        <f>IF($I156=0,"",INDEX('إدخال وسجل المنتجات'!$G$5:$G$590,$I156))</f>
        <v/>
      </c>
      <c r="G156" s="12"/>
      <c r="H156" s="13"/>
      <c r="I156">
        <f>SUMPRODUCT(('إدخال وسجل المنتجات'!$I$5:$I$590="DRY")*('إدخال وسجل المنتجات'!$M$5:$M$590=154)*(ROW('إدخال وسجل المنتجات'!$I$5:$I$590)-4))</f>
        <v>0</v>
      </c>
      <c r="J156" s="2" t="str">
        <f>IF($I156=0,"",IF($G156="","",$G156*IF(INDEX('إدخال وسجل المنتجات'!$U$5:$U$590,$I156)=0,1,INDEX('إدخال وسجل المنتجات'!$U$5:$U$590,$I156))))</f>
        <v/>
      </c>
    </row>
    <row r="157" spans="1:10" ht="16" x14ac:dyDescent="0.15">
      <c r="A157" s="2" t="str">
        <f>IF($I157=0,"",155)</f>
        <v/>
      </c>
      <c r="B157" s="9" t="str">
        <f>IF($I157=0,"",INDEX('إدخال وسجل المنتجات'!$F$5:$F$590,$I157))</f>
        <v/>
      </c>
      <c r="C157" s="8" t="str">
        <f>IF($I157=0,"",INDEX('إدخال وسجل المنتجات'!$B$5:$B$590,$I157))</f>
        <v/>
      </c>
      <c r="D157" s="10" t="str">
        <f>IF($I157=0,"",INDEX('إدخال وسجل المنتجات'!$C$5:$C$590,$I157))</f>
        <v/>
      </c>
      <c r="E157" s="11" t="str">
        <f>IF($I157=0,"",INDEX('إدخال وسجل المنتجات'!$D$5:$D$590,$I157))</f>
        <v/>
      </c>
      <c r="F157" s="2" t="str">
        <f>IF($I157=0,"",INDEX('إدخال وسجل المنتجات'!$G$5:$G$590,$I157))</f>
        <v/>
      </c>
      <c r="G157" s="12"/>
      <c r="H157" s="13"/>
      <c r="I157">
        <f>SUMPRODUCT(('إدخال وسجل المنتجات'!$I$5:$I$590="DRY")*('إدخال وسجل المنتجات'!$M$5:$M$590=155)*(ROW('إدخال وسجل المنتجات'!$I$5:$I$590)-4))</f>
        <v>0</v>
      </c>
      <c r="J157" s="2" t="str">
        <f>IF($I157=0,"",IF($G157="","",$G157*IF(INDEX('إدخال وسجل المنتجات'!$U$5:$U$590,$I157)=0,1,INDEX('إدخال وسجل المنتجات'!$U$5:$U$590,$I157))))</f>
        <v/>
      </c>
    </row>
    <row r="158" spans="1:10" ht="16" x14ac:dyDescent="0.15">
      <c r="A158" s="2" t="str">
        <f>IF($I158=0,"",156)</f>
        <v/>
      </c>
      <c r="B158" s="9" t="str">
        <f>IF($I158=0,"",INDEX('إدخال وسجل المنتجات'!$F$5:$F$590,$I158))</f>
        <v/>
      </c>
      <c r="C158" s="8" t="str">
        <f>IF($I158=0,"",INDEX('إدخال وسجل المنتجات'!$B$5:$B$590,$I158))</f>
        <v/>
      </c>
      <c r="D158" s="10" t="str">
        <f>IF($I158=0,"",INDEX('إدخال وسجل المنتجات'!$C$5:$C$590,$I158))</f>
        <v/>
      </c>
      <c r="E158" s="11" t="str">
        <f>IF($I158=0,"",INDEX('إدخال وسجل المنتجات'!$D$5:$D$590,$I158))</f>
        <v/>
      </c>
      <c r="F158" s="2" t="str">
        <f>IF($I158=0,"",INDEX('إدخال وسجل المنتجات'!$G$5:$G$590,$I158))</f>
        <v/>
      </c>
      <c r="G158" s="12"/>
      <c r="H158" s="13"/>
      <c r="I158">
        <f>SUMPRODUCT(('إدخال وسجل المنتجات'!$I$5:$I$590="DRY")*('إدخال وسجل المنتجات'!$M$5:$M$590=156)*(ROW('إدخال وسجل المنتجات'!$I$5:$I$590)-4))</f>
        <v>0</v>
      </c>
      <c r="J158" s="2" t="str">
        <f>IF($I158=0,"",IF($G158="","",$G158*IF(INDEX('إدخال وسجل المنتجات'!$U$5:$U$590,$I158)=0,1,INDEX('إدخال وسجل المنتجات'!$U$5:$U$590,$I158))))</f>
        <v/>
      </c>
    </row>
    <row r="159" spans="1:10" ht="16" x14ac:dyDescent="0.15">
      <c r="A159" s="2" t="str">
        <f>IF($I159=0,"",157)</f>
        <v/>
      </c>
      <c r="B159" s="9" t="str">
        <f>IF($I159=0,"",INDEX('إدخال وسجل المنتجات'!$F$5:$F$590,$I159))</f>
        <v/>
      </c>
      <c r="C159" s="8" t="str">
        <f>IF($I159=0,"",INDEX('إدخال وسجل المنتجات'!$B$5:$B$590,$I159))</f>
        <v/>
      </c>
      <c r="D159" s="10" t="str">
        <f>IF($I159=0,"",INDEX('إدخال وسجل المنتجات'!$C$5:$C$590,$I159))</f>
        <v/>
      </c>
      <c r="E159" s="11" t="str">
        <f>IF($I159=0,"",INDEX('إدخال وسجل المنتجات'!$D$5:$D$590,$I159))</f>
        <v/>
      </c>
      <c r="F159" s="2" t="str">
        <f>IF($I159=0,"",INDEX('إدخال وسجل المنتجات'!$G$5:$G$590,$I159))</f>
        <v/>
      </c>
      <c r="G159" s="12"/>
      <c r="H159" s="13"/>
      <c r="I159">
        <f>SUMPRODUCT(('إدخال وسجل المنتجات'!$I$5:$I$590="DRY")*('إدخال وسجل المنتجات'!$M$5:$M$590=157)*(ROW('إدخال وسجل المنتجات'!$I$5:$I$590)-4))</f>
        <v>0</v>
      </c>
      <c r="J159" s="2" t="str">
        <f>IF($I159=0,"",IF($G159="","",$G159*IF(INDEX('إدخال وسجل المنتجات'!$U$5:$U$590,$I159)=0,1,INDEX('إدخال وسجل المنتجات'!$U$5:$U$590,$I159))))</f>
        <v/>
      </c>
    </row>
    <row r="160" spans="1:10" ht="16" x14ac:dyDescent="0.15">
      <c r="A160" s="2" t="str">
        <f>IF($I160=0,"",158)</f>
        <v/>
      </c>
      <c r="B160" s="9" t="str">
        <f>IF($I160=0,"",INDEX('إدخال وسجل المنتجات'!$F$5:$F$590,$I160))</f>
        <v/>
      </c>
      <c r="C160" s="8" t="str">
        <f>IF($I160=0,"",INDEX('إدخال وسجل المنتجات'!$B$5:$B$590,$I160))</f>
        <v/>
      </c>
      <c r="D160" s="10" t="str">
        <f>IF($I160=0,"",INDEX('إدخال وسجل المنتجات'!$C$5:$C$590,$I160))</f>
        <v/>
      </c>
      <c r="E160" s="11" t="str">
        <f>IF($I160=0,"",INDEX('إدخال وسجل المنتجات'!$D$5:$D$590,$I160))</f>
        <v/>
      </c>
      <c r="F160" s="2" t="str">
        <f>IF($I160=0,"",INDEX('إدخال وسجل المنتجات'!$G$5:$G$590,$I160))</f>
        <v/>
      </c>
      <c r="G160" s="12"/>
      <c r="H160" s="13"/>
      <c r="I160">
        <f>SUMPRODUCT(('إدخال وسجل المنتجات'!$I$5:$I$590="DRY")*('إدخال وسجل المنتجات'!$M$5:$M$590=158)*(ROW('إدخال وسجل المنتجات'!$I$5:$I$590)-4))</f>
        <v>0</v>
      </c>
      <c r="J160" s="2" t="str">
        <f>IF($I160=0,"",IF($G160="","",$G160*IF(INDEX('إدخال وسجل المنتجات'!$U$5:$U$590,$I160)=0,1,INDEX('إدخال وسجل المنتجات'!$U$5:$U$590,$I160))))</f>
        <v/>
      </c>
    </row>
    <row r="161" spans="1:10" ht="16" x14ac:dyDescent="0.15">
      <c r="A161" s="2" t="str">
        <f>IF($I161=0,"",159)</f>
        <v/>
      </c>
      <c r="B161" s="9" t="str">
        <f>IF($I161=0,"",INDEX('إدخال وسجل المنتجات'!$F$5:$F$590,$I161))</f>
        <v/>
      </c>
      <c r="C161" s="8" t="str">
        <f>IF($I161=0,"",INDEX('إدخال وسجل المنتجات'!$B$5:$B$590,$I161))</f>
        <v/>
      </c>
      <c r="D161" s="10" t="str">
        <f>IF($I161=0,"",INDEX('إدخال وسجل المنتجات'!$C$5:$C$590,$I161))</f>
        <v/>
      </c>
      <c r="E161" s="11" t="str">
        <f>IF($I161=0,"",INDEX('إدخال وسجل المنتجات'!$D$5:$D$590,$I161))</f>
        <v/>
      </c>
      <c r="F161" s="2" t="str">
        <f>IF($I161=0,"",INDEX('إدخال وسجل المنتجات'!$G$5:$G$590,$I161))</f>
        <v/>
      </c>
      <c r="G161" s="12"/>
      <c r="H161" s="13"/>
      <c r="I161">
        <f>SUMPRODUCT(('إدخال وسجل المنتجات'!$I$5:$I$590="DRY")*('إدخال وسجل المنتجات'!$M$5:$M$590=159)*(ROW('إدخال وسجل المنتجات'!$I$5:$I$590)-4))</f>
        <v>0</v>
      </c>
      <c r="J161" s="2" t="str">
        <f>IF($I161=0,"",IF($G161="","",$G161*IF(INDEX('إدخال وسجل المنتجات'!$U$5:$U$590,$I161)=0,1,INDEX('إدخال وسجل المنتجات'!$U$5:$U$590,$I161))))</f>
        <v/>
      </c>
    </row>
    <row r="162" spans="1:10" ht="16" x14ac:dyDescent="0.15">
      <c r="A162" s="2" t="str">
        <f>IF($I162=0,"",160)</f>
        <v/>
      </c>
      <c r="B162" s="9" t="str">
        <f>IF($I162=0,"",INDEX('إدخال وسجل المنتجات'!$F$5:$F$590,$I162))</f>
        <v/>
      </c>
      <c r="C162" s="8" t="str">
        <f>IF($I162=0,"",INDEX('إدخال وسجل المنتجات'!$B$5:$B$590,$I162))</f>
        <v/>
      </c>
      <c r="D162" s="10" t="str">
        <f>IF($I162=0,"",INDEX('إدخال وسجل المنتجات'!$C$5:$C$590,$I162))</f>
        <v/>
      </c>
      <c r="E162" s="11" t="str">
        <f>IF($I162=0,"",INDEX('إدخال وسجل المنتجات'!$D$5:$D$590,$I162))</f>
        <v/>
      </c>
      <c r="F162" s="2" t="str">
        <f>IF($I162=0,"",INDEX('إدخال وسجل المنتجات'!$G$5:$G$590,$I162))</f>
        <v/>
      </c>
      <c r="G162" s="12"/>
      <c r="H162" s="13"/>
      <c r="I162">
        <f>SUMPRODUCT(('إدخال وسجل المنتجات'!$I$5:$I$590="DRY")*('إدخال وسجل المنتجات'!$M$5:$M$590=160)*(ROW('إدخال وسجل المنتجات'!$I$5:$I$590)-4))</f>
        <v>0</v>
      </c>
      <c r="J162" s="2" t="str">
        <f>IF($I162=0,"",IF($G162="","",$G162*IF(INDEX('إدخال وسجل المنتجات'!$U$5:$U$590,$I162)=0,1,INDEX('إدخال وسجل المنتجات'!$U$5:$U$590,$I162))))</f>
        <v/>
      </c>
    </row>
    <row r="163" spans="1:10" ht="16" x14ac:dyDescent="0.15">
      <c r="A163" s="2" t="str">
        <f>IF($I163=0,"",161)</f>
        <v/>
      </c>
      <c r="B163" s="9" t="str">
        <f>IF($I163=0,"",INDEX('إدخال وسجل المنتجات'!$F$5:$F$590,$I163))</f>
        <v/>
      </c>
      <c r="C163" s="8" t="str">
        <f>IF($I163=0,"",INDEX('إدخال وسجل المنتجات'!$B$5:$B$590,$I163))</f>
        <v/>
      </c>
      <c r="D163" s="10" t="str">
        <f>IF($I163=0,"",INDEX('إدخال وسجل المنتجات'!$C$5:$C$590,$I163))</f>
        <v/>
      </c>
      <c r="E163" s="11" t="str">
        <f>IF($I163=0,"",INDEX('إدخال وسجل المنتجات'!$D$5:$D$590,$I163))</f>
        <v/>
      </c>
      <c r="F163" s="2" t="str">
        <f>IF($I163=0,"",INDEX('إدخال وسجل المنتجات'!$G$5:$G$590,$I163))</f>
        <v/>
      </c>
      <c r="G163" s="12"/>
      <c r="H163" s="13"/>
      <c r="I163">
        <f>SUMPRODUCT(('إدخال وسجل المنتجات'!$I$5:$I$590="DRY")*('إدخال وسجل المنتجات'!$M$5:$M$590=161)*(ROW('إدخال وسجل المنتجات'!$I$5:$I$590)-4))</f>
        <v>0</v>
      </c>
      <c r="J163" s="2" t="str">
        <f>IF($I163=0,"",IF($G163="","",$G163*IF(INDEX('إدخال وسجل المنتجات'!$U$5:$U$590,$I163)=0,1,INDEX('إدخال وسجل المنتجات'!$U$5:$U$590,$I163))))</f>
        <v/>
      </c>
    </row>
    <row r="164" spans="1:10" ht="16" x14ac:dyDescent="0.15">
      <c r="A164" s="2" t="str">
        <f>IF($I164=0,"",162)</f>
        <v/>
      </c>
      <c r="B164" s="9" t="str">
        <f>IF($I164=0,"",INDEX('إدخال وسجل المنتجات'!$F$5:$F$590,$I164))</f>
        <v/>
      </c>
      <c r="C164" s="8" t="str">
        <f>IF($I164=0,"",INDEX('إدخال وسجل المنتجات'!$B$5:$B$590,$I164))</f>
        <v/>
      </c>
      <c r="D164" s="10" t="str">
        <f>IF($I164=0,"",INDEX('إدخال وسجل المنتجات'!$C$5:$C$590,$I164))</f>
        <v/>
      </c>
      <c r="E164" s="11" t="str">
        <f>IF($I164=0,"",INDEX('إدخال وسجل المنتجات'!$D$5:$D$590,$I164))</f>
        <v/>
      </c>
      <c r="F164" s="2" t="str">
        <f>IF($I164=0,"",INDEX('إدخال وسجل المنتجات'!$G$5:$G$590,$I164))</f>
        <v/>
      </c>
      <c r="G164" s="12"/>
      <c r="H164" s="13"/>
      <c r="I164">
        <f>SUMPRODUCT(('إدخال وسجل المنتجات'!$I$5:$I$590="DRY")*('إدخال وسجل المنتجات'!$M$5:$M$590=162)*(ROW('إدخال وسجل المنتجات'!$I$5:$I$590)-4))</f>
        <v>0</v>
      </c>
      <c r="J164" s="2" t="str">
        <f>IF($I164=0,"",IF($G164="","",$G164*IF(INDEX('إدخال وسجل المنتجات'!$U$5:$U$590,$I164)=0,1,INDEX('إدخال وسجل المنتجات'!$U$5:$U$590,$I164))))</f>
        <v/>
      </c>
    </row>
    <row r="165" spans="1:10" ht="16" x14ac:dyDescent="0.15">
      <c r="A165" s="2" t="str">
        <f>IF($I165=0,"",163)</f>
        <v/>
      </c>
      <c r="B165" s="9" t="str">
        <f>IF($I165=0,"",INDEX('إدخال وسجل المنتجات'!$F$5:$F$590,$I165))</f>
        <v/>
      </c>
      <c r="C165" s="8" t="str">
        <f>IF($I165=0,"",INDEX('إدخال وسجل المنتجات'!$B$5:$B$590,$I165))</f>
        <v/>
      </c>
      <c r="D165" s="10" t="str">
        <f>IF($I165=0,"",INDEX('إدخال وسجل المنتجات'!$C$5:$C$590,$I165))</f>
        <v/>
      </c>
      <c r="E165" s="11" t="str">
        <f>IF($I165=0,"",INDEX('إدخال وسجل المنتجات'!$D$5:$D$590,$I165))</f>
        <v/>
      </c>
      <c r="F165" s="2" t="str">
        <f>IF($I165=0,"",INDEX('إدخال وسجل المنتجات'!$G$5:$G$590,$I165))</f>
        <v/>
      </c>
      <c r="G165" s="12"/>
      <c r="H165" s="13"/>
      <c r="I165">
        <f>SUMPRODUCT(('إدخال وسجل المنتجات'!$I$5:$I$590="DRY")*('إدخال وسجل المنتجات'!$M$5:$M$590=163)*(ROW('إدخال وسجل المنتجات'!$I$5:$I$590)-4))</f>
        <v>0</v>
      </c>
      <c r="J165" s="2" t="str">
        <f>IF($I165=0,"",IF($G165="","",$G165*IF(INDEX('إدخال وسجل المنتجات'!$U$5:$U$590,$I165)=0,1,INDEX('إدخال وسجل المنتجات'!$U$5:$U$590,$I165))))</f>
        <v/>
      </c>
    </row>
    <row r="166" spans="1:10" ht="16" x14ac:dyDescent="0.15">
      <c r="A166" s="2" t="str">
        <f>IF($I166=0,"",164)</f>
        <v/>
      </c>
      <c r="B166" s="9" t="str">
        <f>IF($I166=0,"",INDEX('إدخال وسجل المنتجات'!$F$5:$F$590,$I166))</f>
        <v/>
      </c>
      <c r="C166" s="8" t="str">
        <f>IF($I166=0,"",INDEX('إدخال وسجل المنتجات'!$B$5:$B$590,$I166))</f>
        <v/>
      </c>
      <c r="D166" s="10" t="str">
        <f>IF($I166=0,"",INDEX('إدخال وسجل المنتجات'!$C$5:$C$590,$I166))</f>
        <v/>
      </c>
      <c r="E166" s="11" t="str">
        <f>IF($I166=0,"",INDEX('إدخال وسجل المنتجات'!$D$5:$D$590,$I166))</f>
        <v/>
      </c>
      <c r="F166" s="2" t="str">
        <f>IF($I166=0,"",INDEX('إدخال وسجل المنتجات'!$G$5:$G$590,$I166))</f>
        <v/>
      </c>
      <c r="G166" s="12"/>
      <c r="H166" s="13"/>
      <c r="I166">
        <f>SUMPRODUCT(('إدخال وسجل المنتجات'!$I$5:$I$590="DRY")*('إدخال وسجل المنتجات'!$M$5:$M$590=164)*(ROW('إدخال وسجل المنتجات'!$I$5:$I$590)-4))</f>
        <v>0</v>
      </c>
      <c r="J166" s="2" t="str">
        <f>IF($I166=0,"",IF($G166="","",$G166*IF(INDEX('إدخال وسجل المنتجات'!$U$5:$U$590,$I166)=0,1,INDEX('إدخال وسجل المنتجات'!$U$5:$U$590,$I166))))</f>
        <v/>
      </c>
    </row>
    <row r="167" spans="1:10" ht="16" x14ac:dyDescent="0.15">
      <c r="A167" s="2" t="str">
        <f>IF($I167=0,"",165)</f>
        <v/>
      </c>
      <c r="B167" s="9" t="str">
        <f>IF($I167=0,"",INDEX('إدخال وسجل المنتجات'!$F$5:$F$590,$I167))</f>
        <v/>
      </c>
      <c r="C167" s="8" t="str">
        <f>IF($I167=0,"",INDEX('إدخال وسجل المنتجات'!$B$5:$B$590,$I167))</f>
        <v/>
      </c>
      <c r="D167" s="10" t="str">
        <f>IF($I167=0,"",INDEX('إدخال وسجل المنتجات'!$C$5:$C$590,$I167))</f>
        <v/>
      </c>
      <c r="E167" s="11" t="str">
        <f>IF($I167=0,"",INDEX('إدخال وسجل المنتجات'!$D$5:$D$590,$I167))</f>
        <v/>
      </c>
      <c r="F167" s="2" t="str">
        <f>IF($I167=0,"",INDEX('إدخال وسجل المنتجات'!$G$5:$G$590,$I167))</f>
        <v/>
      </c>
      <c r="G167" s="12"/>
      <c r="H167" s="13"/>
      <c r="I167">
        <f>SUMPRODUCT(('إدخال وسجل المنتجات'!$I$5:$I$590="DRY")*('إدخال وسجل المنتجات'!$M$5:$M$590=165)*(ROW('إدخال وسجل المنتجات'!$I$5:$I$590)-4))</f>
        <v>0</v>
      </c>
      <c r="J167" s="2" t="str">
        <f>IF($I167=0,"",IF($G167="","",$G167*IF(INDEX('إدخال وسجل المنتجات'!$U$5:$U$590,$I167)=0,1,INDEX('إدخال وسجل المنتجات'!$U$5:$U$590,$I167))))</f>
        <v/>
      </c>
    </row>
    <row r="168" spans="1:10" ht="16" x14ac:dyDescent="0.15">
      <c r="A168" s="2" t="str">
        <f>IF($I168=0,"",166)</f>
        <v/>
      </c>
      <c r="B168" s="9" t="str">
        <f>IF($I168=0,"",INDEX('إدخال وسجل المنتجات'!$F$5:$F$590,$I168))</f>
        <v/>
      </c>
      <c r="C168" s="8" t="str">
        <f>IF($I168=0,"",INDEX('إدخال وسجل المنتجات'!$B$5:$B$590,$I168))</f>
        <v/>
      </c>
      <c r="D168" s="10" t="str">
        <f>IF($I168=0,"",INDEX('إدخال وسجل المنتجات'!$C$5:$C$590,$I168))</f>
        <v/>
      </c>
      <c r="E168" s="11" t="str">
        <f>IF($I168=0,"",INDEX('إدخال وسجل المنتجات'!$D$5:$D$590,$I168))</f>
        <v/>
      </c>
      <c r="F168" s="2" t="str">
        <f>IF($I168=0,"",INDEX('إدخال وسجل المنتجات'!$G$5:$G$590,$I168))</f>
        <v/>
      </c>
      <c r="G168" s="12"/>
      <c r="H168" s="13"/>
      <c r="I168">
        <f>SUMPRODUCT(('إدخال وسجل المنتجات'!$I$5:$I$590="DRY")*('إدخال وسجل المنتجات'!$M$5:$M$590=166)*(ROW('إدخال وسجل المنتجات'!$I$5:$I$590)-4))</f>
        <v>0</v>
      </c>
      <c r="J168" s="2" t="str">
        <f>IF($I168=0,"",IF($G168="","",$G168*IF(INDEX('إدخال وسجل المنتجات'!$U$5:$U$590,$I168)=0,1,INDEX('إدخال وسجل المنتجات'!$U$5:$U$590,$I168))))</f>
        <v/>
      </c>
    </row>
    <row r="169" spans="1:10" ht="16" x14ac:dyDescent="0.15">
      <c r="A169" s="2" t="str">
        <f>IF($I169=0,"",167)</f>
        <v/>
      </c>
      <c r="B169" s="9" t="str">
        <f>IF($I169=0,"",INDEX('إدخال وسجل المنتجات'!$F$5:$F$590,$I169))</f>
        <v/>
      </c>
      <c r="C169" s="8" t="str">
        <f>IF($I169=0,"",INDEX('إدخال وسجل المنتجات'!$B$5:$B$590,$I169))</f>
        <v/>
      </c>
      <c r="D169" s="10" t="str">
        <f>IF($I169=0,"",INDEX('إدخال وسجل المنتجات'!$C$5:$C$590,$I169))</f>
        <v/>
      </c>
      <c r="E169" s="11" t="str">
        <f>IF($I169=0,"",INDEX('إدخال وسجل المنتجات'!$D$5:$D$590,$I169))</f>
        <v/>
      </c>
      <c r="F169" s="2" t="str">
        <f>IF($I169=0,"",INDEX('إدخال وسجل المنتجات'!$G$5:$G$590,$I169))</f>
        <v/>
      </c>
      <c r="G169" s="12"/>
      <c r="H169" s="13"/>
      <c r="I169">
        <f>SUMPRODUCT(('إدخال وسجل المنتجات'!$I$5:$I$590="DRY")*('إدخال وسجل المنتجات'!$M$5:$M$590=167)*(ROW('إدخال وسجل المنتجات'!$I$5:$I$590)-4))</f>
        <v>0</v>
      </c>
      <c r="J169" s="2" t="str">
        <f>IF($I169=0,"",IF($G169="","",$G169*IF(INDEX('إدخال وسجل المنتجات'!$U$5:$U$590,$I169)=0,1,INDEX('إدخال وسجل المنتجات'!$U$5:$U$590,$I169))))</f>
        <v/>
      </c>
    </row>
    <row r="170" spans="1:10" ht="16" x14ac:dyDescent="0.15">
      <c r="A170" s="2" t="str">
        <f>IF($I170=0,"",168)</f>
        <v/>
      </c>
      <c r="B170" s="9" t="str">
        <f>IF($I170=0,"",INDEX('إدخال وسجل المنتجات'!$F$5:$F$590,$I170))</f>
        <v/>
      </c>
      <c r="C170" s="8" t="str">
        <f>IF($I170=0,"",INDEX('إدخال وسجل المنتجات'!$B$5:$B$590,$I170))</f>
        <v/>
      </c>
      <c r="D170" s="10" t="str">
        <f>IF($I170=0,"",INDEX('إدخال وسجل المنتجات'!$C$5:$C$590,$I170))</f>
        <v/>
      </c>
      <c r="E170" s="11" t="str">
        <f>IF($I170=0,"",INDEX('إدخال وسجل المنتجات'!$D$5:$D$590,$I170))</f>
        <v/>
      </c>
      <c r="F170" s="2" t="str">
        <f>IF($I170=0,"",INDEX('إدخال وسجل المنتجات'!$G$5:$G$590,$I170))</f>
        <v/>
      </c>
      <c r="G170" s="12"/>
      <c r="H170" s="13"/>
      <c r="I170">
        <f>SUMPRODUCT(('إدخال وسجل المنتجات'!$I$5:$I$590="DRY")*('إدخال وسجل المنتجات'!$M$5:$M$590=168)*(ROW('إدخال وسجل المنتجات'!$I$5:$I$590)-4))</f>
        <v>0</v>
      </c>
      <c r="J170" s="2" t="str">
        <f>IF($I170=0,"",IF($G170="","",$G170*IF(INDEX('إدخال وسجل المنتجات'!$U$5:$U$590,$I170)=0,1,INDEX('إدخال وسجل المنتجات'!$U$5:$U$590,$I170))))</f>
        <v/>
      </c>
    </row>
    <row r="171" spans="1:10" ht="16" x14ac:dyDescent="0.15">
      <c r="A171" s="2" t="str">
        <f>IF($I171=0,"",169)</f>
        <v/>
      </c>
      <c r="B171" s="9" t="str">
        <f>IF($I171=0,"",INDEX('إدخال وسجل المنتجات'!$F$5:$F$590,$I171))</f>
        <v/>
      </c>
      <c r="C171" s="8" t="str">
        <f>IF($I171=0,"",INDEX('إدخال وسجل المنتجات'!$B$5:$B$590,$I171))</f>
        <v/>
      </c>
      <c r="D171" s="10" t="str">
        <f>IF($I171=0,"",INDEX('إدخال وسجل المنتجات'!$C$5:$C$590,$I171))</f>
        <v/>
      </c>
      <c r="E171" s="11" t="str">
        <f>IF($I171=0,"",INDEX('إدخال وسجل المنتجات'!$D$5:$D$590,$I171))</f>
        <v/>
      </c>
      <c r="F171" s="2" t="str">
        <f>IF($I171=0,"",INDEX('إدخال وسجل المنتجات'!$G$5:$G$590,$I171))</f>
        <v/>
      </c>
      <c r="G171" s="12"/>
      <c r="H171" s="13"/>
      <c r="I171">
        <f>SUMPRODUCT(('إدخال وسجل المنتجات'!$I$5:$I$590="DRY")*('إدخال وسجل المنتجات'!$M$5:$M$590=169)*(ROW('إدخال وسجل المنتجات'!$I$5:$I$590)-4))</f>
        <v>0</v>
      </c>
      <c r="J171" s="2" t="str">
        <f>IF($I171=0,"",IF($G171="","",$G171*IF(INDEX('إدخال وسجل المنتجات'!$U$5:$U$590,$I171)=0,1,INDEX('إدخال وسجل المنتجات'!$U$5:$U$590,$I171))))</f>
        <v/>
      </c>
    </row>
    <row r="172" spans="1:10" ht="16" x14ac:dyDescent="0.15">
      <c r="A172" s="2" t="str">
        <f>IF($I172=0,"",170)</f>
        <v/>
      </c>
      <c r="B172" s="9" t="str">
        <f>IF($I172=0,"",INDEX('إدخال وسجل المنتجات'!$F$5:$F$590,$I172))</f>
        <v/>
      </c>
      <c r="C172" s="8" t="str">
        <f>IF($I172=0,"",INDEX('إدخال وسجل المنتجات'!$B$5:$B$590,$I172))</f>
        <v/>
      </c>
      <c r="D172" s="10" t="str">
        <f>IF($I172=0,"",INDEX('إدخال وسجل المنتجات'!$C$5:$C$590,$I172))</f>
        <v/>
      </c>
      <c r="E172" s="11" t="str">
        <f>IF($I172=0,"",INDEX('إدخال وسجل المنتجات'!$D$5:$D$590,$I172))</f>
        <v/>
      </c>
      <c r="F172" s="2" t="str">
        <f>IF($I172=0,"",INDEX('إدخال وسجل المنتجات'!$G$5:$G$590,$I172))</f>
        <v/>
      </c>
      <c r="G172" s="12"/>
      <c r="H172" s="13"/>
      <c r="I172">
        <f>SUMPRODUCT(('إدخال وسجل المنتجات'!$I$5:$I$590="DRY")*('إدخال وسجل المنتجات'!$M$5:$M$590=170)*(ROW('إدخال وسجل المنتجات'!$I$5:$I$590)-4))</f>
        <v>0</v>
      </c>
      <c r="J172" s="2" t="str">
        <f>IF($I172=0,"",IF($G172="","",$G172*IF(INDEX('إدخال وسجل المنتجات'!$U$5:$U$590,$I172)=0,1,INDEX('إدخال وسجل المنتجات'!$U$5:$U$590,$I172))))</f>
        <v/>
      </c>
    </row>
    <row r="173" spans="1:10" ht="16" x14ac:dyDescent="0.15">
      <c r="A173" s="2" t="str">
        <f>IF($I173=0,"",171)</f>
        <v/>
      </c>
      <c r="B173" s="9" t="str">
        <f>IF($I173=0,"",INDEX('إدخال وسجل المنتجات'!$F$5:$F$590,$I173))</f>
        <v/>
      </c>
      <c r="C173" s="8" t="str">
        <f>IF($I173=0,"",INDEX('إدخال وسجل المنتجات'!$B$5:$B$590,$I173))</f>
        <v/>
      </c>
      <c r="D173" s="10" t="str">
        <f>IF($I173=0,"",INDEX('إدخال وسجل المنتجات'!$C$5:$C$590,$I173))</f>
        <v/>
      </c>
      <c r="E173" s="11" t="str">
        <f>IF($I173=0,"",INDEX('إدخال وسجل المنتجات'!$D$5:$D$590,$I173))</f>
        <v/>
      </c>
      <c r="F173" s="2" t="str">
        <f>IF($I173=0,"",INDEX('إدخال وسجل المنتجات'!$G$5:$G$590,$I173))</f>
        <v/>
      </c>
      <c r="G173" s="12"/>
      <c r="H173" s="13"/>
      <c r="I173">
        <f>SUMPRODUCT(('إدخال وسجل المنتجات'!$I$5:$I$590="DRY")*('إدخال وسجل المنتجات'!$M$5:$M$590=171)*(ROW('إدخال وسجل المنتجات'!$I$5:$I$590)-4))</f>
        <v>0</v>
      </c>
      <c r="J173" s="2" t="str">
        <f>IF($I173=0,"",IF($G173="","",$G173*IF(INDEX('إدخال وسجل المنتجات'!$U$5:$U$590,$I173)=0,1,INDEX('إدخال وسجل المنتجات'!$U$5:$U$590,$I173))))</f>
        <v/>
      </c>
    </row>
    <row r="174" spans="1:10" ht="16" x14ac:dyDescent="0.15">
      <c r="A174" s="2" t="str">
        <f>IF($I174=0,"",172)</f>
        <v/>
      </c>
      <c r="B174" s="9" t="str">
        <f>IF($I174=0,"",INDEX('إدخال وسجل المنتجات'!$F$5:$F$590,$I174))</f>
        <v/>
      </c>
      <c r="C174" s="8" t="str">
        <f>IF($I174=0,"",INDEX('إدخال وسجل المنتجات'!$B$5:$B$590,$I174))</f>
        <v/>
      </c>
      <c r="D174" s="10" t="str">
        <f>IF($I174=0,"",INDEX('إدخال وسجل المنتجات'!$C$5:$C$590,$I174))</f>
        <v/>
      </c>
      <c r="E174" s="11" t="str">
        <f>IF($I174=0,"",INDEX('إدخال وسجل المنتجات'!$D$5:$D$590,$I174))</f>
        <v/>
      </c>
      <c r="F174" s="2" t="str">
        <f>IF($I174=0,"",INDEX('إدخال وسجل المنتجات'!$G$5:$G$590,$I174))</f>
        <v/>
      </c>
      <c r="G174" s="12"/>
      <c r="H174" s="13"/>
      <c r="I174">
        <f>SUMPRODUCT(('إدخال وسجل المنتجات'!$I$5:$I$590="DRY")*('إدخال وسجل المنتجات'!$M$5:$M$590=172)*(ROW('إدخال وسجل المنتجات'!$I$5:$I$590)-4))</f>
        <v>0</v>
      </c>
      <c r="J174" s="2" t="str">
        <f>IF($I174=0,"",IF($G174="","",$G174*IF(INDEX('إدخال وسجل المنتجات'!$U$5:$U$590,$I174)=0,1,INDEX('إدخال وسجل المنتجات'!$U$5:$U$590,$I174))))</f>
        <v/>
      </c>
    </row>
    <row r="175" spans="1:10" ht="16" x14ac:dyDescent="0.15">
      <c r="A175" s="2" t="str">
        <f>IF($I175=0,"",173)</f>
        <v/>
      </c>
      <c r="B175" s="9" t="str">
        <f>IF($I175=0,"",INDEX('إدخال وسجل المنتجات'!$F$5:$F$590,$I175))</f>
        <v/>
      </c>
      <c r="C175" s="8" t="str">
        <f>IF($I175=0,"",INDEX('إدخال وسجل المنتجات'!$B$5:$B$590,$I175))</f>
        <v/>
      </c>
      <c r="D175" s="10" t="str">
        <f>IF($I175=0,"",INDEX('إدخال وسجل المنتجات'!$C$5:$C$590,$I175))</f>
        <v/>
      </c>
      <c r="E175" s="11" t="str">
        <f>IF($I175=0,"",INDEX('إدخال وسجل المنتجات'!$D$5:$D$590,$I175))</f>
        <v/>
      </c>
      <c r="F175" s="2" t="str">
        <f>IF($I175=0,"",INDEX('إدخال وسجل المنتجات'!$G$5:$G$590,$I175))</f>
        <v/>
      </c>
      <c r="G175" s="12"/>
      <c r="H175" s="13"/>
      <c r="I175">
        <f>SUMPRODUCT(('إدخال وسجل المنتجات'!$I$5:$I$590="DRY")*('إدخال وسجل المنتجات'!$M$5:$M$590=173)*(ROW('إدخال وسجل المنتجات'!$I$5:$I$590)-4))</f>
        <v>0</v>
      </c>
      <c r="J175" s="2" t="str">
        <f>IF($I175=0,"",IF($G175="","",$G175*IF(INDEX('إدخال وسجل المنتجات'!$U$5:$U$590,$I175)=0,1,INDEX('إدخال وسجل المنتجات'!$U$5:$U$590,$I175))))</f>
        <v/>
      </c>
    </row>
    <row r="176" spans="1:10" ht="16" x14ac:dyDescent="0.15">
      <c r="A176" s="2" t="str">
        <f>IF($I176=0,"",174)</f>
        <v/>
      </c>
      <c r="B176" s="9" t="str">
        <f>IF($I176=0,"",INDEX('إدخال وسجل المنتجات'!$F$5:$F$590,$I176))</f>
        <v/>
      </c>
      <c r="C176" s="8" t="str">
        <f>IF($I176=0,"",INDEX('إدخال وسجل المنتجات'!$B$5:$B$590,$I176))</f>
        <v/>
      </c>
      <c r="D176" s="10" t="str">
        <f>IF($I176=0,"",INDEX('إدخال وسجل المنتجات'!$C$5:$C$590,$I176))</f>
        <v/>
      </c>
      <c r="E176" s="11" t="str">
        <f>IF($I176=0,"",INDEX('إدخال وسجل المنتجات'!$D$5:$D$590,$I176))</f>
        <v/>
      </c>
      <c r="F176" s="2" t="str">
        <f>IF($I176=0,"",INDEX('إدخال وسجل المنتجات'!$G$5:$G$590,$I176))</f>
        <v/>
      </c>
      <c r="G176" s="12"/>
      <c r="H176" s="13"/>
      <c r="I176">
        <f>SUMPRODUCT(('إدخال وسجل المنتجات'!$I$5:$I$590="DRY")*('إدخال وسجل المنتجات'!$M$5:$M$590=174)*(ROW('إدخال وسجل المنتجات'!$I$5:$I$590)-4))</f>
        <v>0</v>
      </c>
      <c r="J176" s="2" t="str">
        <f>IF($I176=0,"",IF($G176="","",$G176*IF(INDEX('إدخال وسجل المنتجات'!$U$5:$U$590,$I176)=0,1,INDEX('إدخال وسجل المنتجات'!$U$5:$U$590,$I176))))</f>
        <v/>
      </c>
    </row>
    <row r="177" spans="1:10" ht="16" x14ac:dyDescent="0.15">
      <c r="A177" s="2" t="str">
        <f>IF($I177=0,"",175)</f>
        <v/>
      </c>
      <c r="B177" s="9" t="str">
        <f>IF($I177=0,"",INDEX('إدخال وسجل المنتجات'!$F$5:$F$590,$I177))</f>
        <v/>
      </c>
      <c r="C177" s="8" t="str">
        <f>IF($I177=0,"",INDEX('إدخال وسجل المنتجات'!$B$5:$B$590,$I177))</f>
        <v/>
      </c>
      <c r="D177" s="10" t="str">
        <f>IF($I177=0,"",INDEX('إدخال وسجل المنتجات'!$C$5:$C$590,$I177))</f>
        <v/>
      </c>
      <c r="E177" s="11" t="str">
        <f>IF($I177=0,"",INDEX('إدخال وسجل المنتجات'!$D$5:$D$590,$I177))</f>
        <v/>
      </c>
      <c r="F177" s="2" t="str">
        <f>IF($I177=0,"",INDEX('إدخال وسجل المنتجات'!$G$5:$G$590,$I177))</f>
        <v/>
      </c>
      <c r="G177" s="12"/>
      <c r="H177" s="13"/>
      <c r="I177">
        <f>SUMPRODUCT(('إدخال وسجل المنتجات'!$I$5:$I$590="DRY")*('إدخال وسجل المنتجات'!$M$5:$M$590=175)*(ROW('إدخال وسجل المنتجات'!$I$5:$I$590)-4))</f>
        <v>0</v>
      </c>
      <c r="J177" s="2" t="str">
        <f>IF($I177=0,"",IF($G177="","",$G177*IF(INDEX('إدخال وسجل المنتجات'!$U$5:$U$590,$I177)=0,1,INDEX('إدخال وسجل المنتجات'!$U$5:$U$590,$I177))))</f>
        <v/>
      </c>
    </row>
    <row r="178" spans="1:10" ht="16" x14ac:dyDescent="0.15">
      <c r="A178" s="2" t="str">
        <f>IF($I178=0,"",176)</f>
        <v/>
      </c>
      <c r="B178" s="9" t="str">
        <f>IF($I178=0,"",INDEX('إدخال وسجل المنتجات'!$F$5:$F$590,$I178))</f>
        <v/>
      </c>
      <c r="C178" s="8" t="str">
        <f>IF($I178=0,"",INDEX('إدخال وسجل المنتجات'!$B$5:$B$590,$I178))</f>
        <v/>
      </c>
      <c r="D178" s="10" t="str">
        <f>IF($I178=0,"",INDEX('إدخال وسجل المنتجات'!$C$5:$C$590,$I178))</f>
        <v/>
      </c>
      <c r="E178" s="11" t="str">
        <f>IF($I178=0,"",INDEX('إدخال وسجل المنتجات'!$D$5:$D$590,$I178))</f>
        <v/>
      </c>
      <c r="F178" s="2" t="str">
        <f>IF($I178=0,"",INDEX('إدخال وسجل المنتجات'!$G$5:$G$590,$I178))</f>
        <v/>
      </c>
      <c r="G178" s="12"/>
      <c r="H178" s="13"/>
      <c r="I178">
        <f>SUMPRODUCT(('إدخال وسجل المنتجات'!$I$5:$I$590="DRY")*('إدخال وسجل المنتجات'!$M$5:$M$590=176)*(ROW('إدخال وسجل المنتجات'!$I$5:$I$590)-4))</f>
        <v>0</v>
      </c>
      <c r="J178" s="2" t="str">
        <f>IF($I178=0,"",IF($G178="","",$G178*IF(INDEX('إدخال وسجل المنتجات'!$U$5:$U$590,$I178)=0,1,INDEX('إدخال وسجل المنتجات'!$U$5:$U$590,$I178))))</f>
        <v/>
      </c>
    </row>
    <row r="179" spans="1:10" ht="16" x14ac:dyDescent="0.15">
      <c r="A179" s="2" t="str">
        <f>IF($I179=0,"",177)</f>
        <v/>
      </c>
      <c r="B179" s="9" t="str">
        <f>IF($I179=0,"",INDEX('إدخال وسجل المنتجات'!$F$5:$F$590,$I179))</f>
        <v/>
      </c>
      <c r="C179" s="8" t="str">
        <f>IF($I179=0,"",INDEX('إدخال وسجل المنتجات'!$B$5:$B$590,$I179))</f>
        <v/>
      </c>
      <c r="D179" s="10" t="str">
        <f>IF($I179=0,"",INDEX('إدخال وسجل المنتجات'!$C$5:$C$590,$I179))</f>
        <v/>
      </c>
      <c r="E179" s="11" t="str">
        <f>IF($I179=0,"",INDEX('إدخال وسجل المنتجات'!$D$5:$D$590,$I179))</f>
        <v/>
      </c>
      <c r="F179" s="2" t="str">
        <f>IF($I179=0,"",INDEX('إدخال وسجل المنتجات'!$G$5:$G$590,$I179))</f>
        <v/>
      </c>
      <c r="G179" s="12"/>
      <c r="H179" s="13"/>
      <c r="I179">
        <f>SUMPRODUCT(('إدخال وسجل المنتجات'!$I$5:$I$590="DRY")*('إدخال وسجل المنتجات'!$M$5:$M$590=177)*(ROW('إدخال وسجل المنتجات'!$I$5:$I$590)-4))</f>
        <v>0</v>
      </c>
      <c r="J179" s="2" t="str">
        <f>IF($I179=0,"",IF($G179="","",$G179*IF(INDEX('إدخال وسجل المنتجات'!$U$5:$U$590,$I179)=0,1,INDEX('إدخال وسجل المنتجات'!$U$5:$U$590,$I179))))</f>
        <v/>
      </c>
    </row>
    <row r="180" spans="1:10" ht="16" x14ac:dyDescent="0.15">
      <c r="A180" s="2" t="str">
        <f>IF($I180=0,"",178)</f>
        <v/>
      </c>
      <c r="B180" s="9" t="str">
        <f>IF($I180=0,"",INDEX('إدخال وسجل المنتجات'!$F$5:$F$590,$I180))</f>
        <v/>
      </c>
      <c r="C180" s="8" t="str">
        <f>IF($I180=0,"",INDEX('إدخال وسجل المنتجات'!$B$5:$B$590,$I180))</f>
        <v/>
      </c>
      <c r="D180" s="10" t="str">
        <f>IF($I180=0,"",INDEX('إدخال وسجل المنتجات'!$C$5:$C$590,$I180))</f>
        <v/>
      </c>
      <c r="E180" s="11" t="str">
        <f>IF($I180=0,"",INDEX('إدخال وسجل المنتجات'!$D$5:$D$590,$I180))</f>
        <v/>
      </c>
      <c r="F180" s="2" t="str">
        <f>IF($I180=0,"",INDEX('إدخال وسجل المنتجات'!$G$5:$G$590,$I180))</f>
        <v/>
      </c>
      <c r="G180" s="12"/>
      <c r="H180" s="13"/>
      <c r="I180">
        <f>SUMPRODUCT(('إدخال وسجل المنتجات'!$I$5:$I$590="DRY")*('إدخال وسجل المنتجات'!$M$5:$M$590=178)*(ROW('إدخال وسجل المنتجات'!$I$5:$I$590)-4))</f>
        <v>0</v>
      </c>
      <c r="J180" s="2" t="str">
        <f>IF($I180=0,"",IF($G180="","",$G180*IF(INDEX('إدخال وسجل المنتجات'!$U$5:$U$590,$I180)=0,1,INDEX('إدخال وسجل المنتجات'!$U$5:$U$590,$I180))))</f>
        <v/>
      </c>
    </row>
    <row r="181" spans="1:10" ht="16" x14ac:dyDescent="0.15">
      <c r="A181" s="2" t="str">
        <f>IF($I181=0,"",179)</f>
        <v/>
      </c>
      <c r="B181" s="9" t="str">
        <f>IF($I181=0,"",INDEX('إدخال وسجل المنتجات'!$F$5:$F$590,$I181))</f>
        <v/>
      </c>
      <c r="C181" s="8" t="str">
        <f>IF($I181=0,"",INDEX('إدخال وسجل المنتجات'!$B$5:$B$590,$I181))</f>
        <v/>
      </c>
      <c r="D181" s="10" t="str">
        <f>IF($I181=0,"",INDEX('إدخال وسجل المنتجات'!$C$5:$C$590,$I181))</f>
        <v/>
      </c>
      <c r="E181" s="11" t="str">
        <f>IF($I181=0,"",INDEX('إدخال وسجل المنتجات'!$D$5:$D$590,$I181))</f>
        <v/>
      </c>
      <c r="F181" s="2" t="str">
        <f>IF($I181=0,"",INDEX('إدخال وسجل المنتجات'!$G$5:$G$590,$I181))</f>
        <v/>
      </c>
      <c r="G181" s="12"/>
      <c r="H181" s="13"/>
      <c r="I181">
        <f>SUMPRODUCT(('إدخال وسجل المنتجات'!$I$5:$I$590="DRY")*('إدخال وسجل المنتجات'!$M$5:$M$590=179)*(ROW('إدخال وسجل المنتجات'!$I$5:$I$590)-4))</f>
        <v>0</v>
      </c>
      <c r="J181" s="2" t="str">
        <f>IF($I181=0,"",IF($G181="","",$G181*IF(INDEX('إدخال وسجل المنتجات'!$U$5:$U$590,$I181)=0,1,INDEX('إدخال وسجل المنتجات'!$U$5:$U$590,$I181))))</f>
        <v/>
      </c>
    </row>
    <row r="182" spans="1:10" ht="16" x14ac:dyDescent="0.15">
      <c r="A182" s="2" t="str">
        <f>IF($I182=0,"",180)</f>
        <v/>
      </c>
      <c r="B182" s="9" t="str">
        <f>IF($I182=0,"",INDEX('إدخال وسجل المنتجات'!$F$5:$F$590,$I182))</f>
        <v/>
      </c>
      <c r="C182" s="8" t="str">
        <f>IF($I182=0,"",INDEX('إدخال وسجل المنتجات'!$B$5:$B$590,$I182))</f>
        <v/>
      </c>
      <c r="D182" s="10" t="str">
        <f>IF($I182=0,"",INDEX('إدخال وسجل المنتجات'!$C$5:$C$590,$I182))</f>
        <v/>
      </c>
      <c r="E182" s="11" t="str">
        <f>IF($I182=0,"",INDEX('إدخال وسجل المنتجات'!$D$5:$D$590,$I182))</f>
        <v/>
      </c>
      <c r="F182" s="2" t="str">
        <f>IF($I182=0,"",INDEX('إدخال وسجل المنتجات'!$G$5:$G$590,$I182))</f>
        <v/>
      </c>
      <c r="G182" s="12"/>
      <c r="H182" s="13"/>
      <c r="I182">
        <f>SUMPRODUCT(('إدخال وسجل المنتجات'!$I$5:$I$590="DRY")*('إدخال وسجل المنتجات'!$M$5:$M$590=180)*(ROW('إدخال وسجل المنتجات'!$I$5:$I$590)-4))</f>
        <v>0</v>
      </c>
      <c r="J182" s="2" t="str">
        <f>IF($I182=0,"",IF($G182="","",$G182*IF(INDEX('إدخال وسجل المنتجات'!$U$5:$U$590,$I182)=0,1,INDEX('إدخال وسجل المنتجات'!$U$5:$U$590,$I182))))</f>
        <v/>
      </c>
    </row>
    <row r="183" spans="1:10" ht="16" x14ac:dyDescent="0.15">
      <c r="A183" s="2" t="str">
        <f>IF($I183=0,"",181)</f>
        <v/>
      </c>
      <c r="B183" s="9" t="str">
        <f>IF($I183=0,"",INDEX('إدخال وسجل المنتجات'!$F$5:$F$590,$I183))</f>
        <v/>
      </c>
      <c r="C183" s="8" t="str">
        <f>IF($I183=0,"",INDEX('إدخال وسجل المنتجات'!$B$5:$B$590,$I183))</f>
        <v/>
      </c>
      <c r="D183" s="10" t="str">
        <f>IF($I183=0,"",INDEX('إدخال وسجل المنتجات'!$C$5:$C$590,$I183))</f>
        <v/>
      </c>
      <c r="E183" s="11" t="str">
        <f>IF($I183=0,"",INDEX('إدخال وسجل المنتجات'!$D$5:$D$590,$I183))</f>
        <v/>
      </c>
      <c r="F183" s="2" t="str">
        <f>IF($I183=0,"",INDEX('إدخال وسجل المنتجات'!$G$5:$G$590,$I183))</f>
        <v/>
      </c>
      <c r="G183" s="12"/>
      <c r="H183" s="13"/>
      <c r="I183">
        <f>SUMPRODUCT(('إدخال وسجل المنتجات'!$I$5:$I$590="DRY")*('إدخال وسجل المنتجات'!$M$5:$M$590=181)*(ROW('إدخال وسجل المنتجات'!$I$5:$I$590)-4))</f>
        <v>0</v>
      </c>
      <c r="J183" s="2" t="str">
        <f>IF($I183=0,"",IF($G183="","",$G183*IF(INDEX('إدخال وسجل المنتجات'!$U$5:$U$590,$I183)=0,1,INDEX('إدخال وسجل المنتجات'!$U$5:$U$590,$I183))))</f>
        <v/>
      </c>
    </row>
    <row r="184" spans="1:10" ht="16" x14ac:dyDescent="0.15">
      <c r="A184" s="2" t="str">
        <f>IF($I184=0,"",182)</f>
        <v/>
      </c>
      <c r="B184" s="9" t="str">
        <f>IF($I184=0,"",INDEX('إدخال وسجل المنتجات'!$F$5:$F$590,$I184))</f>
        <v/>
      </c>
      <c r="C184" s="8" t="str">
        <f>IF($I184=0,"",INDEX('إدخال وسجل المنتجات'!$B$5:$B$590,$I184))</f>
        <v/>
      </c>
      <c r="D184" s="10" t="str">
        <f>IF($I184=0,"",INDEX('إدخال وسجل المنتجات'!$C$5:$C$590,$I184))</f>
        <v/>
      </c>
      <c r="E184" s="11" t="str">
        <f>IF($I184=0,"",INDEX('إدخال وسجل المنتجات'!$D$5:$D$590,$I184))</f>
        <v/>
      </c>
      <c r="F184" s="2" t="str">
        <f>IF($I184=0,"",INDEX('إدخال وسجل المنتجات'!$G$5:$G$590,$I184))</f>
        <v/>
      </c>
      <c r="G184" s="12"/>
      <c r="H184" s="13"/>
      <c r="I184">
        <f>SUMPRODUCT(('إدخال وسجل المنتجات'!$I$5:$I$590="DRY")*('إدخال وسجل المنتجات'!$M$5:$M$590=182)*(ROW('إدخال وسجل المنتجات'!$I$5:$I$590)-4))</f>
        <v>0</v>
      </c>
      <c r="J184" s="2" t="str">
        <f>IF($I184=0,"",IF($G184="","",$G184*IF(INDEX('إدخال وسجل المنتجات'!$U$5:$U$590,$I184)=0,1,INDEX('إدخال وسجل المنتجات'!$U$5:$U$590,$I184))))</f>
        <v/>
      </c>
    </row>
    <row r="185" spans="1:10" ht="16" x14ac:dyDescent="0.15">
      <c r="A185" s="2" t="str">
        <f>IF($I185=0,"",183)</f>
        <v/>
      </c>
      <c r="B185" s="9" t="str">
        <f>IF($I185=0,"",INDEX('إدخال وسجل المنتجات'!$F$5:$F$590,$I185))</f>
        <v/>
      </c>
      <c r="C185" s="8" t="str">
        <f>IF($I185=0,"",INDEX('إدخال وسجل المنتجات'!$B$5:$B$590,$I185))</f>
        <v/>
      </c>
      <c r="D185" s="10" t="str">
        <f>IF($I185=0,"",INDEX('إدخال وسجل المنتجات'!$C$5:$C$590,$I185))</f>
        <v/>
      </c>
      <c r="E185" s="11" t="str">
        <f>IF($I185=0,"",INDEX('إدخال وسجل المنتجات'!$D$5:$D$590,$I185))</f>
        <v/>
      </c>
      <c r="F185" s="2" t="str">
        <f>IF($I185=0,"",INDEX('إدخال وسجل المنتجات'!$G$5:$G$590,$I185))</f>
        <v/>
      </c>
      <c r="G185" s="12"/>
      <c r="H185" s="13"/>
      <c r="I185">
        <f>SUMPRODUCT(('إدخال وسجل المنتجات'!$I$5:$I$590="DRY")*('إدخال وسجل المنتجات'!$M$5:$M$590=183)*(ROW('إدخال وسجل المنتجات'!$I$5:$I$590)-4))</f>
        <v>0</v>
      </c>
      <c r="J185" s="2" t="str">
        <f>IF($I185=0,"",IF($G185="","",$G185*IF(INDEX('إدخال وسجل المنتجات'!$U$5:$U$590,$I185)=0,1,INDEX('إدخال وسجل المنتجات'!$U$5:$U$590,$I185))))</f>
        <v/>
      </c>
    </row>
    <row r="186" spans="1:10" ht="16" x14ac:dyDescent="0.15">
      <c r="A186" s="2" t="str">
        <f>IF($I186=0,"",184)</f>
        <v/>
      </c>
      <c r="B186" s="9" t="str">
        <f>IF($I186=0,"",INDEX('إدخال وسجل المنتجات'!$F$5:$F$590,$I186))</f>
        <v/>
      </c>
      <c r="C186" s="8" t="str">
        <f>IF($I186=0,"",INDEX('إدخال وسجل المنتجات'!$B$5:$B$590,$I186))</f>
        <v/>
      </c>
      <c r="D186" s="10" t="str">
        <f>IF($I186=0,"",INDEX('إدخال وسجل المنتجات'!$C$5:$C$590,$I186))</f>
        <v/>
      </c>
      <c r="E186" s="11" t="str">
        <f>IF($I186=0,"",INDEX('إدخال وسجل المنتجات'!$D$5:$D$590,$I186))</f>
        <v/>
      </c>
      <c r="F186" s="2" t="str">
        <f>IF($I186=0,"",INDEX('إدخال وسجل المنتجات'!$G$5:$G$590,$I186))</f>
        <v/>
      </c>
      <c r="G186" s="12"/>
      <c r="H186" s="13"/>
      <c r="I186">
        <f>SUMPRODUCT(('إدخال وسجل المنتجات'!$I$5:$I$590="DRY")*('إدخال وسجل المنتجات'!$M$5:$M$590=184)*(ROW('إدخال وسجل المنتجات'!$I$5:$I$590)-4))</f>
        <v>0</v>
      </c>
      <c r="J186" s="2" t="str">
        <f>IF($I186=0,"",IF($G186="","",$G186*IF(INDEX('إدخال وسجل المنتجات'!$U$5:$U$590,$I186)=0,1,INDEX('إدخال وسجل المنتجات'!$U$5:$U$590,$I186))))</f>
        <v/>
      </c>
    </row>
    <row r="187" spans="1:10" ht="16" x14ac:dyDescent="0.15">
      <c r="A187" s="2" t="str">
        <f>IF($I187=0,"",185)</f>
        <v/>
      </c>
      <c r="B187" s="9" t="str">
        <f>IF($I187=0,"",INDEX('إدخال وسجل المنتجات'!$F$5:$F$590,$I187))</f>
        <v/>
      </c>
      <c r="C187" s="8" t="str">
        <f>IF($I187=0,"",INDEX('إدخال وسجل المنتجات'!$B$5:$B$590,$I187))</f>
        <v/>
      </c>
      <c r="D187" s="10" t="str">
        <f>IF($I187=0,"",INDEX('إدخال وسجل المنتجات'!$C$5:$C$590,$I187))</f>
        <v/>
      </c>
      <c r="E187" s="11" t="str">
        <f>IF($I187=0,"",INDEX('إدخال وسجل المنتجات'!$D$5:$D$590,$I187))</f>
        <v/>
      </c>
      <c r="F187" s="2" t="str">
        <f>IF($I187=0,"",INDEX('إدخال وسجل المنتجات'!$G$5:$G$590,$I187))</f>
        <v/>
      </c>
      <c r="G187" s="12"/>
      <c r="H187" s="13"/>
      <c r="I187">
        <f>SUMPRODUCT(('إدخال وسجل المنتجات'!$I$5:$I$590="DRY")*('إدخال وسجل المنتجات'!$M$5:$M$590=185)*(ROW('إدخال وسجل المنتجات'!$I$5:$I$590)-4))</f>
        <v>0</v>
      </c>
      <c r="J187" s="2" t="str">
        <f>IF($I187=0,"",IF($G187="","",$G187*IF(INDEX('إدخال وسجل المنتجات'!$U$5:$U$590,$I187)=0,1,INDEX('إدخال وسجل المنتجات'!$U$5:$U$590,$I187))))</f>
        <v/>
      </c>
    </row>
    <row r="188" spans="1:10" ht="16" x14ac:dyDescent="0.15">
      <c r="A188" s="2" t="str">
        <f>IF($I188=0,"",186)</f>
        <v/>
      </c>
      <c r="B188" s="9" t="str">
        <f>IF($I188=0,"",INDEX('إدخال وسجل المنتجات'!$F$5:$F$590,$I188))</f>
        <v/>
      </c>
      <c r="C188" s="8" t="str">
        <f>IF($I188=0,"",INDEX('إدخال وسجل المنتجات'!$B$5:$B$590,$I188))</f>
        <v/>
      </c>
      <c r="D188" s="10" t="str">
        <f>IF($I188=0,"",INDEX('إدخال وسجل المنتجات'!$C$5:$C$590,$I188))</f>
        <v/>
      </c>
      <c r="E188" s="11" t="str">
        <f>IF($I188=0,"",INDEX('إدخال وسجل المنتجات'!$D$5:$D$590,$I188))</f>
        <v/>
      </c>
      <c r="F188" s="2" t="str">
        <f>IF($I188=0,"",INDEX('إدخال وسجل المنتجات'!$G$5:$G$590,$I188))</f>
        <v/>
      </c>
      <c r="G188" s="12"/>
      <c r="H188" s="13"/>
      <c r="I188">
        <f>SUMPRODUCT(('إدخال وسجل المنتجات'!$I$5:$I$590="DRY")*('إدخال وسجل المنتجات'!$M$5:$M$590=186)*(ROW('إدخال وسجل المنتجات'!$I$5:$I$590)-4))</f>
        <v>0</v>
      </c>
      <c r="J188" s="2" t="str">
        <f>IF($I188=0,"",IF($G188="","",$G188*IF(INDEX('إدخال وسجل المنتجات'!$U$5:$U$590,$I188)=0,1,INDEX('إدخال وسجل المنتجات'!$U$5:$U$590,$I188))))</f>
        <v/>
      </c>
    </row>
    <row r="189" spans="1:10" ht="16" x14ac:dyDescent="0.15">
      <c r="A189" s="2" t="str">
        <f>IF($I189=0,"",187)</f>
        <v/>
      </c>
      <c r="B189" s="9" t="str">
        <f>IF($I189=0,"",INDEX('إدخال وسجل المنتجات'!$F$5:$F$590,$I189))</f>
        <v/>
      </c>
      <c r="C189" s="8" t="str">
        <f>IF($I189=0,"",INDEX('إدخال وسجل المنتجات'!$B$5:$B$590,$I189))</f>
        <v/>
      </c>
      <c r="D189" s="10" t="str">
        <f>IF($I189=0,"",INDEX('إدخال وسجل المنتجات'!$C$5:$C$590,$I189))</f>
        <v/>
      </c>
      <c r="E189" s="11" t="str">
        <f>IF($I189=0,"",INDEX('إدخال وسجل المنتجات'!$D$5:$D$590,$I189))</f>
        <v/>
      </c>
      <c r="F189" s="2" t="str">
        <f>IF($I189=0,"",INDEX('إدخال وسجل المنتجات'!$G$5:$G$590,$I189))</f>
        <v/>
      </c>
      <c r="G189" s="12"/>
      <c r="H189" s="13"/>
      <c r="I189">
        <f>SUMPRODUCT(('إدخال وسجل المنتجات'!$I$5:$I$590="DRY")*('إدخال وسجل المنتجات'!$M$5:$M$590=187)*(ROW('إدخال وسجل المنتجات'!$I$5:$I$590)-4))</f>
        <v>0</v>
      </c>
      <c r="J189" s="2" t="str">
        <f>IF($I189=0,"",IF($G189="","",$G189*IF(INDEX('إدخال وسجل المنتجات'!$U$5:$U$590,$I189)=0,1,INDEX('إدخال وسجل المنتجات'!$U$5:$U$590,$I189))))</f>
        <v/>
      </c>
    </row>
    <row r="190" spans="1:10" ht="16" x14ac:dyDescent="0.15">
      <c r="A190" s="2" t="str">
        <f>IF($I190=0,"",188)</f>
        <v/>
      </c>
      <c r="B190" s="9" t="str">
        <f>IF($I190=0,"",INDEX('إدخال وسجل المنتجات'!$F$5:$F$590,$I190))</f>
        <v/>
      </c>
      <c r="C190" s="8" t="str">
        <f>IF($I190=0,"",INDEX('إدخال وسجل المنتجات'!$B$5:$B$590,$I190))</f>
        <v/>
      </c>
      <c r="D190" s="10" t="str">
        <f>IF($I190=0,"",INDEX('إدخال وسجل المنتجات'!$C$5:$C$590,$I190))</f>
        <v/>
      </c>
      <c r="E190" s="11" t="str">
        <f>IF($I190=0,"",INDEX('إدخال وسجل المنتجات'!$D$5:$D$590,$I190))</f>
        <v/>
      </c>
      <c r="F190" s="2" t="str">
        <f>IF($I190=0,"",INDEX('إدخال وسجل المنتجات'!$G$5:$G$590,$I190))</f>
        <v/>
      </c>
      <c r="G190" s="12"/>
      <c r="H190" s="13"/>
      <c r="I190">
        <f>SUMPRODUCT(('إدخال وسجل المنتجات'!$I$5:$I$590="DRY")*('إدخال وسجل المنتجات'!$M$5:$M$590=188)*(ROW('إدخال وسجل المنتجات'!$I$5:$I$590)-4))</f>
        <v>0</v>
      </c>
      <c r="J190" s="2" t="str">
        <f>IF($I190=0,"",IF($G190="","",$G190*IF(INDEX('إدخال وسجل المنتجات'!$U$5:$U$590,$I190)=0,1,INDEX('إدخال وسجل المنتجات'!$U$5:$U$590,$I190))))</f>
        <v/>
      </c>
    </row>
    <row r="191" spans="1:10" ht="16" x14ac:dyDescent="0.15">
      <c r="A191" s="2" t="str">
        <f>IF($I191=0,"",189)</f>
        <v/>
      </c>
      <c r="B191" s="9" t="str">
        <f>IF($I191=0,"",INDEX('إدخال وسجل المنتجات'!$F$5:$F$590,$I191))</f>
        <v/>
      </c>
      <c r="C191" s="8" t="str">
        <f>IF($I191=0,"",INDEX('إدخال وسجل المنتجات'!$B$5:$B$590,$I191))</f>
        <v/>
      </c>
      <c r="D191" s="10" t="str">
        <f>IF($I191=0,"",INDEX('إدخال وسجل المنتجات'!$C$5:$C$590,$I191))</f>
        <v/>
      </c>
      <c r="E191" s="11" t="str">
        <f>IF($I191=0,"",INDEX('إدخال وسجل المنتجات'!$D$5:$D$590,$I191))</f>
        <v/>
      </c>
      <c r="F191" s="2" t="str">
        <f>IF($I191=0,"",INDEX('إدخال وسجل المنتجات'!$G$5:$G$590,$I191))</f>
        <v/>
      </c>
      <c r="G191" s="12"/>
      <c r="H191" s="13"/>
      <c r="I191">
        <f>SUMPRODUCT(('إدخال وسجل المنتجات'!$I$5:$I$590="DRY")*('إدخال وسجل المنتجات'!$M$5:$M$590=189)*(ROW('إدخال وسجل المنتجات'!$I$5:$I$590)-4))</f>
        <v>0</v>
      </c>
      <c r="J191" s="2" t="str">
        <f>IF($I191=0,"",IF($G191="","",$G191*IF(INDEX('إدخال وسجل المنتجات'!$U$5:$U$590,$I191)=0,1,INDEX('إدخال وسجل المنتجات'!$U$5:$U$590,$I191))))</f>
        <v/>
      </c>
    </row>
    <row r="192" spans="1:10" ht="16" x14ac:dyDescent="0.15">
      <c r="A192" s="2" t="str">
        <f>IF($I192=0,"",190)</f>
        <v/>
      </c>
      <c r="B192" s="9" t="str">
        <f>IF($I192=0,"",INDEX('إدخال وسجل المنتجات'!$F$5:$F$590,$I192))</f>
        <v/>
      </c>
      <c r="C192" s="8" t="str">
        <f>IF($I192=0,"",INDEX('إدخال وسجل المنتجات'!$B$5:$B$590,$I192))</f>
        <v/>
      </c>
      <c r="D192" s="10" t="str">
        <f>IF($I192=0,"",INDEX('إدخال وسجل المنتجات'!$C$5:$C$590,$I192))</f>
        <v/>
      </c>
      <c r="E192" s="11" t="str">
        <f>IF($I192=0,"",INDEX('إدخال وسجل المنتجات'!$D$5:$D$590,$I192))</f>
        <v/>
      </c>
      <c r="F192" s="2" t="str">
        <f>IF($I192=0,"",INDEX('إدخال وسجل المنتجات'!$G$5:$G$590,$I192))</f>
        <v/>
      </c>
      <c r="G192" s="12"/>
      <c r="H192" s="13"/>
      <c r="I192">
        <f>SUMPRODUCT(('إدخال وسجل المنتجات'!$I$5:$I$590="DRY")*('إدخال وسجل المنتجات'!$M$5:$M$590=190)*(ROW('إدخال وسجل المنتجات'!$I$5:$I$590)-4))</f>
        <v>0</v>
      </c>
      <c r="J192" s="2" t="str">
        <f>IF($I192=0,"",IF($G192="","",$G192*IF(INDEX('إدخال وسجل المنتجات'!$U$5:$U$590,$I192)=0,1,INDEX('إدخال وسجل المنتجات'!$U$5:$U$590,$I192))))</f>
        <v/>
      </c>
    </row>
    <row r="193" spans="1:10" ht="16" x14ac:dyDescent="0.15">
      <c r="A193" s="2" t="str">
        <f>IF($I193=0,"",191)</f>
        <v/>
      </c>
      <c r="B193" s="9" t="str">
        <f>IF($I193=0,"",INDEX('إدخال وسجل المنتجات'!$F$5:$F$590,$I193))</f>
        <v/>
      </c>
      <c r="C193" s="8" t="str">
        <f>IF($I193=0,"",INDEX('إدخال وسجل المنتجات'!$B$5:$B$590,$I193))</f>
        <v/>
      </c>
      <c r="D193" s="10" t="str">
        <f>IF($I193=0,"",INDEX('إدخال وسجل المنتجات'!$C$5:$C$590,$I193))</f>
        <v/>
      </c>
      <c r="E193" s="11" t="str">
        <f>IF($I193=0,"",INDEX('إدخال وسجل المنتجات'!$D$5:$D$590,$I193))</f>
        <v/>
      </c>
      <c r="F193" s="2" t="str">
        <f>IF($I193=0,"",INDEX('إدخال وسجل المنتجات'!$G$5:$G$590,$I193))</f>
        <v/>
      </c>
      <c r="G193" s="12"/>
      <c r="H193" s="13"/>
      <c r="I193">
        <f>SUMPRODUCT(('إدخال وسجل المنتجات'!$I$5:$I$590="DRY")*('إدخال وسجل المنتجات'!$M$5:$M$590=191)*(ROW('إدخال وسجل المنتجات'!$I$5:$I$590)-4))</f>
        <v>0</v>
      </c>
      <c r="J193" s="2" t="str">
        <f>IF($I193=0,"",IF($G193="","",$G193*IF(INDEX('إدخال وسجل المنتجات'!$U$5:$U$590,$I193)=0,1,INDEX('إدخال وسجل المنتجات'!$U$5:$U$590,$I193))))</f>
        <v/>
      </c>
    </row>
    <row r="194" spans="1:10" ht="16" x14ac:dyDescent="0.15">
      <c r="A194" s="2" t="str">
        <f>IF($I194=0,"",192)</f>
        <v/>
      </c>
      <c r="B194" s="9" t="str">
        <f>IF($I194=0,"",INDEX('إدخال وسجل المنتجات'!$F$5:$F$590,$I194))</f>
        <v/>
      </c>
      <c r="C194" s="8" t="str">
        <f>IF($I194=0,"",INDEX('إدخال وسجل المنتجات'!$B$5:$B$590,$I194))</f>
        <v/>
      </c>
      <c r="D194" s="10" t="str">
        <f>IF($I194=0,"",INDEX('إدخال وسجل المنتجات'!$C$5:$C$590,$I194))</f>
        <v/>
      </c>
      <c r="E194" s="11" t="str">
        <f>IF($I194=0,"",INDEX('إدخال وسجل المنتجات'!$D$5:$D$590,$I194))</f>
        <v/>
      </c>
      <c r="F194" s="2" t="str">
        <f>IF($I194=0,"",INDEX('إدخال وسجل المنتجات'!$G$5:$G$590,$I194))</f>
        <v/>
      </c>
      <c r="G194" s="12"/>
      <c r="H194" s="13"/>
      <c r="I194">
        <f>SUMPRODUCT(('إدخال وسجل المنتجات'!$I$5:$I$590="DRY")*('إدخال وسجل المنتجات'!$M$5:$M$590=192)*(ROW('إدخال وسجل المنتجات'!$I$5:$I$590)-4))</f>
        <v>0</v>
      </c>
      <c r="J194" s="2" t="str">
        <f>IF($I194=0,"",IF($G194="","",$G194*IF(INDEX('إدخال وسجل المنتجات'!$U$5:$U$590,$I194)=0,1,INDEX('إدخال وسجل المنتجات'!$U$5:$U$590,$I194))))</f>
        <v/>
      </c>
    </row>
    <row r="195" spans="1:10" ht="16" x14ac:dyDescent="0.15">
      <c r="A195" s="2" t="str">
        <f>IF($I195=0,"",193)</f>
        <v/>
      </c>
      <c r="B195" s="9" t="str">
        <f>IF($I195=0,"",INDEX('إدخال وسجل المنتجات'!$F$5:$F$590,$I195))</f>
        <v/>
      </c>
      <c r="C195" s="8" t="str">
        <f>IF($I195=0,"",INDEX('إدخال وسجل المنتجات'!$B$5:$B$590,$I195))</f>
        <v/>
      </c>
      <c r="D195" s="10" t="str">
        <f>IF($I195=0,"",INDEX('إدخال وسجل المنتجات'!$C$5:$C$590,$I195))</f>
        <v/>
      </c>
      <c r="E195" s="11" t="str">
        <f>IF($I195=0,"",INDEX('إدخال وسجل المنتجات'!$D$5:$D$590,$I195))</f>
        <v/>
      </c>
      <c r="F195" s="2" t="str">
        <f>IF($I195=0,"",INDEX('إدخال وسجل المنتجات'!$G$5:$G$590,$I195))</f>
        <v/>
      </c>
      <c r="G195" s="12"/>
      <c r="H195" s="13"/>
      <c r="I195">
        <f>SUMPRODUCT(('إدخال وسجل المنتجات'!$I$5:$I$590="DRY")*('إدخال وسجل المنتجات'!$M$5:$M$590=193)*(ROW('إدخال وسجل المنتجات'!$I$5:$I$590)-4))</f>
        <v>0</v>
      </c>
      <c r="J195" s="2" t="str">
        <f>IF($I195=0,"",IF($G195="","",$G195*IF(INDEX('إدخال وسجل المنتجات'!$U$5:$U$590,$I195)=0,1,INDEX('إدخال وسجل المنتجات'!$U$5:$U$590,$I195))))</f>
        <v/>
      </c>
    </row>
    <row r="196" spans="1:10" ht="16" x14ac:dyDescent="0.15">
      <c r="A196" s="2" t="str">
        <f>IF($I196=0,"",194)</f>
        <v/>
      </c>
      <c r="B196" s="9" t="str">
        <f>IF($I196=0,"",INDEX('إدخال وسجل المنتجات'!$F$5:$F$590,$I196))</f>
        <v/>
      </c>
      <c r="C196" s="8" t="str">
        <f>IF($I196=0,"",INDEX('إدخال وسجل المنتجات'!$B$5:$B$590,$I196))</f>
        <v/>
      </c>
      <c r="D196" s="10" t="str">
        <f>IF($I196=0,"",INDEX('إدخال وسجل المنتجات'!$C$5:$C$590,$I196))</f>
        <v/>
      </c>
      <c r="E196" s="11" t="str">
        <f>IF($I196=0,"",INDEX('إدخال وسجل المنتجات'!$D$5:$D$590,$I196))</f>
        <v/>
      </c>
      <c r="F196" s="2" t="str">
        <f>IF($I196=0,"",INDEX('إدخال وسجل المنتجات'!$G$5:$G$590,$I196))</f>
        <v/>
      </c>
      <c r="G196" s="12"/>
      <c r="H196" s="13"/>
      <c r="I196">
        <f>SUMPRODUCT(('إدخال وسجل المنتجات'!$I$5:$I$590="DRY")*('إدخال وسجل المنتجات'!$M$5:$M$590=194)*(ROW('إدخال وسجل المنتجات'!$I$5:$I$590)-4))</f>
        <v>0</v>
      </c>
      <c r="J196" s="2" t="str">
        <f>IF($I196=0,"",IF($G196="","",$G196*IF(INDEX('إدخال وسجل المنتجات'!$U$5:$U$590,$I196)=0,1,INDEX('إدخال وسجل المنتجات'!$U$5:$U$590,$I196))))</f>
        <v/>
      </c>
    </row>
    <row r="197" spans="1:10" ht="16" x14ac:dyDescent="0.15">
      <c r="A197" s="2" t="str">
        <f>IF($I197=0,"",195)</f>
        <v/>
      </c>
      <c r="B197" s="9" t="str">
        <f>IF($I197=0,"",INDEX('إدخال وسجل المنتجات'!$F$5:$F$590,$I197))</f>
        <v/>
      </c>
      <c r="C197" s="8" t="str">
        <f>IF($I197=0,"",INDEX('إدخال وسجل المنتجات'!$B$5:$B$590,$I197))</f>
        <v/>
      </c>
      <c r="D197" s="10" t="str">
        <f>IF($I197=0,"",INDEX('إدخال وسجل المنتجات'!$C$5:$C$590,$I197))</f>
        <v/>
      </c>
      <c r="E197" s="11" t="str">
        <f>IF($I197=0,"",INDEX('إدخال وسجل المنتجات'!$D$5:$D$590,$I197))</f>
        <v/>
      </c>
      <c r="F197" s="2" t="str">
        <f>IF($I197=0,"",INDEX('إدخال وسجل المنتجات'!$G$5:$G$590,$I197))</f>
        <v/>
      </c>
      <c r="G197" s="12"/>
      <c r="H197" s="13"/>
      <c r="I197">
        <f>SUMPRODUCT(('إدخال وسجل المنتجات'!$I$5:$I$590="DRY")*('إدخال وسجل المنتجات'!$M$5:$M$590=195)*(ROW('إدخال وسجل المنتجات'!$I$5:$I$590)-4))</f>
        <v>0</v>
      </c>
      <c r="J197" s="2" t="str">
        <f>IF($I197=0,"",IF($G197="","",$G197*IF(INDEX('إدخال وسجل المنتجات'!$U$5:$U$590,$I197)=0,1,INDEX('إدخال وسجل المنتجات'!$U$5:$U$590,$I197))))</f>
        <v/>
      </c>
    </row>
    <row r="198" spans="1:10" ht="16" x14ac:dyDescent="0.15">
      <c r="A198" s="2" t="str">
        <f>IF($I198=0,"",196)</f>
        <v/>
      </c>
      <c r="B198" s="9" t="str">
        <f>IF($I198=0,"",INDEX('إدخال وسجل المنتجات'!$F$5:$F$590,$I198))</f>
        <v/>
      </c>
      <c r="C198" s="8" t="str">
        <f>IF($I198=0,"",INDEX('إدخال وسجل المنتجات'!$B$5:$B$590,$I198))</f>
        <v/>
      </c>
      <c r="D198" s="10" t="str">
        <f>IF($I198=0,"",INDEX('إدخال وسجل المنتجات'!$C$5:$C$590,$I198))</f>
        <v/>
      </c>
      <c r="E198" s="11" t="str">
        <f>IF($I198=0,"",INDEX('إدخال وسجل المنتجات'!$D$5:$D$590,$I198))</f>
        <v/>
      </c>
      <c r="F198" s="2" t="str">
        <f>IF($I198=0,"",INDEX('إدخال وسجل المنتجات'!$G$5:$G$590,$I198))</f>
        <v/>
      </c>
      <c r="G198" s="12"/>
      <c r="H198" s="13"/>
      <c r="I198">
        <f>SUMPRODUCT(('إدخال وسجل المنتجات'!$I$5:$I$590="DRY")*('إدخال وسجل المنتجات'!$M$5:$M$590=196)*(ROW('إدخال وسجل المنتجات'!$I$5:$I$590)-4))</f>
        <v>0</v>
      </c>
      <c r="J198" s="2" t="str">
        <f>IF($I198=0,"",IF($G198="","",$G198*IF(INDEX('إدخال وسجل المنتجات'!$U$5:$U$590,$I198)=0,1,INDEX('إدخال وسجل المنتجات'!$U$5:$U$590,$I198))))</f>
        <v/>
      </c>
    </row>
    <row r="199" spans="1:10" ht="16" x14ac:dyDescent="0.15">
      <c r="A199" s="2" t="str">
        <f>IF($I199=0,"",197)</f>
        <v/>
      </c>
      <c r="B199" s="9" t="str">
        <f>IF($I199=0,"",INDEX('إدخال وسجل المنتجات'!$F$5:$F$590,$I199))</f>
        <v/>
      </c>
      <c r="C199" s="8" t="str">
        <f>IF($I199=0,"",INDEX('إدخال وسجل المنتجات'!$B$5:$B$590,$I199))</f>
        <v/>
      </c>
      <c r="D199" s="10" t="str">
        <f>IF($I199=0,"",INDEX('إدخال وسجل المنتجات'!$C$5:$C$590,$I199))</f>
        <v/>
      </c>
      <c r="E199" s="11" t="str">
        <f>IF($I199=0,"",INDEX('إدخال وسجل المنتجات'!$D$5:$D$590,$I199))</f>
        <v/>
      </c>
      <c r="F199" s="2" t="str">
        <f>IF($I199=0,"",INDEX('إدخال وسجل المنتجات'!$G$5:$G$590,$I199))</f>
        <v/>
      </c>
      <c r="G199" s="12"/>
      <c r="H199" s="13"/>
      <c r="I199">
        <f>SUMPRODUCT(('إدخال وسجل المنتجات'!$I$5:$I$590="DRY")*('إدخال وسجل المنتجات'!$M$5:$M$590=197)*(ROW('إدخال وسجل المنتجات'!$I$5:$I$590)-4))</f>
        <v>0</v>
      </c>
      <c r="J199" s="2" t="str">
        <f>IF($I199=0,"",IF($G199="","",$G199*IF(INDEX('إدخال وسجل المنتجات'!$U$5:$U$590,$I199)=0,1,INDEX('إدخال وسجل المنتجات'!$U$5:$U$590,$I199))))</f>
        <v/>
      </c>
    </row>
    <row r="200" spans="1:10" ht="16" x14ac:dyDescent="0.15">
      <c r="A200" s="2" t="str">
        <f>IF($I200=0,"",198)</f>
        <v/>
      </c>
      <c r="B200" s="9" t="str">
        <f>IF($I200=0,"",INDEX('إدخال وسجل المنتجات'!$F$5:$F$590,$I200))</f>
        <v/>
      </c>
      <c r="C200" s="8" t="str">
        <f>IF($I200=0,"",INDEX('إدخال وسجل المنتجات'!$B$5:$B$590,$I200))</f>
        <v/>
      </c>
      <c r="D200" s="10" t="str">
        <f>IF($I200=0,"",INDEX('إدخال وسجل المنتجات'!$C$5:$C$590,$I200))</f>
        <v/>
      </c>
      <c r="E200" s="11" t="str">
        <f>IF($I200=0,"",INDEX('إدخال وسجل المنتجات'!$D$5:$D$590,$I200))</f>
        <v/>
      </c>
      <c r="F200" s="2" t="str">
        <f>IF($I200=0,"",INDEX('إدخال وسجل المنتجات'!$G$5:$G$590,$I200))</f>
        <v/>
      </c>
      <c r="G200" s="12"/>
      <c r="H200" s="13"/>
      <c r="I200">
        <f>SUMPRODUCT(('إدخال وسجل المنتجات'!$I$5:$I$590="DRY")*('إدخال وسجل المنتجات'!$M$5:$M$590=198)*(ROW('إدخال وسجل المنتجات'!$I$5:$I$590)-4))</f>
        <v>0</v>
      </c>
      <c r="J200" s="2" t="str">
        <f>IF($I200=0,"",IF($G200="","",$G200*IF(INDEX('إدخال وسجل المنتجات'!$U$5:$U$590,$I200)=0,1,INDEX('إدخال وسجل المنتجات'!$U$5:$U$590,$I200))))</f>
        <v/>
      </c>
    </row>
    <row r="201" spans="1:10" ht="16" x14ac:dyDescent="0.15">
      <c r="A201" s="2" t="str">
        <f>IF($I201=0,"",199)</f>
        <v/>
      </c>
      <c r="B201" s="9" t="str">
        <f>IF($I201=0,"",INDEX('إدخال وسجل المنتجات'!$F$5:$F$590,$I201))</f>
        <v/>
      </c>
      <c r="C201" s="8" t="str">
        <f>IF($I201=0,"",INDEX('إدخال وسجل المنتجات'!$B$5:$B$590,$I201))</f>
        <v/>
      </c>
      <c r="D201" s="10" t="str">
        <f>IF($I201=0,"",INDEX('إدخال وسجل المنتجات'!$C$5:$C$590,$I201))</f>
        <v/>
      </c>
      <c r="E201" s="11" t="str">
        <f>IF($I201=0,"",INDEX('إدخال وسجل المنتجات'!$D$5:$D$590,$I201))</f>
        <v/>
      </c>
      <c r="F201" s="2" t="str">
        <f>IF($I201=0,"",INDEX('إدخال وسجل المنتجات'!$G$5:$G$590,$I201))</f>
        <v/>
      </c>
      <c r="G201" s="12"/>
      <c r="H201" s="13"/>
      <c r="I201">
        <f>SUMPRODUCT(('إدخال وسجل المنتجات'!$I$5:$I$590="DRY")*('إدخال وسجل المنتجات'!$M$5:$M$590=199)*(ROW('إدخال وسجل المنتجات'!$I$5:$I$590)-4))</f>
        <v>0</v>
      </c>
      <c r="J201" s="2" t="str">
        <f>IF($I201=0,"",IF($G201="","",$G201*IF(INDEX('إدخال وسجل المنتجات'!$U$5:$U$590,$I201)=0,1,INDEX('إدخال وسجل المنتجات'!$U$5:$U$590,$I201))))</f>
        <v/>
      </c>
    </row>
    <row r="202" spans="1:10" ht="16" x14ac:dyDescent="0.15">
      <c r="A202" s="2" t="str">
        <f>IF($I202=0,"",200)</f>
        <v/>
      </c>
      <c r="B202" s="9" t="str">
        <f>IF($I202=0,"",INDEX('إدخال وسجل المنتجات'!$F$5:$F$590,$I202))</f>
        <v/>
      </c>
      <c r="C202" s="8" t="str">
        <f>IF($I202=0,"",INDEX('إدخال وسجل المنتجات'!$B$5:$B$590,$I202))</f>
        <v/>
      </c>
      <c r="D202" s="10" t="str">
        <f>IF($I202=0,"",INDEX('إدخال وسجل المنتجات'!$C$5:$C$590,$I202))</f>
        <v/>
      </c>
      <c r="E202" s="11" t="str">
        <f>IF($I202=0,"",INDEX('إدخال وسجل المنتجات'!$D$5:$D$590,$I202))</f>
        <v/>
      </c>
      <c r="F202" s="2" t="str">
        <f>IF($I202=0,"",INDEX('إدخال وسجل المنتجات'!$G$5:$G$590,$I202))</f>
        <v/>
      </c>
      <c r="G202" s="12"/>
      <c r="H202" s="13"/>
      <c r="I202">
        <f>SUMPRODUCT(('إدخال وسجل المنتجات'!$I$5:$I$590="DRY")*('إدخال وسجل المنتجات'!$M$5:$M$590=200)*(ROW('إدخال وسجل المنتجات'!$I$5:$I$590)-4))</f>
        <v>0</v>
      </c>
      <c r="J202" s="2" t="str">
        <f>IF($I202=0,"",IF($G202="","",$G202*IF(INDEX('إدخال وسجل المنتجات'!$U$5:$U$590,$I202)=0,1,INDEX('إدخال وسجل المنتجات'!$U$5:$U$590,$I202))))</f>
        <v/>
      </c>
    </row>
  </sheetData>
  <mergeCells count="3">
    <mergeCell ref="A2:E2"/>
    <mergeCell ref="F2:H2"/>
    <mergeCell ref="A1:H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84"/>
  <sheetViews>
    <sheetView rightToLeft="1" workbookViewId="0">
      <pane ySplit="3" topLeftCell="A4" activePane="bottomLeft" state="frozen"/>
      <selection pane="bottomLeft" activeCell="E67" sqref="E67"/>
    </sheetView>
  </sheetViews>
  <sheetFormatPr baseColWidth="10" defaultColWidth="8.83203125" defaultRowHeight="14" x14ac:dyDescent="0.15"/>
  <cols>
    <col min="1" max="1" width="5" customWidth="1"/>
    <col min="2" max="2" width="14" customWidth="1"/>
    <col min="3" max="3" width="34" customWidth="1"/>
    <col min="4" max="4" width="28" customWidth="1"/>
    <col min="5" max="5" width="13" customWidth="1"/>
    <col min="6" max="6" width="11" customWidth="1"/>
    <col min="7" max="7" width="13" customWidth="1"/>
    <col min="8" max="8" width="20" customWidth="1"/>
    <col min="9" max="9" width="13" hidden="1" customWidth="1"/>
    <col min="10" max="10" width="15" customWidth="1"/>
  </cols>
  <sheetData>
    <row r="1" spans="1:10" ht="28" customHeight="1" x14ac:dyDescent="0.15">
      <c r="A1" s="32" t="s">
        <v>870</v>
      </c>
      <c r="B1" s="33"/>
      <c r="C1" s="33"/>
      <c r="D1" s="33"/>
      <c r="E1" s="33"/>
      <c r="F1" s="33"/>
      <c r="G1" s="33"/>
      <c r="H1" s="33"/>
    </row>
    <row r="2" spans="1:10" x14ac:dyDescent="0.15">
      <c r="A2" s="40" t="s">
        <v>861</v>
      </c>
      <c r="B2" s="33"/>
      <c r="C2" s="33"/>
      <c r="D2" s="33"/>
      <c r="E2" s="33"/>
      <c r="F2" s="41" t="str">
        <f>"عدد الأصناف: "&amp;COUNTIF('إدخال وسجل المنتجات'!$I$5:$I$590,"CNS")</f>
        <v>عدد الأصناف: 87</v>
      </c>
      <c r="G2" s="33"/>
      <c r="H2" s="33"/>
    </row>
    <row r="3" spans="1:10" ht="15" x14ac:dyDescent="0.15">
      <c r="A3" s="1" t="s">
        <v>2</v>
      </c>
      <c r="B3" s="1" t="s">
        <v>19</v>
      </c>
      <c r="C3" s="1" t="s">
        <v>862</v>
      </c>
      <c r="D3" s="1" t="s">
        <v>863</v>
      </c>
      <c r="E3" s="1" t="s">
        <v>864</v>
      </c>
      <c r="F3" s="1" t="s">
        <v>865</v>
      </c>
      <c r="G3" s="1" t="s">
        <v>866</v>
      </c>
      <c r="H3" s="1" t="s">
        <v>867</v>
      </c>
      <c r="J3" s="1" t="s">
        <v>882</v>
      </c>
    </row>
    <row r="4" spans="1:10" ht="16" x14ac:dyDescent="0.15">
      <c r="A4" s="2">
        <f>IF($I4=0,"",1)</f>
        <v>1</v>
      </c>
      <c r="B4" s="9" t="str">
        <f>IF($I4=0,"",INDEX('إدخال وسجل المنتجات'!$F$5:$F$590,$I4))</f>
        <v/>
      </c>
      <c r="C4" s="8">
        <f>IF($I4=0,"",INDEX('إدخال وسجل المنتجات'!$B$5:$B$590,$I4))</f>
        <v>0</v>
      </c>
      <c r="D4" s="10" t="str">
        <f>IF($I4=0,"",INDEX('إدخال وسجل المنتجات'!$C$5:$C$590,$I4))</f>
        <v/>
      </c>
      <c r="E4" s="11" t="str">
        <f>IF($I4=0,"",INDEX('إدخال وسجل المنتجات'!$D$5:$D$590,$I4))</f>
        <v>مواد خام</v>
      </c>
      <c r="F4" s="2" t="str">
        <f>IF($I4=0,"",INDEX('إدخال وسجل المنتجات'!$G$5:$G$590,$I4))</f>
        <v>كيلو</v>
      </c>
      <c r="G4" s="12"/>
      <c r="H4" s="13"/>
      <c r="I4">
        <f>SUMPRODUCT(('إدخال وسجل المنتجات'!$I$5:$I$590="CNS")*('إدخال وسجل المنتجات'!$M$5:$M$590=1)*(ROW('إدخال وسجل المنتجات'!$I$5:$I$590)-4))</f>
        <v>2</v>
      </c>
      <c r="J4" s="2" t="str">
        <f>IF($I4=0,"",IF($G4="","",$G4*IF(INDEX('إدخال وسجل المنتجات'!$U$5:$U$590,$I4)=0,1,INDEX('إدخال وسجل المنتجات'!$U$5:$U$590,$I4))))</f>
        <v/>
      </c>
    </row>
    <row r="5" spans="1:10" ht="16" x14ac:dyDescent="0.15">
      <c r="A5" s="2">
        <f>IF($I5=0,"",2)</f>
        <v>2</v>
      </c>
      <c r="B5" s="9" t="str">
        <f>IF($I5=0,"",INDEX('إدخال وسجل المنتجات'!$F$5:$F$590,$I5))</f>
        <v>RAW-CNS-001</v>
      </c>
      <c r="C5" s="8" t="str">
        <f>IF($I5=0,"",INDEX('إدخال وسجل المنتجات'!$B$5:$B$590,$I5))</f>
        <v>احتفال اعياد ميلاد</v>
      </c>
      <c r="D5" s="10" t="str">
        <f>IF($I5=0,"",INDEX('إدخال وسجل المنتجات'!$C$5:$C$590,$I5))</f>
        <v>Birthday Celebration</v>
      </c>
      <c r="E5" s="11" t="str">
        <f>IF($I5=0,"",INDEX('إدخال وسجل المنتجات'!$D$5:$D$590,$I5))</f>
        <v>مواد خام</v>
      </c>
      <c r="F5" s="2" t="str">
        <f>IF($I5=0,"",INDEX('إدخال وسجل المنتجات'!$G$5:$G$590,$I5))</f>
        <v>وحدة</v>
      </c>
      <c r="G5" s="12"/>
      <c r="H5" s="13"/>
      <c r="I5">
        <f>SUMPRODUCT(('إدخال وسجل المنتجات'!$I$5:$I$590="CNS")*('إدخال وسجل المنتجات'!$M$5:$M$590=2)*(ROW('إدخال وسجل المنتجات'!$I$5:$I$590)-4))</f>
        <v>153</v>
      </c>
      <c r="J5" s="2" t="str">
        <f>IF($I5=0,"",IF($G5="","",$G5*IF(INDEX('إدخال وسجل المنتجات'!$U$5:$U$590,$I5)=0,1,INDEX('إدخال وسجل المنتجات'!$U$5:$U$590,$I5))))</f>
        <v/>
      </c>
    </row>
    <row r="6" spans="1:10" ht="16" x14ac:dyDescent="0.15">
      <c r="A6" s="2">
        <f>IF($I6=0,"",3)</f>
        <v>3</v>
      </c>
      <c r="B6" s="9" t="str">
        <f>IF($I6=0,"",INDEX('إدخال وسجل المنتجات'!$F$5:$F$590,$I6))</f>
        <v>RAW-CNS-002</v>
      </c>
      <c r="C6" s="8" t="str">
        <f>IF($I6=0,"",INDEX('إدخال وسجل المنتجات'!$B$5:$B$590,$I6))</f>
        <v>القسائم الشرائية والباقات</v>
      </c>
      <c r="D6" s="10" t="str">
        <f>IF($I6=0,"",INDEX('إدخال وسجل المنتجات'!$C$5:$C$590,$I6))</f>
        <v>Vouchers &amp; Packages</v>
      </c>
      <c r="E6" s="11" t="str">
        <f>IF($I6=0,"",INDEX('إدخال وسجل المنتجات'!$D$5:$D$590,$I6))</f>
        <v>مواد خام</v>
      </c>
      <c r="F6" s="2" t="str">
        <f>IF($I6=0,"",INDEX('إدخال وسجل المنتجات'!$G$5:$G$590,$I6))</f>
        <v>وحدة</v>
      </c>
      <c r="G6" s="12"/>
      <c r="H6" s="13"/>
      <c r="I6">
        <f>SUMPRODUCT(('إدخال وسجل المنتجات'!$I$5:$I$590="CNS")*('إدخال وسجل المنتجات'!$M$5:$M$590=3)*(ROW('إدخال وسجل المنتجات'!$I$5:$I$590)-4))</f>
        <v>161</v>
      </c>
      <c r="J6" s="2" t="str">
        <f>IF($I6=0,"",IF($G6="","",$G6*IF(INDEX('إدخال وسجل المنتجات'!$U$5:$U$590,$I6)=0,1,INDEX('إدخال وسجل المنتجات'!$U$5:$U$590,$I6))))</f>
        <v/>
      </c>
    </row>
    <row r="7" spans="1:10" ht="16" x14ac:dyDescent="0.15">
      <c r="A7" s="2">
        <f>IF($I7=0,"",4)</f>
        <v>4</v>
      </c>
      <c r="B7" s="9" t="str">
        <f>IF($I7=0,"",INDEX('إدخال وسجل المنتجات'!$F$5:$F$590,$I7))</f>
        <v>RAW-CNS-003</v>
      </c>
      <c r="C7" s="8" t="str">
        <f>IF($I7=0,"",INDEX('إدخال وسجل المنتجات'!$B$5:$B$590,$I7))</f>
        <v>تمر الافطار</v>
      </c>
      <c r="D7" s="10" t="str">
        <f>IF($I7=0,"",INDEX('إدخال وسجل المنتجات'!$C$5:$C$590,$I7))</f>
        <v>Iftar Dates</v>
      </c>
      <c r="E7" s="11" t="str">
        <f>IF($I7=0,"",INDEX('إدخال وسجل المنتجات'!$D$5:$D$590,$I7))</f>
        <v>مواد خام</v>
      </c>
      <c r="F7" s="2" t="str">
        <f>IF($I7=0,"",INDEX('إدخال وسجل المنتجات'!$G$5:$G$590,$I7))</f>
        <v>وحدة</v>
      </c>
      <c r="G7" s="12"/>
      <c r="H7" s="13"/>
      <c r="I7">
        <f>SUMPRODUCT(('إدخال وسجل المنتجات'!$I$5:$I$590="CNS")*('إدخال وسجل المنتجات'!$M$5:$M$590=4)*(ROW('إدخال وسجل المنتجات'!$I$5:$I$590)-4))</f>
        <v>214</v>
      </c>
      <c r="J7" s="2" t="str">
        <f>IF($I7=0,"",IF($G7="","",$G7*IF(INDEX('إدخال وسجل المنتجات'!$U$5:$U$590,$I7)=0,1,INDEX('إدخال وسجل المنتجات'!$U$5:$U$590,$I7))))</f>
        <v/>
      </c>
    </row>
    <row r="8" spans="1:10" ht="16" x14ac:dyDescent="0.15">
      <c r="A8" s="2">
        <f>IF($I8=0,"",5)</f>
        <v>5</v>
      </c>
      <c r="B8" s="9" t="str">
        <f>IF($I8=0,"",INDEX('إدخال وسجل المنتجات'!$F$5:$F$590,$I8))</f>
        <v>RAW-CNS-004</v>
      </c>
      <c r="C8" s="8" t="str">
        <f>IF($I8=0,"",INDEX('إدخال وسجل المنتجات'!$B$5:$B$590,$I8))</f>
        <v>توصيل طلبيات</v>
      </c>
      <c r="D8" s="10" t="str">
        <f>IF($I8=0,"",INDEX('إدخال وسجل المنتجات'!$C$5:$C$590,$I8))</f>
        <v>Order Delivery</v>
      </c>
      <c r="E8" s="11" t="str">
        <f>IF($I8=0,"",INDEX('إدخال وسجل المنتجات'!$D$5:$D$590,$I8))</f>
        <v>مواد خام</v>
      </c>
      <c r="F8" s="2" t="str">
        <f>IF($I8=0,"",INDEX('إدخال وسجل المنتجات'!$G$5:$G$590,$I8))</f>
        <v>وحدة</v>
      </c>
      <c r="G8" s="12"/>
      <c r="H8" s="13"/>
      <c r="I8">
        <f>SUMPRODUCT(('إدخال وسجل المنتجات'!$I$5:$I$590="CNS")*('إدخال وسجل المنتجات'!$M$5:$M$590=5)*(ROW('إدخال وسجل المنتجات'!$I$5:$I$590)-4))</f>
        <v>215</v>
      </c>
      <c r="J8" s="2" t="str">
        <f>IF($I8=0,"",IF($G8="","",$G8*IF(INDEX('إدخال وسجل المنتجات'!$U$5:$U$590,$I8)=0,1,INDEX('إدخال وسجل المنتجات'!$U$5:$U$590,$I8))))</f>
        <v/>
      </c>
    </row>
    <row r="9" spans="1:10" ht="16" x14ac:dyDescent="0.15">
      <c r="A9" s="2">
        <f>IF($I9=0,"",6)</f>
        <v>6</v>
      </c>
      <c r="B9" s="9" t="str">
        <f>IF($I9=0,"",INDEX('إدخال وسجل المنتجات'!$F$5:$F$590,$I9))</f>
        <v>RAW-CNS-005</v>
      </c>
      <c r="C9" s="8" t="str">
        <f>IF($I9=0,"",INDEX('إدخال وسجل المنتجات'!$B$5:$B$590,$I9))</f>
        <v>توصيل عجين فطائر</v>
      </c>
      <c r="D9" s="10" t="str">
        <f>IF($I9=0,"",INDEX('إدخال وسجل المنتجات'!$C$5:$C$590,$I9))</f>
        <v>Pastry Dough Delivery</v>
      </c>
      <c r="E9" s="11" t="str">
        <f>IF($I9=0,"",INDEX('إدخال وسجل المنتجات'!$D$5:$D$590,$I9))</f>
        <v>مواد خام</v>
      </c>
      <c r="F9" s="2" t="str">
        <f>IF($I9=0,"",INDEX('إدخال وسجل المنتجات'!$G$5:$G$590,$I9))</f>
        <v>وحدة</v>
      </c>
      <c r="G9" s="12"/>
      <c r="H9" s="13"/>
      <c r="I9">
        <f>SUMPRODUCT(('إدخال وسجل المنتجات'!$I$5:$I$590="CNS")*('إدخال وسجل المنتجات'!$M$5:$M$590=6)*(ROW('إدخال وسجل المنتجات'!$I$5:$I$590)-4))</f>
        <v>216</v>
      </c>
      <c r="J9" s="2" t="str">
        <f>IF($I9=0,"",IF($G9="","",$G9*IF(INDEX('إدخال وسجل المنتجات'!$U$5:$U$590,$I9)=0,1,INDEX('إدخال وسجل المنتجات'!$U$5:$U$590,$I9))))</f>
        <v/>
      </c>
    </row>
    <row r="10" spans="1:10" ht="16" x14ac:dyDescent="0.15">
      <c r="A10" s="2">
        <f>IF($I10=0,"",7)</f>
        <v>7</v>
      </c>
      <c r="B10" s="9" t="str">
        <f>IF($I10=0,"",INDEX('إدخال وسجل المنتجات'!$F$5:$F$590,$I10))</f>
        <v>RAW-CNS-006</v>
      </c>
      <c r="C10" s="8" t="str">
        <f>IF($I10=0,"",INDEX('إدخال وسجل المنتجات'!$B$5:$B$590,$I10))</f>
        <v>مبيعات عجين فطائر</v>
      </c>
      <c r="D10" s="10" t="str">
        <f>IF($I10=0,"",INDEX('إدخال وسجل المنتجات'!$C$5:$C$590,$I10))</f>
        <v>Pastry Dough Sales</v>
      </c>
      <c r="E10" s="11" t="str">
        <f>IF($I10=0,"",INDEX('إدخال وسجل المنتجات'!$D$5:$D$590,$I10))</f>
        <v>مواد خام</v>
      </c>
      <c r="F10" s="2" t="str">
        <f>IF($I10=0,"",INDEX('إدخال وسجل المنتجات'!$G$5:$G$590,$I10))</f>
        <v>وحدة</v>
      </c>
      <c r="G10" s="12"/>
      <c r="H10" s="13"/>
      <c r="I10">
        <f>SUMPRODUCT(('إدخال وسجل المنتجات'!$I$5:$I$590="CNS")*('إدخال وسجل المنتجات'!$M$5:$M$590=7)*(ROW('إدخال وسجل المنتجات'!$I$5:$I$590)-4))</f>
        <v>263</v>
      </c>
      <c r="J10" s="2" t="str">
        <f>IF($I10=0,"",IF($G10="","",$G10*IF(INDEX('إدخال وسجل المنتجات'!$U$5:$U$590,$I10)=0,1,INDEX('إدخال وسجل المنتجات'!$U$5:$U$590,$I10))))</f>
        <v/>
      </c>
    </row>
    <row r="11" spans="1:10" ht="16" x14ac:dyDescent="0.15">
      <c r="A11" s="2">
        <f>IF($I11=0,"",9)</f>
        <v>9</v>
      </c>
      <c r="B11" s="9" t="str">
        <f>IF($I11=0,"",INDEX('إدخال وسجل المنتجات'!$F$5:$F$590,$I11))</f>
        <v>RAW-CNS-008</v>
      </c>
      <c r="C11" s="8" t="str">
        <f>IF($I11=0,"",INDEX('إدخال وسجل المنتجات'!$B$5:$B$590,$I11))</f>
        <v>ادماتيك</v>
      </c>
      <c r="D11" s="10" t="str">
        <f>IF($I11=0,"",INDEX('إدخال وسجل المنتجات'!$C$5:$C$590,$I11))</f>
        <v>Admatic</v>
      </c>
      <c r="E11" s="11" t="str">
        <f>IF($I11=0,"",INDEX('إدخال وسجل المنتجات'!$D$5:$D$590,$I11))</f>
        <v>مواد خام</v>
      </c>
      <c r="F11" s="2" t="str">
        <f>IF($I11=0,"",INDEX('إدخال وسجل المنتجات'!$G$5:$G$590,$I11))</f>
        <v>وحدة</v>
      </c>
      <c r="G11" s="12"/>
      <c r="H11" s="13"/>
      <c r="I11">
        <f>SUMPRODUCT(('إدخال وسجل المنتجات'!$I$5:$I$590="CNS")*('إدخال وسجل المنتجات'!$M$5:$M$590=9)*(ROW('إدخال وسجل المنتجات'!$I$5:$I$590)-4))</f>
        <v>266</v>
      </c>
      <c r="J11" s="2" t="str">
        <f>IF($I11=0,"",IF($G11="","",$G11*IF(INDEX('إدخال وسجل المنتجات'!$U$5:$U$590,$I11)=0,1,INDEX('إدخال وسجل المنتجات'!$U$5:$U$590,$I11))))</f>
        <v/>
      </c>
    </row>
    <row r="12" spans="1:10" ht="16" x14ac:dyDescent="0.15">
      <c r="A12" s="2">
        <f>IF($I12=0,"",10)</f>
        <v>10</v>
      </c>
      <c r="B12" s="9" t="str">
        <f>IF($I12=0,"",INDEX('إدخال وسجل المنتجات'!$F$5:$F$590,$I12))</f>
        <v>RAW-CNS-009</v>
      </c>
      <c r="C12" s="8" t="str">
        <f>IF($I12=0,"",INDEX('إدخال وسجل المنتجات'!$B$5:$B$590,$I12))</f>
        <v>اسفنج غسيل مربع نحيف</v>
      </c>
      <c r="D12" s="10" t="str">
        <f>IF($I12=0,"",INDEX('إدخال وسجل المنتجات'!$C$5:$C$590,$I12))</f>
        <v>Thin Square Sponge</v>
      </c>
      <c r="E12" s="11" t="str">
        <f>IF($I12=0,"",INDEX('إدخال وسجل المنتجات'!$D$5:$D$590,$I12))</f>
        <v>مواد خام</v>
      </c>
      <c r="F12" s="2" t="str">
        <f>IF($I12=0,"",INDEX('إدخال وسجل المنتجات'!$G$5:$G$590,$I12))</f>
        <v>وحدة</v>
      </c>
      <c r="G12" s="12"/>
      <c r="H12" s="13"/>
      <c r="I12">
        <f>SUMPRODUCT(('إدخال وسجل المنتجات'!$I$5:$I$590="CNS")*('إدخال وسجل المنتجات'!$M$5:$M$590=10)*(ROW('إدخال وسجل المنتجات'!$I$5:$I$590)-4))</f>
        <v>267</v>
      </c>
      <c r="J12" s="2" t="str">
        <f>IF($I12=0,"",IF($G12="","",$G12*IF(INDEX('إدخال وسجل المنتجات'!$U$5:$U$590,$I12)=0,1,INDEX('إدخال وسجل المنتجات'!$U$5:$U$590,$I12))))</f>
        <v/>
      </c>
    </row>
    <row r="13" spans="1:10" ht="16" x14ac:dyDescent="0.15">
      <c r="A13" s="2">
        <f>IF($I13=0,"",11)</f>
        <v>11</v>
      </c>
      <c r="B13" s="9" t="str">
        <f>IF($I13=0,"",INDEX('إدخال وسجل المنتجات'!$F$5:$F$590,$I13))</f>
        <v>RAW-CNS-010</v>
      </c>
      <c r="C13" s="8" t="str">
        <f>IF($I13=0,"",INDEX('إدخال وسجل المنتجات'!$B$5:$B$590,$I13))</f>
        <v>اغطية ساعد</v>
      </c>
      <c r="D13" s="10" t="str">
        <f>IF($I13=0,"",INDEX('إدخال وسجل المنتجات'!$C$5:$C$590,$I13))</f>
        <v>Sleeve Covers</v>
      </c>
      <c r="E13" s="11" t="str">
        <f>IF($I13=0,"",INDEX('إدخال وسجل المنتجات'!$D$5:$D$590,$I13))</f>
        <v>مواد خام</v>
      </c>
      <c r="F13" s="2" t="str">
        <f>IF($I13=0,"",INDEX('إدخال وسجل المنتجات'!$G$5:$G$590,$I13))</f>
        <v>وحدة</v>
      </c>
      <c r="G13" s="12"/>
      <c r="H13" s="13"/>
      <c r="I13">
        <f>SUMPRODUCT(('إدخال وسجل المنتجات'!$I$5:$I$590="CNS")*('إدخال وسجل المنتجات'!$M$5:$M$590=11)*(ROW('إدخال وسجل المنتجات'!$I$5:$I$590)-4))</f>
        <v>268</v>
      </c>
      <c r="J13" s="2" t="str">
        <f>IF($I13=0,"",IF($G13="","",$G13*IF(INDEX('إدخال وسجل المنتجات'!$U$5:$U$590,$I13)=0,1,INDEX('إدخال وسجل المنتجات'!$U$5:$U$590,$I13))))</f>
        <v/>
      </c>
    </row>
    <row r="14" spans="1:10" ht="16" x14ac:dyDescent="0.15">
      <c r="A14" s="2">
        <f>IF($I14=0,"",12)</f>
        <v>12</v>
      </c>
      <c r="B14" s="9" t="str">
        <f>IF($I14=0,"",INDEX('إدخال وسجل المنتجات'!$F$5:$F$590,$I14))</f>
        <v>RAW-CNS-011</v>
      </c>
      <c r="C14" s="8" t="str">
        <f>IF($I14=0,"",INDEX('إدخال وسجل المنتجات'!$B$5:$B$590,$I14))</f>
        <v>اغطية شعر زرقاء</v>
      </c>
      <c r="D14" s="10" t="str">
        <f>IF($I14=0,"",INDEX('إدخال وسجل المنتجات'!$C$5:$C$590,$I14))</f>
        <v>Hair Covers</v>
      </c>
      <c r="E14" s="11" t="str">
        <f>IF($I14=0,"",INDEX('إدخال وسجل المنتجات'!$D$5:$D$590,$I14))</f>
        <v>مواد خام</v>
      </c>
      <c r="F14" s="2" t="str">
        <f>IF($I14=0,"",INDEX('إدخال وسجل المنتجات'!$G$5:$G$590,$I14))</f>
        <v>وحدة</v>
      </c>
      <c r="G14" s="12"/>
      <c r="H14" s="13"/>
      <c r="I14">
        <f>SUMPRODUCT(('إدخال وسجل المنتجات'!$I$5:$I$590="CNS")*('إدخال وسجل المنتجات'!$M$5:$M$590=12)*(ROW('إدخال وسجل المنتجات'!$I$5:$I$590)-4))</f>
        <v>269</v>
      </c>
      <c r="J14" s="2" t="str">
        <f>IF($I14=0,"",IF($G14="","",$G14*IF(INDEX('إدخال وسجل المنتجات'!$U$5:$U$590,$I14)=0,1,INDEX('إدخال وسجل المنتجات'!$U$5:$U$590,$I14))))</f>
        <v/>
      </c>
    </row>
    <row r="15" spans="1:10" ht="16" x14ac:dyDescent="0.15">
      <c r="A15" s="2">
        <f>IF($I15=0,"",13)</f>
        <v>13</v>
      </c>
      <c r="B15" s="9" t="str">
        <f>IF($I15=0,"",INDEX('إدخال وسجل المنتجات'!$F$5:$F$590,$I15))</f>
        <v>RAW-CNS-012</v>
      </c>
      <c r="C15" s="8" t="str">
        <f>IF($I15=0,"",INDEX('إدخال وسجل المنتجات'!$B$5:$B$590,$I15))</f>
        <v>اغطية شعر سوداء</v>
      </c>
      <c r="D15" s="10" t="str">
        <f>IF($I15=0,"",INDEX('إدخال وسجل المنتجات'!$C$5:$C$590,$I15))</f>
        <v>Hair Covers</v>
      </c>
      <c r="E15" s="11" t="str">
        <f>IF($I15=0,"",INDEX('إدخال وسجل المنتجات'!$D$5:$D$590,$I15))</f>
        <v>مواد خام</v>
      </c>
      <c r="F15" s="2" t="str">
        <f>IF($I15=0,"",INDEX('إدخال وسجل المنتجات'!$G$5:$G$590,$I15))</f>
        <v>وحدة</v>
      </c>
      <c r="G15" s="12"/>
      <c r="H15" s="13"/>
      <c r="I15">
        <f>SUMPRODUCT(('إدخال وسجل المنتجات'!$I$5:$I$590="CNS")*('إدخال وسجل المنتجات'!$M$5:$M$590=13)*(ROW('إدخال وسجل المنتجات'!$I$5:$I$590)-4))</f>
        <v>270</v>
      </c>
      <c r="J15" s="2" t="str">
        <f>IF($I15=0,"",IF($G15="","",$G15*IF(INDEX('إدخال وسجل المنتجات'!$U$5:$U$590,$I15)=0,1,INDEX('إدخال وسجل المنتجات'!$U$5:$U$590,$I15))))</f>
        <v/>
      </c>
    </row>
    <row r="16" spans="1:10" ht="16" x14ac:dyDescent="0.15">
      <c r="A16" s="2">
        <f>IF($I16=0,"",14)</f>
        <v>14</v>
      </c>
      <c r="B16" s="9" t="str">
        <f>IF($I16=0,"",INDEX('إدخال وسجل المنتجات'!$F$5:$F$590,$I16))</f>
        <v>RAW-CNS-013</v>
      </c>
      <c r="C16" s="8" t="str">
        <f>IF($I16=0,"",INDEX('إدخال وسجل المنتجات'!$B$5:$B$590,$I16))</f>
        <v>اقراص الكلور</v>
      </c>
      <c r="D16" s="10" t="str">
        <f>IF($I16=0,"",INDEX('إدخال وسجل المنتجات'!$C$5:$C$590,$I16))</f>
        <v>Chlorine Tablets</v>
      </c>
      <c r="E16" s="11" t="str">
        <f>IF($I16=0,"",INDEX('إدخال وسجل المنتجات'!$D$5:$D$590,$I16))</f>
        <v>مواد خام</v>
      </c>
      <c r="F16" s="2" t="str">
        <f>IF($I16=0,"",INDEX('إدخال وسجل المنتجات'!$G$5:$G$590,$I16))</f>
        <v>وحدة</v>
      </c>
      <c r="G16" s="12"/>
      <c r="H16" s="13"/>
      <c r="I16">
        <f>SUMPRODUCT(('إدخال وسجل المنتجات'!$I$5:$I$590="CNS")*('إدخال وسجل المنتجات'!$M$5:$M$590=14)*(ROW('إدخال وسجل المنتجات'!$I$5:$I$590)-4))</f>
        <v>271</v>
      </c>
      <c r="J16" s="2" t="str">
        <f>IF($I16=0,"",IF($G16="","",$G16*IF(INDEX('إدخال وسجل المنتجات'!$U$5:$U$590,$I16)=0,1,INDEX('إدخال وسجل المنتجات'!$U$5:$U$590,$I16))))</f>
        <v/>
      </c>
    </row>
    <row r="17" spans="1:10" ht="16" x14ac:dyDescent="0.15">
      <c r="A17" s="2">
        <f>IF($I17=0,"",15)</f>
        <v>15</v>
      </c>
      <c r="B17" s="9" t="str">
        <f>IF($I17=0,"",INDEX('إدخال وسجل المنتجات'!$F$5:$F$590,$I17))</f>
        <v>RAW-CNS-014</v>
      </c>
      <c r="C17" s="8" t="str">
        <f>IF($I17=0,"",INDEX('إدخال وسجل المنتجات'!$B$5:$B$590,$I17))</f>
        <v>اكياس بينو سفري</v>
      </c>
      <c r="D17" s="10" t="str">
        <f>IF($I17=0,"",INDEX('إدخال وسجل المنتجات'!$C$5:$C$590,$I17))</f>
        <v>Pino Takeaway Bags</v>
      </c>
      <c r="E17" s="11" t="str">
        <f>IF($I17=0,"",INDEX('إدخال وسجل المنتجات'!$D$5:$D$590,$I17))</f>
        <v>مواد خام</v>
      </c>
      <c r="F17" s="2" t="str">
        <f>IF($I17=0,"",INDEX('إدخال وسجل المنتجات'!$G$5:$G$590,$I17))</f>
        <v>وحدة</v>
      </c>
      <c r="G17" s="12"/>
      <c r="H17" s="13"/>
      <c r="I17">
        <f>SUMPRODUCT(('إدخال وسجل المنتجات'!$I$5:$I$590="CNS")*('إدخال وسجل المنتجات'!$M$5:$M$590=15)*(ROW('إدخال وسجل المنتجات'!$I$5:$I$590)-4))</f>
        <v>273</v>
      </c>
      <c r="J17" s="2" t="str">
        <f>IF($I17=0,"",IF($G17="","",$G17*IF(INDEX('إدخال وسجل المنتجات'!$U$5:$U$590,$I17)=0,1,INDEX('إدخال وسجل المنتجات'!$U$5:$U$590,$I17))))</f>
        <v/>
      </c>
    </row>
    <row r="18" spans="1:10" ht="16" x14ac:dyDescent="0.15">
      <c r="A18" s="2">
        <f>IF($I18=0,"",16)</f>
        <v>16</v>
      </c>
      <c r="B18" s="9" t="str">
        <f>IF($I18=0,"",INDEX('إدخال وسجل المنتجات'!$F$5:$F$590,$I18))</f>
        <v>RAW-CNS-015</v>
      </c>
      <c r="C18" s="8" t="str">
        <f>IF($I18=0,"",INDEX('إدخال وسجل المنتجات'!$B$5:$B$590,$I18))</f>
        <v>اكياس نفايات</v>
      </c>
      <c r="D18" s="10" t="str">
        <f>IF($I18=0,"",INDEX('إدخال وسجل المنتجات'!$C$5:$C$590,$I18))</f>
        <v>Garbage Bags</v>
      </c>
      <c r="E18" s="11" t="str">
        <f>IF($I18=0,"",INDEX('إدخال وسجل المنتجات'!$D$5:$D$590,$I18))</f>
        <v>مواد خام</v>
      </c>
      <c r="F18" s="2" t="str">
        <f>IF($I18=0,"",INDEX('إدخال وسجل المنتجات'!$G$5:$G$590,$I18))</f>
        <v>وحدة</v>
      </c>
      <c r="G18" s="12"/>
      <c r="H18" s="13"/>
      <c r="I18">
        <f>SUMPRODUCT(('إدخال وسجل المنتجات'!$I$5:$I$590="CNS")*('إدخال وسجل المنتجات'!$M$5:$M$590=16)*(ROW('إدخال وسجل المنتجات'!$I$5:$I$590)-4))</f>
        <v>274</v>
      </c>
      <c r="J18" s="2" t="str">
        <f>IF($I18=0,"",IF($G18="","",$G18*IF(INDEX('إدخال وسجل المنتجات'!$U$5:$U$590,$I18)=0,1,INDEX('إدخال وسجل المنتجات'!$U$5:$U$590,$I18))))</f>
        <v/>
      </c>
    </row>
    <row r="19" spans="1:10" ht="16" x14ac:dyDescent="0.15">
      <c r="A19" s="2">
        <f>IF($I19=0,"",17)</f>
        <v>17</v>
      </c>
      <c r="B19" s="9" t="str">
        <f>IF($I19=0,"",INDEX('إدخال وسجل المنتجات'!$F$5:$F$590,$I19))</f>
        <v>RAW-CNS-016</v>
      </c>
      <c r="C19" s="8" t="str">
        <f>IF($I19=0,"",INDEX('إدخال وسجل المنتجات'!$B$5:$B$590,$I19))</f>
        <v>ايكولار ecolar</v>
      </c>
      <c r="D19" s="10" t="str">
        <f>IF($I19=0,"",INDEX('إدخال وسجل المنتجات'!$C$5:$C$590,$I19))</f>
        <v>Ecolar</v>
      </c>
      <c r="E19" s="11" t="str">
        <f>IF($I19=0,"",INDEX('إدخال وسجل المنتجات'!$D$5:$D$590,$I19))</f>
        <v>مواد خام</v>
      </c>
      <c r="F19" s="2" t="str">
        <f>IF($I19=0,"",INDEX('إدخال وسجل المنتجات'!$G$5:$G$590,$I19))</f>
        <v>وحدة</v>
      </c>
      <c r="G19" s="12"/>
      <c r="H19" s="13"/>
      <c r="I19">
        <f>SUMPRODUCT(('إدخال وسجل المنتجات'!$I$5:$I$590="CNS")*('إدخال وسجل المنتجات'!$M$5:$M$590=17)*(ROW('إدخال وسجل المنتجات'!$I$5:$I$590)-4))</f>
        <v>280</v>
      </c>
      <c r="J19" s="2" t="str">
        <f>IF($I19=0,"",IF($G19="","",$G19*IF(INDEX('إدخال وسجل المنتجات'!$U$5:$U$590,$I19)=0,1,INDEX('إدخال وسجل المنتجات'!$U$5:$U$590,$I19))))</f>
        <v/>
      </c>
    </row>
    <row r="20" spans="1:10" ht="16" x14ac:dyDescent="0.15">
      <c r="A20" s="2">
        <f>IF($I20=0,"",18)</f>
        <v>18</v>
      </c>
      <c r="B20" s="9" t="str">
        <f>IF($I20=0,"",INDEX('إدخال وسجل المنتجات'!$F$5:$F$590,$I20))</f>
        <v>RAW-CNS-017</v>
      </c>
      <c r="C20" s="8" t="str">
        <f>IF($I20=0,"",INDEX('إدخال وسجل المنتجات'!$B$5:$B$590,$I20))</f>
        <v>برطمان صوص زجاج</v>
      </c>
      <c r="D20" s="10" t="str">
        <f>IF($I20=0,"",INDEX('إدخال وسجل المنتجات'!$C$5:$C$590,$I20))</f>
        <v>Sauce Jar</v>
      </c>
      <c r="E20" s="11" t="str">
        <f>IF($I20=0,"",INDEX('إدخال وسجل المنتجات'!$D$5:$D$590,$I20))</f>
        <v>مواد خام</v>
      </c>
      <c r="F20" s="2" t="str">
        <f>IF($I20=0,"",INDEX('إدخال وسجل المنتجات'!$G$5:$G$590,$I20))</f>
        <v>وحدة</v>
      </c>
      <c r="G20" s="12"/>
      <c r="H20" s="13"/>
      <c r="I20">
        <f>SUMPRODUCT(('إدخال وسجل المنتجات'!$I$5:$I$590="CNS")*('إدخال وسجل المنتجات'!$M$5:$M$590=18)*(ROW('إدخال وسجل المنتجات'!$I$5:$I$590)-4))</f>
        <v>288</v>
      </c>
      <c r="J20" s="2" t="str">
        <f>IF($I20=0,"",IF($G20="","",$G20*IF(INDEX('إدخال وسجل المنتجات'!$U$5:$U$590,$I20)=0,1,INDEX('إدخال وسجل المنتجات'!$U$5:$U$590,$I20))))</f>
        <v/>
      </c>
    </row>
    <row r="21" spans="1:10" ht="16" x14ac:dyDescent="0.15">
      <c r="A21" s="2">
        <f>IF($I21=0,"",19)</f>
        <v>19</v>
      </c>
      <c r="B21" s="9" t="str">
        <f>IF($I21=0,"",INDEX('إدخال وسجل المنتجات'!$F$5:$F$590,$I21))</f>
        <v>RAW-CNS-018</v>
      </c>
      <c r="C21" s="8" t="str">
        <f>IF($I21=0,"",INDEX('إدخال وسجل المنتجات'!$B$5:$B$590,$I21))</f>
        <v>بوكس بينو</v>
      </c>
      <c r="D21" s="10" t="str">
        <f>IF($I21=0,"",INDEX('إدخال وسجل المنتجات'!$C$5:$C$590,$I21))</f>
        <v>Pino Box</v>
      </c>
      <c r="E21" s="11" t="str">
        <f>IF($I21=0,"",INDEX('إدخال وسجل المنتجات'!$D$5:$D$590,$I21))</f>
        <v>مواد خام</v>
      </c>
      <c r="F21" s="2" t="str">
        <f>IF($I21=0,"",INDEX('إدخال وسجل المنتجات'!$G$5:$G$590,$I21))</f>
        <v>وحدة</v>
      </c>
      <c r="G21" s="12"/>
      <c r="H21" s="13"/>
      <c r="I21">
        <f>SUMPRODUCT(('إدخال وسجل المنتجات'!$I$5:$I$590="CNS")*('إدخال وسجل المنتجات'!$M$5:$M$590=19)*(ROW('إدخال وسجل المنتجات'!$I$5:$I$590)-4))</f>
        <v>309</v>
      </c>
      <c r="J21" s="2" t="str">
        <f>IF($I21=0,"",IF($G21="","",$G21*IF(INDEX('إدخال وسجل المنتجات'!$U$5:$U$590,$I21)=0,1,INDEX('إدخال وسجل المنتجات'!$U$5:$U$590,$I21))))</f>
        <v/>
      </c>
    </row>
    <row r="22" spans="1:10" ht="16" x14ac:dyDescent="0.15">
      <c r="A22" s="2">
        <f>IF($I22=0,"",22)</f>
        <v>22</v>
      </c>
      <c r="B22" s="9" t="str">
        <f>IF($I22=0,"",INDEX('إدخال وسجل المنتجات'!$F$5:$F$590,$I22))</f>
        <v>RAW-CNS-021</v>
      </c>
      <c r="C22" s="8" t="str">
        <f>IF($I22=0,"",INDEX('إدخال وسجل المنتجات'!$B$5:$B$590,$I22))</f>
        <v>حامل اكواب</v>
      </c>
      <c r="D22" s="10" t="str">
        <f>IF($I22=0,"",INDEX('إدخال وسجل المنتجات'!$C$5:$C$590,$I22))</f>
        <v>Cup Holder</v>
      </c>
      <c r="E22" s="11" t="str">
        <f>IF($I22=0,"",INDEX('إدخال وسجل المنتجات'!$D$5:$D$590,$I22))</f>
        <v>مواد خام</v>
      </c>
      <c r="F22" s="2" t="str">
        <f>IF($I22=0,"",INDEX('إدخال وسجل المنتجات'!$G$5:$G$590,$I22))</f>
        <v>وحدة</v>
      </c>
      <c r="G22" s="12"/>
      <c r="H22" s="13"/>
      <c r="I22">
        <f>SUMPRODUCT(('إدخال وسجل المنتجات'!$I$5:$I$590="CNS")*('إدخال وسجل المنتجات'!$M$5:$M$590=22)*(ROW('إدخال وسجل المنتجات'!$I$5:$I$590)-4))</f>
        <v>345</v>
      </c>
      <c r="J22" s="2" t="str">
        <f>IF($I22=0,"",IF($G22="","",$G22*IF(INDEX('إدخال وسجل المنتجات'!$U$5:$U$590,$I22)=0,1,INDEX('إدخال وسجل المنتجات'!$U$5:$U$590,$I22))))</f>
        <v/>
      </c>
    </row>
    <row r="23" spans="1:10" ht="16" x14ac:dyDescent="0.15">
      <c r="A23" s="2">
        <f>IF($I23=0,"",23)</f>
        <v>23</v>
      </c>
      <c r="B23" s="9" t="str">
        <f>IF($I23=0,"",INDEX('إدخال وسجل المنتجات'!$F$5:$F$590,$I23))</f>
        <v>RAW-CNS-022</v>
      </c>
      <c r="C23" s="8" t="str">
        <f>IF($I23=0,"",INDEX('إدخال وسجل المنتجات'!$B$5:$B$590,$I23))</f>
        <v>حطب 18 كجم</v>
      </c>
      <c r="D23" s="10" t="str">
        <f>IF($I23=0,"",INDEX('إدخال وسجل المنتجات'!$C$5:$C$590,$I23))</f>
        <v>Firewood</v>
      </c>
      <c r="E23" s="11" t="str">
        <f>IF($I23=0,"",INDEX('إدخال وسجل المنتجات'!$D$5:$D$590,$I23))</f>
        <v>مواد خام</v>
      </c>
      <c r="F23" s="2" t="str">
        <f>IF($I23=0,"",INDEX('إدخال وسجل المنتجات'!$G$5:$G$590,$I23))</f>
        <v>وحدة</v>
      </c>
      <c r="G23" s="12"/>
      <c r="H23" s="13"/>
      <c r="I23">
        <f>SUMPRODUCT(('إدخال وسجل المنتجات'!$I$5:$I$590="CNS")*('إدخال وسجل المنتجات'!$M$5:$M$590=23)*(ROW('إدخال وسجل المنتجات'!$I$5:$I$590)-4))</f>
        <v>348</v>
      </c>
      <c r="J23" s="2" t="str">
        <f>IF($I23=0,"",IF($G23="","",$G23*IF(INDEX('إدخال وسجل المنتجات'!$U$5:$U$590,$I23)=0,1,INDEX('إدخال وسجل المنتجات'!$U$5:$U$590,$I23))))</f>
        <v/>
      </c>
    </row>
    <row r="24" spans="1:10" ht="16" x14ac:dyDescent="0.15">
      <c r="A24" s="2">
        <f>IF($I24=0,"",24)</f>
        <v>24</v>
      </c>
      <c r="B24" s="9" t="str">
        <f>IF($I24=0,"",INDEX('إدخال وسجل المنتجات'!$F$5:$F$590,$I24))</f>
        <v>RAW-CNS-023</v>
      </c>
      <c r="C24" s="8" t="str">
        <f>IF($I24=0,"",INDEX('إدخال وسجل المنتجات'!$B$5:$B$590,$I24))</f>
        <v>ديب كلين</v>
      </c>
      <c r="D24" s="10" t="str">
        <f>IF($I24=0,"",INDEX('إدخال وسجل المنتجات'!$C$5:$C$590,$I24))</f>
        <v>Deep Clean</v>
      </c>
      <c r="E24" s="11" t="str">
        <f>IF($I24=0,"",INDEX('إدخال وسجل المنتجات'!$D$5:$D$590,$I24))</f>
        <v>مواد خام</v>
      </c>
      <c r="F24" s="2" t="str">
        <f>IF($I24=0,"",INDEX('إدخال وسجل المنتجات'!$G$5:$G$590,$I24))</f>
        <v>وحدة</v>
      </c>
      <c r="G24" s="12"/>
      <c r="H24" s="13"/>
      <c r="I24">
        <f>SUMPRODUCT(('إدخال وسجل المنتجات'!$I$5:$I$590="CNS")*('إدخال وسجل المنتجات'!$M$5:$M$590=24)*(ROW('إدخال وسجل المنتجات'!$I$5:$I$590)-4))</f>
        <v>371</v>
      </c>
      <c r="J24" s="2" t="str">
        <f>IF($I24=0,"",IF($G24="","",$G24*IF(INDEX('إدخال وسجل المنتجات'!$U$5:$U$590,$I24)=0,1,INDEX('إدخال وسجل المنتجات'!$U$5:$U$590,$I24))))</f>
        <v/>
      </c>
    </row>
    <row r="25" spans="1:10" ht="16" x14ac:dyDescent="0.15">
      <c r="A25" s="2">
        <f>IF($I25=0,"",25)</f>
        <v>25</v>
      </c>
      <c r="B25" s="9" t="str">
        <f>IF($I25=0,"",INDEX('إدخال وسجل المنتجات'!$F$5:$F$590,$I25))</f>
        <v>RAW-CNS-024</v>
      </c>
      <c r="C25" s="8" t="str">
        <f>IF($I25=0,"",INDEX('إدخال وسجل المنتجات'!$B$5:$B$590,$I25))</f>
        <v>ديتول</v>
      </c>
      <c r="D25" s="10" t="str">
        <f>IF($I25=0,"",INDEX('إدخال وسجل المنتجات'!$C$5:$C$590,$I25))</f>
        <v>Dettol</v>
      </c>
      <c r="E25" s="11" t="str">
        <f>IF($I25=0,"",INDEX('إدخال وسجل المنتجات'!$D$5:$D$590,$I25))</f>
        <v>مواد خام</v>
      </c>
      <c r="F25" s="2" t="str">
        <f>IF($I25=0,"",INDEX('إدخال وسجل المنتجات'!$G$5:$G$590,$I25))</f>
        <v>وحدة</v>
      </c>
      <c r="G25" s="12"/>
      <c r="H25" s="13"/>
      <c r="I25">
        <f>SUMPRODUCT(('إدخال وسجل المنتجات'!$I$5:$I$590="CNS")*('إدخال وسجل المنتجات'!$M$5:$M$590=25)*(ROW('إدخال وسجل المنتجات'!$I$5:$I$590)-4))</f>
        <v>372</v>
      </c>
      <c r="J25" s="2" t="str">
        <f>IF($I25=0,"",IF($G25="","",$G25*IF(INDEX('إدخال وسجل المنتجات'!$U$5:$U$590,$I25)=0,1,INDEX('إدخال وسجل المنتجات'!$U$5:$U$590,$I25))))</f>
        <v/>
      </c>
    </row>
    <row r="26" spans="1:10" ht="16" x14ac:dyDescent="0.15">
      <c r="A26" s="2">
        <f>IF($I26=0,"",26)</f>
        <v>26</v>
      </c>
      <c r="B26" s="9" t="str">
        <f>IF($I26=0,"",INDEX('إدخال وسجل المنتجات'!$F$5:$F$590,$I26))</f>
        <v>RAW-CNS-025</v>
      </c>
      <c r="C26" s="8" t="str">
        <f>IF($I26=0,"",INDEX('إدخال وسجل المنتجات'!$B$5:$B$590,$I26))</f>
        <v>رغوة صابون</v>
      </c>
      <c r="D26" s="10" t="str">
        <f>IF($I26=0,"",INDEX('إدخال وسجل المنتجات'!$C$5:$C$590,$I26))</f>
        <v>Foam Soap</v>
      </c>
      <c r="E26" s="11" t="str">
        <f>IF($I26=0,"",INDEX('إدخال وسجل المنتجات'!$D$5:$D$590,$I26))</f>
        <v>مواد خام</v>
      </c>
      <c r="F26" s="2" t="str">
        <f>IF($I26=0,"",INDEX('إدخال وسجل المنتجات'!$G$5:$G$590,$I26))</f>
        <v>وحدة</v>
      </c>
      <c r="G26" s="12"/>
      <c r="H26" s="13"/>
      <c r="I26">
        <f>SUMPRODUCT(('إدخال وسجل المنتجات'!$I$5:$I$590="CNS")*('إدخال وسجل المنتجات'!$M$5:$M$590=26)*(ROW('إدخال وسجل المنتجات'!$I$5:$I$590)-4))</f>
        <v>373</v>
      </c>
      <c r="J26" s="2" t="str">
        <f>IF($I26=0,"",IF($G26="","",$G26*IF(INDEX('إدخال وسجل المنتجات'!$U$5:$U$590,$I26)=0,1,INDEX('إدخال وسجل المنتجات'!$U$5:$U$590,$I26))))</f>
        <v/>
      </c>
    </row>
    <row r="27" spans="1:10" ht="16" x14ac:dyDescent="0.15">
      <c r="A27" s="2">
        <f>IF($I27=0,"",28)</f>
        <v>28</v>
      </c>
      <c r="B27" s="9" t="str">
        <f>IF($I27=0,"",INDEX('إدخال وسجل المنتجات'!$F$5:$F$590,$I27))</f>
        <v>RAW-CNS-027</v>
      </c>
      <c r="C27" s="8" t="str">
        <f>IF($I27=0,"",INDEX('إدخال وسجل المنتجات'!$B$5:$B$590,$I27))</f>
        <v>رول تغليف طعام</v>
      </c>
      <c r="D27" s="10" t="str">
        <f>IF($I27=0,"",INDEX('إدخال وسجل المنتجات'!$C$5:$C$590,$I27))</f>
        <v>Food Wrap Roll</v>
      </c>
      <c r="E27" s="11" t="str">
        <f>IF($I27=0,"",INDEX('إدخال وسجل المنتجات'!$D$5:$D$590,$I27))</f>
        <v>مواد خام</v>
      </c>
      <c r="F27" s="2" t="str">
        <f>IF($I27=0,"",INDEX('إدخال وسجل المنتجات'!$G$5:$G$590,$I27))</f>
        <v>وحدة</v>
      </c>
      <c r="G27" s="12"/>
      <c r="H27" s="13"/>
      <c r="I27">
        <f>SUMPRODUCT(('إدخال وسجل المنتجات'!$I$5:$I$590="CNS")*('إدخال وسجل المنتجات'!$M$5:$M$590=28)*(ROW('إدخال وسجل المنتجات'!$I$5:$I$590)-4))</f>
        <v>377</v>
      </c>
      <c r="J27" s="2" t="str">
        <f>IF($I27=0,"",IF($G27="","",$G27*IF(INDEX('إدخال وسجل المنتجات'!$U$5:$U$590,$I27)=0,1,INDEX('إدخال وسجل المنتجات'!$U$5:$U$590,$I27))))</f>
        <v/>
      </c>
    </row>
    <row r="28" spans="1:10" ht="16" x14ac:dyDescent="0.15">
      <c r="A28" s="2">
        <f>IF($I28=0,"",29)</f>
        <v>29</v>
      </c>
      <c r="B28" s="9" t="str">
        <f>IF($I28=0,"",INDEX('إدخال وسجل المنتجات'!$F$5:$F$590,$I28))</f>
        <v>RAW-CNS-028</v>
      </c>
      <c r="C28" s="8" t="str">
        <f>IF($I28=0,"",INDEX('إدخال وسجل المنتجات'!$B$5:$B$590,$I28))</f>
        <v>رينسال</v>
      </c>
      <c r="D28" s="10" t="str">
        <f>IF($I28=0,"",INDEX('إدخال وسجل المنتجات'!$C$5:$C$590,$I28))</f>
        <v>Rinsal</v>
      </c>
      <c r="E28" s="11" t="str">
        <f>IF($I28=0,"",INDEX('إدخال وسجل المنتجات'!$D$5:$D$590,$I28))</f>
        <v>مواد خام</v>
      </c>
      <c r="F28" s="2" t="str">
        <f>IF($I28=0,"",INDEX('إدخال وسجل المنتجات'!$G$5:$G$590,$I28))</f>
        <v>وحدة</v>
      </c>
      <c r="G28" s="12"/>
      <c r="H28" s="13"/>
      <c r="I28">
        <f>SUMPRODUCT(('إدخال وسجل المنتجات'!$I$5:$I$590="CNS")*('إدخال وسجل المنتجات'!$M$5:$M$590=29)*(ROW('إدخال وسجل المنتجات'!$I$5:$I$590)-4))</f>
        <v>390</v>
      </c>
      <c r="J28" s="2" t="str">
        <f>IF($I28=0,"",IF($G28="","",$G28*IF(INDEX('إدخال وسجل المنتجات'!$U$5:$U$590,$I28)=0,1,INDEX('إدخال وسجل المنتجات'!$U$5:$U$590,$I28))))</f>
        <v/>
      </c>
    </row>
    <row r="29" spans="1:10" ht="16" x14ac:dyDescent="0.15">
      <c r="A29" s="2">
        <f>IF($I29=0,"",30)</f>
        <v>30</v>
      </c>
      <c r="B29" s="9" t="str">
        <f>IF($I29=0,"",INDEX('إدخال وسجل المنتجات'!$F$5:$F$590,$I29))</f>
        <v>RAW-CNS-029</v>
      </c>
      <c r="C29" s="8" t="str">
        <f>IF($I29=0,"",INDEX('إدخال وسجل المنتجات'!$B$5:$B$590,$I29))</f>
        <v>سائل تنظيف زجاج</v>
      </c>
      <c r="D29" s="10" t="str">
        <f>IF($I29=0,"",INDEX('إدخال وسجل المنتجات'!$C$5:$C$590,$I29))</f>
        <v>Glass Cleaner</v>
      </c>
      <c r="E29" s="11" t="str">
        <f>IF($I29=0,"",INDEX('إدخال وسجل المنتجات'!$D$5:$D$590,$I29))</f>
        <v>مواد خام</v>
      </c>
      <c r="F29" s="2" t="str">
        <f>IF($I29=0,"",INDEX('إدخال وسجل المنتجات'!$G$5:$G$590,$I29))</f>
        <v>وحدة</v>
      </c>
      <c r="G29" s="12"/>
      <c r="H29" s="13"/>
      <c r="I29">
        <f>SUMPRODUCT(('إدخال وسجل المنتجات'!$I$5:$I$590="CNS")*('إدخال وسجل المنتجات'!$M$5:$M$590=30)*(ROW('إدخال وسجل المنتجات'!$I$5:$I$590)-4))</f>
        <v>403</v>
      </c>
      <c r="J29" s="2" t="str">
        <f>IF($I29=0,"",IF($G29="","",$G29*IF(INDEX('إدخال وسجل المنتجات'!$U$5:$U$590,$I29)=0,1,INDEX('إدخال وسجل المنتجات'!$U$5:$U$590,$I29))))</f>
        <v/>
      </c>
    </row>
    <row r="30" spans="1:10" ht="16" x14ac:dyDescent="0.15">
      <c r="A30" s="2">
        <f>IF($I30=0,"",31)</f>
        <v>31</v>
      </c>
      <c r="B30" s="9" t="str">
        <f>IF($I30=0,"",INDEX('إدخال وسجل المنتجات'!$F$5:$F$590,$I30))</f>
        <v>RAW-CNS-030</v>
      </c>
      <c r="C30" s="8" t="str">
        <f>IF($I30=0,"",INDEX('إدخال وسجل المنتجات'!$B$5:$B$590,$I30))</f>
        <v>سائل تنظيف صحون</v>
      </c>
      <c r="D30" s="10" t="str">
        <f>IF($I30=0,"",INDEX('إدخال وسجل المنتجات'!$C$5:$C$590,$I30))</f>
        <v>Dish Soap</v>
      </c>
      <c r="E30" s="11" t="str">
        <f>IF($I30=0,"",INDEX('إدخال وسجل المنتجات'!$D$5:$D$590,$I30))</f>
        <v>مواد خام</v>
      </c>
      <c r="F30" s="2" t="str">
        <f>IF($I30=0,"",INDEX('إدخال وسجل المنتجات'!$G$5:$G$590,$I30))</f>
        <v>وحدة</v>
      </c>
      <c r="G30" s="12"/>
      <c r="H30" s="13"/>
      <c r="I30">
        <f>SUMPRODUCT(('إدخال وسجل المنتجات'!$I$5:$I$590="CNS")*('إدخال وسجل المنتجات'!$M$5:$M$590=31)*(ROW('إدخال وسجل المنتجات'!$I$5:$I$590)-4))</f>
        <v>404</v>
      </c>
      <c r="J30" s="2" t="str">
        <f>IF($I30=0,"",IF($G30="","",$G30*IF(INDEX('إدخال وسجل المنتجات'!$U$5:$U$590,$I30)=0,1,INDEX('إدخال وسجل المنتجات'!$U$5:$U$590,$I30))))</f>
        <v/>
      </c>
    </row>
    <row r="31" spans="1:10" ht="16" x14ac:dyDescent="0.15">
      <c r="A31" s="2">
        <f>IF($I31=0,"",32)</f>
        <v>32</v>
      </c>
      <c r="B31" s="9" t="str">
        <f>IF($I31=0,"",INDEX('إدخال وسجل المنتجات'!$F$5:$F$590,$I31))</f>
        <v>RAW-CNS-031</v>
      </c>
      <c r="C31" s="8" t="str">
        <f>IF($I31=0,"",INDEX('إدخال وسجل المنتجات'!$B$5:$B$590,$I31))</f>
        <v>سلك نحاس شائك</v>
      </c>
      <c r="D31" s="10" t="str">
        <f>IF($I31=0,"",INDEX('إدخال وسجل المنتجات'!$C$5:$C$590,$I31))</f>
        <v>Copper Scrubber</v>
      </c>
      <c r="E31" s="11" t="str">
        <f>IF($I31=0,"",INDEX('إدخال وسجل المنتجات'!$D$5:$D$590,$I31))</f>
        <v>مواد خام</v>
      </c>
      <c r="F31" s="2" t="str">
        <f>IF($I31=0,"",INDEX('إدخال وسجل المنتجات'!$G$5:$G$590,$I31))</f>
        <v>وحدة</v>
      </c>
      <c r="G31" s="12"/>
      <c r="H31" s="13"/>
      <c r="I31">
        <f>SUMPRODUCT(('إدخال وسجل المنتجات'!$I$5:$I$590="CNS")*('إدخال وسجل المنتجات'!$M$5:$M$590=32)*(ROW('إدخال وسجل المنتجات'!$I$5:$I$590)-4))</f>
        <v>408</v>
      </c>
      <c r="J31" s="2" t="str">
        <f>IF($I31=0,"",IF($G31="","",$G31*IF(INDEX('إدخال وسجل المنتجات'!$U$5:$U$590,$I31)=0,1,INDEX('إدخال وسجل المنتجات'!$U$5:$U$590,$I31))))</f>
        <v/>
      </c>
    </row>
    <row r="32" spans="1:10" ht="16" x14ac:dyDescent="0.15">
      <c r="A32" s="2">
        <f>IF($I32=0,"",34)</f>
        <v>34</v>
      </c>
      <c r="B32" s="9" t="str">
        <f>IF($I32=0,"",INDEX('إدخال وسجل المنتجات'!$F$5:$F$590,$I32))</f>
        <v>RAW-CNS-033</v>
      </c>
      <c r="C32" s="8" t="str">
        <f>IF($I32=0,"",INDEX('إدخال وسجل المنتجات'!$B$5:$B$590,$I32))</f>
        <v>صابون يد</v>
      </c>
      <c r="D32" s="10" t="str">
        <f>IF($I32=0,"",INDEX('إدخال وسجل المنتجات'!$C$5:$C$590,$I32))</f>
        <v>Hand Soap</v>
      </c>
      <c r="E32" s="11" t="str">
        <f>IF($I32=0,"",INDEX('إدخال وسجل المنتجات'!$D$5:$D$590,$I32))</f>
        <v>مواد خام</v>
      </c>
      <c r="F32" s="2" t="str">
        <f>IF($I32=0,"",INDEX('إدخال وسجل المنتجات'!$G$5:$G$590,$I32))</f>
        <v>وحدة</v>
      </c>
      <c r="G32" s="12"/>
      <c r="H32" s="13"/>
      <c r="I32">
        <f>SUMPRODUCT(('إدخال وسجل المنتجات'!$I$5:$I$590="CNS")*('إدخال وسجل المنتجات'!$M$5:$M$590=34)*(ROW('إدخال وسجل المنتجات'!$I$5:$I$590)-4))</f>
        <v>432</v>
      </c>
      <c r="J32" s="2" t="str">
        <f>IF($I32=0,"",IF($G32="","",$G32*IF(INDEX('إدخال وسجل المنتجات'!$U$5:$U$590,$I32)=0,1,INDEX('إدخال وسجل المنتجات'!$U$5:$U$590,$I32))))</f>
        <v/>
      </c>
    </row>
    <row r="33" spans="1:10" ht="16" x14ac:dyDescent="0.15">
      <c r="A33" s="2">
        <f>IF($I33=0,"",35)</f>
        <v>35</v>
      </c>
      <c r="B33" s="9" t="str">
        <f>IF($I33=0,"",INDEX('إدخال وسجل المنتجات'!$F$5:$F$590,$I33))</f>
        <v>RAW-CNS-034</v>
      </c>
      <c r="C33" s="8" t="str">
        <f>IF($I33=0,"",INDEX('إدخال وسجل المنتجات'!$B$5:$B$590,$I33))</f>
        <v>صحون سوداء مع اغطية</v>
      </c>
      <c r="D33" s="10" t="str">
        <f>IF($I33=0,"",INDEX('إدخال وسجل المنتجات'!$C$5:$C$590,$I33))</f>
        <v>Covers Plates</v>
      </c>
      <c r="E33" s="11" t="str">
        <f>IF($I33=0,"",INDEX('إدخال وسجل المنتجات'!$D$5:$D$590,$I33))</f>
        <v>مواد خام</v>
      </c>
      <c r="F33" s="2" t="str">
        <f>IF($I33=0,"",INDEX('إدخال وسجل المنتجات'!$G$5:$G$590,$I33))</f>
        <v>وحدة</v>
      </c>
      <c r="G33" s="12"/>
      <c r="H33" s="13"/>
      <c r="I33">
        <f>SUMPRODUCT(('إدخال وسجل المنتجات'!$I$5:$I$590="CNS")*('إدخال وسجل المنتجات'!$M$5:$M$590=35)*(ROW('إدخال وسجل المنتجات'!$I$5:$I$590)-4))</f>
        <v>433</v>
      </c>
      <c r="J33" s="2" t="str">
        <f>IF($I33=0,"",IF($G33="","",$G33*IF(INDEX('إدخال وسجل المنتجات'!$U$5:$U$590,$I33)=0,1,INDEX('إدخال وسجل المنتجات'!$U$5:$U$590,$I33))))</f>
        <v/>
      </c>
    </row>
    <row r="34" spans="1:10" ht="16" x14ac:dyDescent="0.15">
      <c r="A34" s="2">
        <f>IF($I34=0,"",36)</f>
        <v>36</v>
      </c>
      <c r="B34" s="9" t="str">
        <f>IF($I34=0,"",INDEX('إدخال وسجل المنتجات'!$F$5:$F$590,$I34))</f>
        <v>RAW-CNS-035</v>
      </c>
      <c r="C34" s="8" t="str">
        <f>IF($I34=0,"",INDEX('إدخال وسجل المنتجات'!$B$5:$B$590,$I34))</f>
        <v>صحون قصب السكر</v>
      </c>
      <c r="D34" s="10" t="str">
        <f>IF($I34=0,"",INDEX('إدخال وسجل المنتجات'!$C$5:$C$590,$I34))</f>
        <v>Sugarcane Plates</v>
      </c>
      <c r="E34" s="11" t="str">
        <f>IF($I34=0,"",INDEX('إدخال وسجل المنتجات'!$D$5:$D$590,$I34))</f>
        <v>مواد خام</v>
      </c>
      <c r="F34" s="2" t="str">
        <f>IF($I34=0,"",INDEX('إدخال وسجل المنتجات'!$G$5:$G$590,$I34))</f>
        <v>وحدة</v>
      </c>
      <c r="G34" s="12"/>
      <c r="H34" s="13"/>
      <c r="I34">
        <f>SUMPRODUCT(('إدخال وسجل المنتجات'!$I$5:$I$590="CNS")*('إدخال وسجل المنتجات'!$M$5:$M$590=36)*(ROW('إدخال وسجل المنتجات'!$I$5:$I$590)-4))</f>
        <v>434</v>
      </c>
      <c r="J34" s="2" t="str">
        <f>IF($I34=0,"",IF($G34="","",$G34*IF(INDEX('إدخال وسجل المنتجات'!$U$5:$U$590,$I34)=0,1,INDEX('إدخال وسجل المنتجات'!$U$5:$U$590,$I34))))</f>
        <v/>
      </c>
    </row>
    <row r="35" spans="1:10" ht="16" x14ac:dyDescent="0.15">
      <c r="A35" s="2">
        <f>IF($I35=0,"",37)</f>
        <v>37</v>
      </c>
      <c r="B35" s="9" t="str">
        <f>IF($I35=0,"",INDEX('إدخال وسجل المنتجات'!$F$5:$F$590,$I35))</f>
        <v>RAW-CNS-036</v>
      </c>
      <c r="C35" s="8" t="str">
        <f>IF($I35=0,"",INDEX('إدخال وسجل المنتجات'!$B$5:$B$590,$I35))</f>
        <v>صحون لازانيا مع اغطية</v>
      </c>
      <c r="D35" s="10" t="str">
        <f>IF($I35=0,"",INDEX('إدخال وسجل المنتجات'!$C$5:$C$590,$I35))</f>
        <v>Lasagna Covers Plates</v>
      </c>
      <c r="E35" s="11" t="str">
        <f>IF($I35=0,"",INDEX('إدخال وسجل المنتجات'!$D$5:$D$590,$I35))</f>
        <v>مواد خام</v>
      </c>
      <c r="F35" s="2" t="str">
        <f>IF($I35=0,"",INDEX('إدخال وسجل المنتجات'!$G$5:$G$590,$I35))</f>
        <v>وحدة</v>
      </c>
      <c r="G35" s="12"/>
      <c r="H35" s="13"/>
      <c r="I35">
        <f>SUMPRODUCT(('إدخال وسجل المنتجات'!$I$5:$I$590="CNS")*('إدخال وسجل المنتجات'!$M$5:$M$590=37)*(ROW('إدخال وسجل المنتجات'!$I$5:$I$590)-4))</f>
        <v>435</v>
      </c>
      <c r="J35" s="2" t="str">
        <f>IF($I35=0,"",IF($G35="","",$G35*IF(INDEX('إدخال وسجل المنتجات'!$U$5:$U$590,$I35)=0,1,INDEX('إدخال وسجل المنتجات'!$U$5:$U$590,$I35))))</f>
        <v/>
      </c>
    </row>
    <row r="36" spans="1:10" ht="16" x14ac:dyDescent="0.15">
      <c r="A36" s="2">
        <f>IF($I36=0,"",42)</f>
        <v>42</v>
      </c>
      <c r="B36" s="9" t="str">
        <f>IF($I36=0,"",INDEX('إدخال وسجل المنتجات'!$F$5:$F$590,$I36))</f>
        <v>RAW-CNS-041</v>
      </c>
      <c r="C36" s="8" t="str">
        <f>IF($I36=0,"",INDEX('إدخال وسجل المنتجات'!$B$5:$B$590,$I36))</f>
        <v>طقم ملاعق شوك سكاكين</v>
      </c>
      <c r="D36" s="10" t="str">
        <f>IF($I36=0,"",INDEX('إدخال وسجل المنتجات'!$C$5:$C$590,$I36))</f>
        <v>Cutlery Set</v>
      </c>
      <c r="E36" s="11" t="str">
        <f>IF($I36=0,"",INDEX('إدخال وسجل المنتجات'!$D$5:$D$590,$I36))</f>
        <v>مواد خام</v>
      </c>
      <c r="F36" s="2" t="str">
        <f>IF($I36=0,"",INDEX('إدخال وسجل المنتجات'!$G$5:$G$590,$I36))</f>
        <v>وحدة</v>
      </c>
      <c r="G36" s="12"/>
      <c r="H36" s="13"/>
      <c r="I36">
        <f>SUMPRODUCT(('إدخال وسجل المنتجات'!$I$5:$I$590="CNS")*('إدخال وسجل المنتجات'!$M$5:$M$590=42)*(ROW('إدخال وسجل المنتجات'!$I$5:$I$590)-4))</f>
        <v>475</v>
      </c>
      <c r="J36" s="2" t="str">
        <f>IF($I36=0,"",IF($G36="","",$G36*IF(INDEX('إدخال وسجل المنتجات'!$U$5:$U$590,$I36)=0,1,INDEX('إدخال وسجل المنتجات'!$U$5:$U$590,$I36))))</f>
        <v/>
      </c>
    </row>
    <row r="37" spans="1:10" ht="16" x14ac:dyDescent="0.15">
      <c r="A37" s="2">
        <f>IF($I37=0,"",44)</f>
        <v>44</v>
      </c>
      <c r="B37" s="9" t="str">
        <f>IF($I37=0,"",INDEX('إدخال وسجل المنتجات'!$F$5:$F$590,$I37))</f>
        <v>RAW-CNS-043</v>
      </c>
      <c r="C37" s="8" t="str">
        <f>IF($I37=0,"",INDEX('إدخال وسجل المنتجات'!$B$5:$B$590,$I37))</f>
        <v>علب تيراميسو مع اغطية</v>
      </c>
      <c r="D37" s="10" t="str">
        <f>IF($I37=0,"",INDEX('إدخال وسجل المنتجات'!$C$5:$C$590,$I37))</f>
        <v>Tiramisu Covers Boxes</v>
      </c>
      <c r="E37" s="11" t="str">
        <f>IF($I37=0,"",INDEX('إدخال وسجل المنتجات'!$D$5:$D$590,$I37))</f>
        <v>مواد خام</v>
      </c>
      <c r="F37" s="2" t="str">
        <f>IF($I37=0,"",INDEX('إدخال وسجل المنتجات'!$G$5:$G$590,$I37))</f>
        <v>وحدة</v>
      </c>
      <c r="G37" s="12"/>
      <c r="H37" s="13"/>
      <c r="I37">
        <f>SUMPRODUCT(('إدخال وسجل المنتجات'!$I$5:$I$590="CNS")*('إدخال وسجل المنتجات'!$M$5:$M$590=44)*(ROW('إدخال وسجل المنتجات'!$I$5:$I$590)-4))</f>
        <v>483</v>
      </c>
      <c r="J37" s="2" t="str">
        <f>IF($I37=0,"",IF($G37="","",$G37*IF(INDEX('إدخال وسجل المنتجات'!$U$5:$U$590,$I37)=0,1,INDEX('إدخال وسجل المنتجات'!$U$5:$U$590,$I37))))</f>
        <v/>
      </c>
    </row>
    <row r="38" spans="1:10" ht="16" x14ac:dyDescent="0.15">
      <c r="A38" s="2">
        <f>IF($I38=0,"",45)</f>
        <v>45</v>
      </c>
      <c r="B38" s="9" t="str">
        <f>IF($I38=0,"",INDEX('إدخال وسجل المنتجات'!$F$5:$F$590,$I38))</f>
        <v>RAW-CNS-044</v>
      </c>
      <c r="C38" s="8" t="str">
        <f>IF($I38=0,"",INDEX('إدخال وسجل المنتجات'!$B$5:$B$590,$I38))</f>
        <v>علب سفري</v>
      </c>
      <c r="D38" s="10" t="str">
        <f>IF($I38=0,"",INDEX('إدخال وسجل المنتجات'!$C$5:$C$590,$I38))</f>
        <v>Takeaway Boxes</v>
      </c>
      <c r="E38" s="11" t="str">
        <f>IF($I38=0,"",INDEX('إدخال وسجل المنتجات'!$D$5:$D$590,$I38))</f>
        <v>مواد خام</v>
      </c>
      <c r="F38" s="2" t="str">
        <f>IF($I38=0,"",INDEX('إدخال وسجل المنتجات'!$G$5:$G$590,$I38))</f>
        <v>وحدة</v>
      </c>
      <c r="G38" s="12"/>
      <c r="H38" s="13"/>
      <c r="I38">
        <f>SUMPRODUCT(('إدخال وسجل المنتجات'!$I$5:$I$590="CNS")*('إدخال وسجل المنتجات'!$M$5:$M$590=45)*(ROW('إدخال وسجل المنتجات'!$I$5:$I$590)-4))</f>
        <v>484</v>
      </c>
      <c r="J38" s="2" t="str">
        <f>IF($I38=0,"",IF($G38="","",$G38*IF(INDEX('إدخال وسجل المنتجات'!$U$5:$U$590,$I38)=0,1,INDEX('إدخال وسجل المنتجات'!$U$5:$U$590,$I38))))</f>
        <v/>
      </c>
    </row>
    <row r="39" spans="1:10" ht="16" x14ac:dyDescent="0.15">
      <c r="A39" s="2">
        <f>IF($I39=0,"",46)</f>
        <v>46</v>
      </c>
      <c r="B39" s="9" t="str">
        <f>IF($I39=0,"",INDEX('إدخال وسجل المنتجات'!$F$5:$F$590,$I39))</f>
        <v>RAW-CNS-045</v>
      </c>
      <c r="C39" s="8" t="str">
        <f>IF($I39=0,"",INDEX('إدخال وسجل المنتجات'!$B$5:$B$590,$I39))</f>
        <v>علب صوص</v>
      </c>
      <c r="D39" s="10" t="str">
        <f>IF($I39=0,"",INDEX('إدخال وسجل المنتجات'!$C$5:$C$590,$I39))</f>
        <v>Sauce Cups</v>
      </c>
      <c r="E39" s="11" t="str">
        <f>IF($I39=0,"",INDEX('إدخال وسجل المنتجات'!$D$5:$D$590,$I39))</f>
        <v>مواد خام</v>
      </c>
      <c r="F39" s="2" t="str">
        <f>IF($I39=0,"",INDEX('إدخال وسجل المنتجات'!$G$5:$G$590,$I39))</f>
        <v>وحدة</v>
      </c>
      <c r="G39" s="12"/>
      <c r="H39" s="13"/>
      <c r="I39">
        <f>SUMPRODUCT(('إدخال وسجل المنتجات'!$I$5:$I$590="CNS")*('إدخال وسجل المنتجات'!$M$5:$M$590=46)*(ROW('إدخال وسجل المنتجات'!$I$5:$I$590)-4))</f>
        <v>485</v>
      </c>
      <c r="J39" s="2" t="str">
        <f>IF($I39=0,"",IF($G39="","",$G39*IF(INDEX('إدخال وسجل المنتجات'!$U$5:$U$590,$I39)=0,1,INDEX('إدخال وسجل المنتجات'!$U$5:$U$590,$I39))))</f>
        <v/>
      </c>
    </row>
    <row r="40" spans="1:10" ht="16" x14ac:dyDescent="0.15">
      <c r="A40" s="2">
        <f>IF($I40=0,"",47)</f>
        <v>47</v>
      </c>
      <c r="B40" s="9" t="str">
        <f>IF($I40=0,"",INDEX('إدخال وسجل المنتجات'!$F$5:$F$590,$I40))</f>
        <v>RAW-CNS-046</v>
      </c>
      <c r="C40" s="8" t="str">
        <f>IF($I40=0,"",INDEX('إدخال وسجل المنتجات'!$B$5:$B$590,$I40))</f>
        <v>علب كريم بروليه</v>
      </c>
      <c r="D40" s="10" t="str">
        <f>IF($I40=0,"",INDEX('إدخال وسجل المنتجات'!$C$5:$C$590,$I40))</f>
        <v>Creme Brulee Boxes</v>
      </c>
      <c r="E40" s="11" t="str">
        <f>IF($I40=0,"",INDEX('إدخال وسجل المنتجات'!$D$5:$D$590,$I40))</f>
        <v>مواد خام</v>
      </c>
      <c r="F40" s="2" t="str">
        <f>IF($I40=0,"",INDEX('إدخال وسجل المنتجات'!$G$5:$G$590,$I40))</f>
        <v>وحدة</v>
      </c>
      <c r="G40" s="12"/>
      <c r="H40" s="13"/>
      <c r="I40">
        <f>SUMPRODUCT(('إدخال وسجل المنتجات'!$I$5:$I$590="CNS")*('إدخال وسجل المنتجات'!$M$5:$M$590=47)*(ROW('إدخال وسجل المنتجات'!$I$5:$I$590)-4))</f>
        <v>486</v>
      </c>
      <c r="J40" s="2" t="str">
        <f>IF($I40=0,"",IF($G40="","",$G40*IF(INDEX('إدخال وسجل المنتجات'!$U$5:$U$590,$I40)=0,1,INDEX('إدخال وسجل المنتجات'!$U$5:$U$590,$I40))))</f>
        <v/>
      </c>
    </row>
    <row r="41" spans="1:10" ht="16" x14ac:dyDescent="0.15">
      <c r="A41" s="2">
        <f>IF($I41=0,"",48)</f>
        <v>48</v>
      </c>
      <c r="B41" s="9" t="str">
        <f>IF($I41=0,"",INDEX('إدخال وسجل المنتجات'!$F$5:$F$590,$I41))</f>
        <v>RAW-CNS-047</v>
      </c>
      <c r="C41" s="8" t="str">
        <f>IF($I41=0,"",INDEX('إدخال وسجل المنتجات'!$B$5:$B$590,$I41))</f>
        <v>علب مربعة</v>
      </c>
      <c r="D41" s="10" t="str">
        <f>IF($I41=0,"",INDEX('إدخال وسجل المنتجات'!$C$5:$C$590,$I41))</f>
        <v>Square Boxes</v>
      </c>
      <c r="E41" s="11" t="str">
        <f>IF($I41=0,"",INDEX('إدخال وسجل المنتجات'!$D$5:$D$590,$I41))</f>
        <v>مواد خام</v>
      </c>
      <c r="F41" s="2" t="str">
        <f>IF($I41=0,"",INDEX('إدخال وسجل المنتجات'!$G$5:$G$590,$I41))</f>
        <v>وحدة</v>
      </c>
      <c r="G41" s="12"/>
      <c r="H41" s="13"/>
      <c r="I41">
        <f>SUMPRODUCT(('إدخال وسجل المنتجات'!$I$5:$I$590="CNS")*('إدخال وسجل المنتجات'!$M$5:$M$590=48)*(ROW('إدخال وسجل المنتجات'!$I$5:$I$590)-4))</f>
        <v>487</v>
      </c>
      <c r="J41" s="2" t="str">
        <f>IF($I41=0,"",IF($G41="","",$G41*IF(INDEX('إدخال وسجل المنتجات'!$U$5:$U$590,$I41)=0,1,INDEX('إدخال وسجل المنتجات'!$U$5:$U$590,$I41))))</f>
        <v/>
      </c>
    </row>
    <row r="42" spans="1:10" ht="16" x14ac:dyDescent="0.15">
      <c r="A42" s="2">
        <f>IF($I42=0,"",49)</f>
        <v>49</v>
      </c>
      <c r="B42" s="9" t="str">
        <f>IF($I42=0,"",INDEX('إدخال وسجل المنتجات'!$F$5:$F$590,$I42))</f>
        <v>RAW-CNS-048</v>
      </c>
      <c r="C42" s="8" t="str">
        <f>IF($I42=0,"",INDEX('إدخال وسجل المنتجات'!$B$5:$B$590,$I42))</f>
        <v>علبة ميكروويف 38 اونص</v>
      </c>
      <c r="D42" s="10" t="str">
        <f>IF($I42=0,"",INDEX('إدخال وسجل المنتجات'!$C$5:$C$590,$I42))</f>
        <v>Microwave Container</v>
      </c>
      <c r="E42" s="11" t="str">
        <f>IF($I42=0,"",INDEX('إدخال وسجل المنتجات'!$D$5:$D$590,$I42))</f>
        <v>مواد خام</v>
      </c>
      <c r="F42" s="2" t="str">
        <f>IF($I42=0,"",INDEX('إدخال وسجل المنتجات'!$G$5:$G$590,$I42))</f>
        <v>وحدة</v>
      </c>
      <c r="G42" s="12"/>
      <c r="H42" s="13"/>
      <c r="I42">
        <f>SUMPRODUCT(('إدخال وسجل المنتجات'!$I$5:$I$590="CNS")*('إدخال وسجل المنتجات'!$M$5:$M$590=49)*(ROW('إدخال وسجل المنتجات'!$I$5:$I$590)-4))</f>
        <v>488</v>
      </c>
      <c r="J42" s="2" t="str">
        <f>IF($I42=0,"",IF($G42="","",$G42*IF(INDEX('إدخال وسجل المنتجات'!$U$5:$U$590,$I42)=0,1,INDEX('إدخال وسجل المنتجات'!$U$5:$U$590,$I42))))</f>
        <v/>
      </c>
    </row>
    <row r="43" spans="1:10" ht="16" x14ac:dyDescent="0.15">
      <c r="A43" s="2">
        <f>IF($I43=0,"",55)</f>
        <v>55</v>
      </c>
      <c r="B43" s="9" t="str">
        <f>IF($I43=0,"",INDEX('إدخال وسجل المنتجات'!$F$5:$F$590,$I43))</f>
        <v>RAW-CNS-054</v>
      </c>
      <c r="C43" s="8" t="str">
        <f>IF($I43=0,"",INDEX('إدخال وسجل المنتجات'!$B$5:$B$590,$I43))</f>
        <v>فوطة تنظيف مايكرو فايبر</v>
      </c>
      <c r="D43" s="10" t="str">
        <f>IF($I43=0,"",INDEX('إدخال وسجل المنتجات'!$C$5:$C$590,$I43))</f>
        <v>Microfiber Cloth</v>
      </c>
      <c r="E43" s="11" t="str">
        <f>IF($I43=0,"",INDEX('إدخال وسجل المنتجات'!$D$5:$D$590,$I43))</f>
        <v>مواد خام</v>
      </c>
      <c r="F43" s="2" t="str">
        <f>IF($I43=0,"",INDEX('إدخال وسجل المنتجات'!$G$5:$G$590,$I43))</f>
        <v>وحدة</v>
      </c>
      <c r="G43" s="12"/>
      <c r="H43" s="13"/>
      <c r="I43">
        <f>SUMPRODUCT(('إدخال وسجل المنتجات'!$I$5:$I$590="CNS")*('إدخال وسجل المنتجات'!$M$5:$M$590=55)*(ROW('إدخال وسجل المنتجات'!$I$5:$I$590)-4))</f>
        <v>502</v>
      </c>
      <c r="J43" s="2" t="str">
        <f>IF($I43=0,"",IF($G43="","",$G43*IF(INDEX('إدخال وسجل المنتجات'!$U$5:$U$590,$I43)=0,1,INDEX('إدخال وسجل المنتجات'!$U$5:$U$590,$I43))))</f>
        <v/>
      </c>
    </row>
    <row r="44" spans="1:10" ht="16" x14ac:dyDescent="0.15">
      <c r="A44" s="2">
        <f>IF($I44=0,"",57)</f>
        <v>57</v>
      </c>
      <c r="B44" s="9" t="str">
        <f>IF($I44=0,"",INDEX('إدخال وسجل المنتجات'!$F$5:$F$590,$I44))</f>
        <v>RAW-CNS-056</v>
      </c>
      <c r="C44" s="8" t="str">
        <f>IF($I44=0,"",INDEX('إدخال وسجل المنتجات'!$B$5:$B$590,$I44))</f>
        <v>قفازات سوداء</v>
      </c>
      <c r="D44" s="10" t="str">
        <f>IF($I44=0,"",INDEX('إدخال وسجل المنتجات'!$C$5:$C$590,$I44))</f>
        <v>Gloves</v>
      </c>
      <c r="E44" s="11" t="str">
        <f>IF($I44=0,"",INDEX('إدخال وسجل المنتجات'!$D$5:$D$590,$I44))</f>
        <v>مواد خام</v>
      </c>
      <c r="F44" s="2" t="str">
        <f>IF($I44=0,"",INDEX('إدخال وسجل المنتجات'!$G$5:$G$590,$I44))</f>
        <v>وحدة</v>
      </c>
      <c r="G44" s="12"/>
      <c r="H44" s="13"/>
      <c r="I44">
        <f>SUMPRODUCT(('إدخال وسجل المنتجات'!$I$5:$I$590="CNS")*('إدخال وسجل المنتجات'!$M$5:$M$590=57)*(ROW('إدخال وسجل المنتجات'!$I$5:$I$590)-4))</f>
        <v>507</v>
      </c>
      <c r="J44" s="2" t="str">
        <f>IF($I44=0,"",IF($G44="","",$G44*IF(INDEX('إدخال وسجل المنتجات'!$U$5:$U$590,$I44)=0,1,INDEX('إدخال وسجل المنتجات'!$U$5:$U$590,$I44))))</f>
        <v/>
      </c>
    </row>
    <row r="45" spans="1:10" ht="16" x14ac:dyDescent="0.15">
      <c r="A45" s="2">
        <f>IF($I45=0,"",58)</f>
        <v>58</v>
      </c>
      <c r="B45" s="9" t="str">
        <f>IF($I45=0,"",INDEX('إدخال وسجل المنتجات'!$F$5:$F$590,$I45))</f>
        <v>RAW-CNS-057</v>
      </c>
      <c r="C45" s="8" t="str">
        <f>IF($I45=0,"",INDEX('إدخال وسجل المنتجات'!$B$5:$B$590,$I45))</f>
        <v>قفازات شفاف</v>
      </c>
      <c r="D45" s="10" t="str">
        <f>IF($I45=0,"",INDEX('إدخال وسجل المنتجات'!$C$5:$C$590,$I45))</f>
        <v>Gloves</v>
      </c>
      <c r="E45" s="11" t="str">
        <f>IF($I45=0,"",INDEX('إدخال وسجل المنتجات'!$D$5:$D$590,$I45))</f>
        <v>مواد خام</v>
      </c>
      <c r="F45" s="2" t="str">
        <f>IF($I45=0,"",INDEX('إدخال وسجل المنتجات'!$G$5:$G$590,$I45))</f>
        <v>وحدة</v>
      </c>
      <c r="G45" s="12"/>
      <c r="H45" s="13"/>
      <c r="I45">
        <f>SUMPRODUCT(('إدخال وسجل المنتجات'!$I$5:$I$590="CNS")*('إدخال وسجل المنتجات'!$M$5:$M$590=58)*(ROW('إدخال وسجل المنتجات'!$I$5:$I$590)-4))</f>
        <v>508</v>
      </c>
      <c r="J45" s="2" t="str">
        <f>IF($I45=0,"",IF($G45="","",$G45*IF(INDEX('إدخال وسجل المنتجات'!$U$5:$U$590,$I45)=0,1,INDEX('إدخال وسجل المنتجات'!$U$5:$U$590,$I45))))</f>
        <v/>
      </c>
    </row>
    <row r="46" spans="1:10" ht="16" x14ac:dyDescent="0.15">
      <c r="A46" s="2">
        <f>IF($I46=0,"",59)</f>
        <v>59</v>
      </c>
      <c r="B46" s="9" t="str">
        <f>IF($I46=0,"",INDEX('إدخال وسجل المنتجات'!$F$5:$F$590,$I46))</f>
        <v>RAW-CNS-058</v>
      </c>
      <c r="C46" s="8" t="str">
        <f>IF($I46=0,"",INDEX('إدخال وسجل المنتجات'!$B$5:$B$590,$I46))</f>
        <v>كاس شفاف مع غطاء اسود</v>
      </c>
      <c r="D46" s="10" t="str">
        <f>IF($I46=0,"",INDEX('إدخال وسجل المنتجات'!$C$5:$C$590,$I46))</f>
        <v>Clear Cup Cover</v>
      </c>
      <c r="E46" s="11" t="str">
        <f>IF($I46=0,"",INDEX('إدخال وسجل المنتجات'!$D$5:$D$590,$I46))</f>
        <v>مواد خام</v>
      </c>
      <c r="F46" s="2" t="str">
        <f>IF($I46=0,"",INDEX('إدخال وسجل المنتجات'!$G$5:$G$590,$I46))</f>
        <v>وحدة</v>
      </c>
      <c r="G46" s="12"/>
      <c r="H46" s="13"/>
      <c r="I46">
        <f>SUMPRODUCT(('إدخال وسجل المنتجات'!$I$5:$I$590="CNS")*('إدخال وسجل المنتجات'!$M$5:$M$590=59)*(ROW('إدخال وسجل المنتجات'!$I$5:$I$590)-4))</f>
        <v>511</v>
      </c>
      <c r="J46" s="2" t="str">
        <f>IF($I46=0,"",IF($G46="","",$G46*IF(INDEX('إدخال وسجل المنتجات'!$U$5:$U$590,$I46)=0,1,INDEX('إدخال وسجل المنتجات'!$U$5:$U$590,$I46))))</f>
        <v/>
      </c>
    </row>
    <row r="47" spans="1:10" ht="16" x14ac:dyDescent="0.15">
      <c r="A47" s="2">
        <f>IF($I47=0,"",60)</f>
        <v>60</v>
      </c>
      <c r="B47" s="9" t="str">
        <f>IF($I47=0,"",INDEX('إدخال وسجل المنتجات'!$F$5:$F$590,$I47))</f>
        <v>RAW-CNS-059</v>
      </c>
      <c r="C47" s="8" t="str">
        <f>IF($I47=0,"",INDEX('إدخال وسجل المنتجات'!$B$5:$B$590,$I47))</f>
        <v>كاسات ماء</v>
      </c>
      <c r="D47" s="10" t="str">
        <f>IF($I47=0,"",INDEX('إدخال وسجل المنتجات'!$C$5:$C$590,$I47))</f>
        <v>Water Cups</v>
      </c>
      <c r="E47" s="11" t="str">
        <f>IF($I47=0,"",INDEX('إدخال وسجل المنتجات'!$D$5:$D$590,$I47))</f>
        <v>مواد خام</v>
      </c>
      <c r="F47" s="2" t="str">
        <f>IF($I47=0,"",INDEX('إدخال وسجل المنتجات'!$G$5:$G$590,$I47))</f>
        <v>وحدة</v>
      </c>
      <c r="G47" s="12"/>
      <c r="H47" s="13"/>
      <c r="I47">
        <f>SUMPRODUCT(('إدخال وسجل المنتجات'!$I$5:$I$590="CNS")*('إدخال وسجل المنتجات'!$M$5:$M$590=60)*(ROW('إدخال وسجل المنتجات'!$I$5:$I$590)-4))</f>
        <v>512</v>
      </c>
      <c r="J47" s="2" t="str">
        <f>IF($I47=0,"",IF($G47="","",$G47*IF(INDEX('إدخال وسجل المنتجات'!$U$5:$U$590,$I47)=0,1,INDEX('إدخال وسجل المنتجات'!$U$5:$U$590,$I47))))</f>
        <v/>
      </c>
    </row>
    <row r="48" spans="1:10" ht="16" x14ac:dyDescent="0.15">
      <c r="A48" s="2">
        <f>IF($I48=0,"",61)</f>
        <v>61</v>
      </c>
      <c r="B48" s="9" t="str">
        <f>IF($I48=0,"",INDEX('إدخال وسجل المنتجات'!$F$5:$F$590,$I48))</f>
        <v>RAW-CNS-060</v>
      </c>
      <c r="C48" s="8" t="str">
        <f>IF($I48=0,"",INDEX('إدخال وسجل المنتجات'!$B$5:$B$590,$I48))</f>
        <v>كاسات مموجة سوداء ورق</v>
      </c>
      <c r="D48" s="10" t="str">
        <f>IF($I48=0,"",INDEX('إدخال وسجل المنتجات'!$C$5:$C$590,$I48))</f>
        <v>Black Ripple Paper Cups</v>
      </c>
      <c r="E48" s="11" t="str">
        <f>IF($I48=0,"",INDEX('إدخال وسجل المنتجات'!$D$5:$D$590,$I48))</f>
        <v>مواد خام</v>
      </c>
      <c r="F48" s="2" t="str">
        <f>IF($I48=0,"",INDEX('إدخال وسجل المنتجات'!$G$5:$G$590,$I48))</f>
        <v>وحدة</v>
      </c>
      <c r="G48" s="12"/>
      <c r="H48" s="13"/>
      <c r="I48">
        <f>SUMPRODUCT(('إدخال وسجل المنتجات'!$I$5:$I$590="CNS")*('إدخال وسجل المنتجات'!$M$5:$M$590=61)*(ROW('إدخال وسجل المنتجات'!$I$5:$I$590)-4))</f>
        <v>513</v>
      </c>
      <c r="J48" s="2" t="str">
        <f>IF($I48=0,"",IF($G48="","",$G48*IF(INDEX('إدخال وسجل المنتجات'!$U$5:$U$590,$I48)=0,1,INDEX('إدخال وسجل المنتجات'!$U$5:$U$590,$I48))))</f>
        <v/>
      </c>
    </row>
    <row r="49" spans="1:10" ht="16" x14ac:dyDescent="0.15">
      <c r="A49" s="2">
        <f>IF($I49=0,"",62)</f>
        <v>62</v>
      </c>
      <c r="B49" s="9" t="str">
        <f>IF($I49=0,"",INDEX('إدخال وسجل المنتجات'!$F$5:$F$590,$I49))</f>
        <v>RAW-CNS-061</v>
      </c>
      <c r="C49" s="8" t="str">
        <f>IF($I49=0,"",INDEX('إدخال وسجل المنتجات'!$B$5:$B$590,$I49))</f>
        <v>كراتين بيتزا تيك اواي</v>
      </c>
      <c r="D49" s="10" t="str">
        <f>IF($I49=0,"",INDEX('إدخال وسجل المنتجات'!$C$5:$C$590,$I49))</f>
        <v>Pizza Takeaway Boxes</v>
      </c>
      <c r="E49" s="11" t="str">
        <f>IF($I49=0,"",INDEX('إدخال وسجل المنتجات'!$D$5:$D$590,$I49))</f>
        <v>مواد خام</v>
      </c>
      <c r="F49" s="2" t="str">
        <f>IF($I49=0,"",INDEX('إدخال وسجل المنتجات'!$G$5:$G$590,$I49))</f>
        <v>وحدة</v>
      </c>
      <c r="G49" s="12"/>
      <c r="H49" s="13"/>
      <c r="I49">
        <f>SUMPRODUCT(('إدخال وسجل المنتجات'!$I$5:$I$590="CNS")*('إدخال وسجل المنتجات'!$M$5:$M$590=62)*(ROW('إدخال وسجل المنتجات'!$I$5:$I$590)-4))</f>
        <v>518</v>
      </c>
      <c r="J49" s="2" t="str">
        <f>IF($I49=0,"",IF($G49="","",$G49*IF(INDEX('إدخال وسجل المنتجات'!$U$5:$U$590,$I49)=0,1,INDEX('إدخال وسجل المنتجات'!$U$5:$U$590,$I49))))</f>
        <v/>
      </c>
    </row>
    <row r="50" spans="1:10" ht="16" x14ac:dyDescent="0.15">
      <c r="A50" s="2">
        <f>IF($I50=0,"",63)</f>
        <v>63</v>
      </c>
      <c r="B50" s="9" t="str">
        <f>IF($I50=0,"",INDEX('إدخال وسجل المنتجات'!$F$5:$F$590,$I50))</f>
        <v>RAW-CNS-062</v>
      </c>
      <c r="C50" s="8" t="str">
        <f>IF($I50=0,"",INDEX('إدخال وسجل المنتجات'!$B$5:$B$590,$I50))</f>
        <v>كراتين بيتزا صغيرة</v>
      </c>
      <c r="D50" s="10" t="str">
        <f>IF($I50=0,"",INDEX('إدخال وسجل المنتجات'!$C$5:$C$590,$I50))</f>
        <v>Small Pizza Boxes</v>
      </c>
      <c r="E50" s="11" t="str">
        <f>IF($I50=0,"",INDEX('إدخال وسجل المنتجات'!$D$5:$D$590,$I50))</f>
        <v>مواد خام</v>
      </c>
      <c r="F50" s="2" t="str">
        <f>IF($I50=0,"",INDEX('إدخال وسجل المنتجات'!$G$5:$G$590,$I50))</f>
        <v>وحدة</v>
      </c>
      <c r="G50" s="12"/>
      <c r="H50" s="13"/>
      <c r="I50">
        <f>SUMPRODUCT(('إدخال وسجل المنتجات'!$I$5:$I$590="CNS")*('إدخال وسجل المنتجات'!$M$5:$M$590=63)*(ROW('إدخال وسجل المنتجات'!$I$5:$I$590)-4))</f>
        <v>519</v>
      </c>
      <c r="J50" s="2" t="str">
        <f>IF($I50=0,"",IF($G50="","",$G50*IF(INDEX('إدخال وسجل المنتجات'!$U$5:$U$590,$I50)=0,1,INDEX('إدخال وسجل المنتجات'!$U$5:$U$590,$I50))))</f>
        <v/>
      </c>
    </row>
    <row r="51" spans="1:10" ht="16" x14ac:dyDescent="0.15">
      <c r="A51" s="2">
        <f>IF($I51=0,"",64)</f>
        <v>64</v>
      </c>
      <c r="B51" s="9" t="str">
        <f>IF($I51=0,"",INDEX('إدخال وسجل المنتجات'!$F$5:$F$590,$I51))</f>
        <v>RAW-CNS-063</v>
      </c>
      <c r="C51" s="8" t="str">
        <f>IF($I51=0,"",INDEX('إدخال وسجل المنتجات'!$B$5:$B$590,$I51))</f>
        <v>كمامات زرقاء</v>
      </c>
      <c r="D51" s="10" t="str">
        <f>IF($I51=0,"",INDEX('إدخال وسجل المنتجات'!$C$5:$C$590,$I51))</f>
        <v>Masks</v>
      </c>
      <c r="E51" s="11" t="str">
        <f>IF($I51=0,"",INDEX('إدخال وسجل المنتجات'!$D$5:$D$590,$I51))</f>
        <v>مواد خام</v>
      </c>
      <c r="F51" s="2" t="str">
        <f>IF($I51=0,"",INDEX('إدخال وسجل المنتجات'!$G$5:$G$590,$I51))</f>
        <v>وحدة</v>
      </c>
      <c r="G51" s="12"/>
      <c r="H51" s="13"/>
      <c r="I51">
        <f>SUMPRODUCT(('إدخال وسجل المنتجات'!$I$5:$I$590="CNS")*('إدخال وسجل المنتجات'!$M$5:$M$590=64)*(ROW('إدخال وسجل المنتجات'!$I$5:$I$590)-4))</f>
        <v>527</v>
      </c>
      <c r="J51" s="2" t="str">
        <f>IF($I51=0,"",IF($G51="","",$G51*IF(INDEX('إدخال وسجل المنتجات'!$U$5:$U$590,$I51)=0,1,INDEX('إدخال وسجل المنتجات'!$U$5:$U$590,$I51))))</f>
        <v/>
      </c>
    </row>
    <row r="52" spans="1:10" ht="16" x14ac:dyDescent="0.15">
      <c r="A52" s="2">
        <f>IF($I52=0,"",65)</f>
        <v>65</v>
      </c>
      <c r="B52" s="9" t="str">
        <f>IF($I52=0,"",INDEX('إدخال وسجل المنتجات'!$F$5:$F$590,$I52))</f>
        <v>RAW-CNS-064</v>
      </c>
      <c r="C52" s="8" t="str">
        <f>IF($I52=0,"",INDEX('إدخال وسجل المنتجات'!$B$5:$B$590,$I52))</f>
        <v>كمامات سوداء</v>
      </c>
      <c r="D52" s="10" t="str">
        <f>IF($I52=0,"",INDEX('إدخال وسجل المنتجات'!$C$5:$C$590,$I52))</f>
        <v>Masks</v>
      </c>
      <c r="E52" s="11" t="str">
        <f>IF($I52=0,"",INDEX('إدخال وسجل المنتجات'!$D$5:$D$590,$I52))</f>
        <v>مواد خام</v>
      </c>
      <c r="F52" s="2" t="str">
        <f>IF($I52=0,"",INDEX('إدخال وسجل المنتجات'!$G$5:$G$590,$I52))</f>
        <v>وحدة</v>
      </c>
      <c r="G52" s="12"/>
      <c r="H52" s="13"/>
      <c r="I52">
        <f>SUMPRODUCT(('إدخال وسجل المنتجات'!$I$5:$I$590="CNS")*('إدخال وسجل المنتجات'!$M$5:$M$590=65)*(ROW('إدخال وسجل المنتجات'!$I$5:$I$590)-4))</f>
        <v>528</v>
      </c>
      <c r="J52" s="2" t="str">
        <f>IF($I52=0,"",IF($G52="","",$G52*IF(INDEX('إدخال وسجل المنتجات'!$U$5:$U$590,$I52)=0,1,INDEX('إدخال وسجل المنتجات'!$U$5:$U$590,$I52))))</f>
        <v/>
      </c>
    </row>
    <row r="53" spans="1:10" ht="16" x14ac:dyDescent="0.15">
      <c r="A53" s="2">
        <f>IF($I53=0,"",66)</f>
        <v>66</v>
      </c>
      <c r="B53" s="9" t="str">
        <f>IF($I53=0,"",INDEX('إدخال وسجل المنتجات'!$F$5:$F$590,$I53))</f>
        <v>RAW-CNS-065</v>
      </c>
      <c r="C53" s="8" t="str">
        <f>IF($I53=0,"",INDEX('إدخال وسجل المنتجات'!$B$5:$B$590,$I53))</f>
        <v>كوفين</v>
      </c>
      <c r="D53" s="10" t="str">
        <f>IF($I53=0,"",INDEX('إدخال وسجل المنتجات'!$C$5:$C$590,$I53))</f>
        <v>Caffeine</v>
      </c>
      <c r="E53" s="11" t="str">
        <f>IF($I53=0,"",INDEX('إدخال وسجل المنتجات'!$D$5:$D$590,$I53))</f>
        <v>مواد خام</v>
      </c>
      <c r="F53" s="2" t="str">
        <f>IF($I53=0,"",INDEX('إدخال وسجل المنتجات'!$G$5:$G$590,$I53))</f>
        <v>وحدة</v>
      </c>
      <c r="G53" s="12"/>
      <c r="H53" s="13"/>
      <c r="I53">
        <f>SUMPRODUCT(('إدخال وسجل المنتجات'!$I$5:$I$590="CNS")*('إدخال وسجل المنتجات'!$M$5:$M$590=66)*(ROW('إدخال وسجل المنتجات'!$I$5:$I$590)-4))</f>
        <v>530</v>
      </c>
      <c r="J53" s="2" t="str">
        <f>IF($I53=0,"",IF($G53="","",$G53*IF(INDEX('إدخال وسجل المنتجات'!$U$5:$U$590,$I53)=0,1,INDEX('إدخال وسجل المنتجات'!$U$5:$U$590,$I53))))</f>
        <v/>
      </c>
    </row>
    <row r="54" spans="1:10" ht="16" x14ac:dyDescent="0.15">
      <c r="A54" s="2">
        <f>IF($I54=0,"",68)</f>
        <v>68</v>
      </c>
      <c r="B54" s="9" t="str">
        <f>IF($I54=0,"",INDEX('إدخال وسجل المنتجات'!$F$5:$F$590,$I54))</f>
        <v>RAW-CNS-067</v>
      </c>
      <c r="C54" s="8" t="str">
        <f>IF($I54=0,"",INDEX('إدخال وسجل المنتجات'!$B$5:$B$590,$I54))</f>
        <v>ماء عادي عمومي</v>
      </c>
      <c r="D54" s="10" t="str">
        <f>IF($I54=0,"",INDEX('إدخال وسجل المنتجات'!$C$5:$C$590,$I54))</f>
        <v>General Water</v>
      </c>
      <c r="E54" s="11" t="str">
        <f>IF($I54=0,"",INDEX('إدخال وسجل المنتجات'!$D$5:$D$590,$I54))</f>
        <v>مواد خام</v>
      </c>
      <c r="F54" s="2" t="str">
        <f>IF($I54=0,"",INDEX('إدخال وسجل المنتجات'!$G$5:$G$590,$I54))</f>
        <v>وحدة</v>
      </c>
      <c r="G54" s="12"/>
      <c r="H54" s="13"/>
      <c r="I54">
        <f>SUMPRODUCT(('إدخال وسجل المنتجات'!$I$5:$I$590="CNS")*('إدخال وسجل المنتجات'!$M$5:$M$590=68)*(ROW('إدخال وسجل المنتجات'!$I$5:$I$590)-4))</f>
        <v>546</v>
      </c>
      <c r="J54" s="2" t="str">
        <f>IF($I54=0,"",IF($G54="","",$G54*IF(INDEX('إدخال وسجل المنتجات'!$U$5:$U$590,$I54)=0,1,INDEX('إدخال وسجل المنتجات'!$U$5:$U$590,$I54))))</f>
        <v/>
      </c>
    </row>
    <row r="55" spans="1:10" ht="16" x14ac:dyDescent="0.15">
      <c r="A55" s="2">
        <f>IF($I55=0,"",69)</f>
        <v>69</v>
      </c>
      <c r="B55" s="9" t="str">
        <f>IF($I55=0,"",INDEX('إدخال وسجل المنتجات'!$F$5:$F$590,$I55))</f>
        <v>RAW-CNS-068</v>
      </c>
      <c r="C55" s="8" t="str">
        <f>IF($I55=0,"",INDEX('إدخال وسجل المنتجات'!$B$5:$B$590,$I55))</f>
        <v>مصاص بقرطاس ابيض</v>
      </c>
      <c r="D55" s="10" t="str">
        <f>IF($I55=0,"",INDEX('إدخال وسجل المنتجات'!$C$5:$C$590,$I55))</f>
        <v>White Wrapped Straw</v>
      </c>
      <c r="E55" s="11" t="str">
        <f>IF($I55=0,"",INDEX('إدخال وسجل المنتجات'!$D$5:$D$590,$I55))</f>
        <v>مواد خام</v>
      </c>
      <c r="F55" s="2" t="str">
        <f>IF($I55=0,"",INDEX('إدخال وسجل المنتجات'!$G$5:$G$590,$I55))</f>
        <v>وحدة</v>
      </c>
      <c r="G55" s="12"/>
      <c r="H55" s="13"/>
      <c r="I55">
        <f>SUMPRODUCT(('إدخال وسجل المنتجات'!$I$5:$I$590="CNS")*('إدخال وسجل المنتجات'!$M$5:$M$590=69)*(ROW('إدخال وسجل المنتجات'!$I$5:$I$590)-4))</f>
        <v>551</v>
      </c>
      <c r="J55" s="2" t="str">
        <f>IF($I55=0,"",IF($G55="","",$G55*IF(INDEX('إدخال وسجل المنتجات'!$U$5:$U$590,$I55)=0,1,INDEX('إدخال وسجل المنتجات'!$U$5:$U$590,$I55))))</f>
        <v/>
      </c>
    </row>
    <row r="56" spans="1:10" ht="16" x14ac:dyDescent="0.15">
      <c r="A56" s="2">
        <f>IF($I56=0,"",72)</f>
        <v>72</v>
      </c>
      <c r="B56" s="9" t="str">
        <f>IF($I56=0,"",INDEX('إدخال وسجل المنتجات'!$F$5:$F$590,$I56))</f>
        <v>RAW-CNS-071</v>
      </c>
      <c r="C56" s="8" t="str">
        <f>IF($I56=0,"",INDEX('إدخال وسجل المنتجات'!$B$5:$B$590,$I56))</f>
        <v>مناديل دائرية خفيفة</v>
      </c>
      <c r="D56" s="10" t="str">
        <f>IF($I56=0,"",INDEX('إدخال وسجل المنتجات'!$C$5:$C$590,$I56))</f>
        <v>Round Napkins</v>
      </c>
      <c r="E56" s="11" t="str">
        <f>IF($I56=0,"",INDEX('إدخال وسجل المنتجات'!$D$5:$D$590,$I56))</f>
        <v>مواد خام</v>
      </c>
      <c r="F56" s="2" t="str">
        <f>IF($I56=0,"",INDEX('إدخال وسجل المنتجات'!$G$5:$G$590,$I56))</f>
        <v>وحدة</v>
      </c>
      <c r="G56" s="12"/>
      <c r="H56" s="13"/>
      <c r="I56">
        <f>SUMPRODUCT(('إدخال وسجل المنتجات'!$I$5:$I$590="CNS")*('إدخال وسجل المنتجات'!$M$5:$M$590=72)*(ROW('إدخال وسجل المنتجات'!$I$5:$I$590)-4))</f>
        <v>566</v>
      </c>
      <c r="J56" s="2" t="str">
        <f>IF($I56=0,"",IF($G56="","",$G56*IF(INDEX('إدخال وسجل المنتجات'!$U$5:$U$590,$I56)=0,1,INDEX('إدخال وسجل المنتجات'!$U$5:$U$590,$I56))))</f>
        <v/>
      </c>
    </row>
    <row r="57" spans="1:10" ht="16" x14ac:dyDescent="0.15">
      <c r="A57" s="2">
        <f>IF($I57=0,"",73)</f>
        <v>73</v>
      </c>
      <c r="B57" s="9" t="str">
        <f>IF($I57=0,"",INDEX('إدخال وسجل المنتجات'!$F$5:$F$590,$I57))</f>
        <v>RAW-CNS-072</v>
      </c>
      <c r="C57" s="8" t="str">
        <f>IF($I57=0,"",INDEX('إدخال وسجل المنتجات'!$B$5:$B$590,$I57))</f>
        <v>مناديل دائرية صغيرة</v>
      </c>
      <c r="D57" s="10" t="str">
        <f>IF($I57=0,"",INDEX('إدخال وسجل المنتجات'!$C$5:$C$590,$I57))</f>
        <v>Round Napkins</v>
      </c>
      <c r="E57" s="11" t="str">
        <f>IF($I57=0,"",INDEX('إدخال وسجل المنتجات'!$D$5:$D$590,$I57))</f>
        <v>مواد خام</v>
      </c>
      <c r="F57" s="2" t="str">
        <f>IF($I57=0,"",INDEX('إدخال وسجل المنتجات'!$G$5:$G$590,$I57))</f>
        <v>وحدة</v>
      </c>
      <c r="G57" s="12"/>
      <c r="H57" s="13"/>
      <c r="I57">
        <f>SUMPRODUCT(('إدخال وسجل المنتجات'!$I$5:$I$590="CNS")*('إدخال وسجل المنتجات'!$M$5:$M$590=73)*(ROW('إدخال وسجل المنتجات'!$I$5:$I$590)-4))</f>
        <v>567</v>
      </c>
      <c r="J57" s="2" t="str">
        <f>IF($I57=0,"",IF($G57="","",$G57*IF(INDEX('إدخال وسجل المنتجات'!$U$5:$U$590,$I57)=0,1,INDEX('إدخال وسجل المنتجات'!$U$5:$U$590,$I57))))</f>
        <v/>
      </c>
    </row>
    <row r="58" spans="1:10" ht="16" x14ac:dyDescent="0.15">
      <c r="A58" s="2">
        <f>IF($I58=0,"",74)</f>
        <v>74</v>
      </c>
      <c r="B58" s="9" t="str">
        <f>IF($I58=0,"",INDEX('إدخال وسجل المنتجات'!$F$5:$F$590,$I58))</f>
        <v>RAW-CNS-073</v>
      </c>
      <c r="C58" s="8" t="str">
        <f>IF($I58=0,"",INDEX('إدخال وسجل المنتجات'!$B$5:$B$590,$I58))</f>
        <v>مناديل دائرية كبيرة</v>
      </c>
      <c r="D58" s="10" t="str">
        <f>IF($I58=0,"",INDEX('إدخال وسجل المنتجات'!$C$5:$C$590,$I58))</f>
        <v>Round Napkins</v>
      </c>
      <c r="E58" s="11" t="str">
        <f>IF($I58=0,"",INDEX('إدخال وسجل المنتجات'!$D$5:$D$590,$I58))</f>
        <v>مواد خام</v>
      </c>
      <c r="F58" s="2" t="str">
        <f>IF($I58=0,"",INDEX('إدخال وسجل المنتجات'!$G$5:$G$590,$I58))</f>
        <v>وحدة</v>
      </c>
      <c r="G58" s="12"/>
      <c r="H58" s="13"/>
      <c r="I58">
        <f>SUMPRODUCT(('إدخال وسجل المنتجات'!$I$5:$I$590="CNS")*('إدخال وسجل المنتجات'!$M$5:$M$590=74)*(ROW('إدخال وسجل المنتجات'!$I$5:$I$590)-4))</f>
        <v>568</v>
      </c>
      <c r="J58" s="2" t="str">
        <f>IF($I58=0,"",IF($G58="","",$G58*IF(INDEX('إدخال وسجل المنتجات'!$U$5:$U$590,$I58)=0,1,INDEX('إدخال وسجل المنتجات'!$U$5:$U$590,$I58))))</f>
        <v/>
      </c>
    </row>
    <row r="59" spans="1:10" ht="16" x14ac:dyDescent="0.15">
      <c r="A59" s="2">
        <f>IF($I59=0,"",75)</f>
        <v>75</v>
      </c>
      <c r="B59" s="9" t="str">
        <f>IF($I59=0,"",INDEX('إدخال وسجل المنتجات'!$F$5:$F$590,$I59))</f>
        <v>RAW-CNS-074</v>
      </c>
      <c r="C59" s="8" t="str">
        <f>IF($I59=0,"",INDEX('إدخال وسجل المنتجات'!$B$5:$B$590,$I59))</f>
        <v>مناديل رول زرقاء</v>
      </c>
      <c r="D59" s="10" t="str">
        <f>IF($I59=0,"",INDEX('إدخال وسجل المنتجات'!$C$5:$C$590,$I59))</f>
        <v>Roll Tissues</v>
      </c>
      <c r="E59" s="11" t="str">
        <f>IF($I59=0,"",INDEX('إدخال وسجل المنتجات'!$D$5:$D$590,$I59))</f>
        <v>مواد خام</v>
      </c>
      <c r="F59" s="2" t="str">
        <f>IF($I59=0,"",INDEX('إدخال وسجل المنتجات'!$G$5:$G$590,$I59))</f>
        <v>وحدة</v>
      </c>
      <c r="G59" s="12"/>
      <c r="H59" s="13"/>
      <c r="I59">
        <f>SUMPRODUCT(('إدخال وسجل المنتجات'!$I$5:$I$590="CNS")*('إدخال وسجل المنتجات'!$M$5:$M$590=75)*(ROW('إدخال وسجل المنتجات'!$I$5:$I$590)-4))</f>
        <v>569</v>
      </c>
      <c r="J59" s="2" t="str">
        <f>IF($I59=0,"",IF($G59="","",$G59*IF(INDEX('إدخال وسجل المنتجات'!$U$5:$U$590,$I59)=0,1,INDEX('إدخال وسجل المنتجات'!$U$5:$U$590,$I59))))</f>
        <v/>
      </c>
    </row>
    <row r="60" spans="1:10" ht="16" x14ac:dyDescent="0.15">
      <c r="A60" s="2">
        <f>IF($I60=0,"",76)</f>
        <v>76</v>
      </c>
      <c r="B60" s="9" t="str">
        <f>IF($I60=0,"",INDEX('إدخال وسجل المنتجات'!$F$5:$F$590,$I60))</f>
        <v>RAW-CNS-075</v>
      </c>
      <c r="C60" s="8" t="str">
        <f>IF($I60=0,"",INDEX('إدخال وسجل المنتجات'!$B$5:$B$590,$I60))</f>
        <v>مناديل شعار بينو</v>
      </c>
      <c r="D60" s="10" t="str">
        <f>IF($I60=0,"",INDEX('إدخال وسجل المنتجات'!$C$5:$C$590,$I60))</f>
        <v>Pino Logo Napkins</v>
      </c>
      <c r="E60" s="11" t="str">
        <f>IF($I60=0,"",INDEX('إدخال وسجل المنتجات'!$D$5:$D$590,$I60))</f>
        <v>مواد خام</v>
      </c>
      <c r="F60" s="2" t="str">
        <f>IF($I60=0,"",INDEX('إدخال وسجل المنتجات'!$G$5:$G$590,$I60))</f>
        <v>وحدة</v>
      </c>
      <c r="G60" s="12"/>
      <c r="H60" s="13"/>
      <c r="I60">
        <f>SUMPRODUCT(('إدخال وسجل المنتجات'!$I$5:$I$590="CNS")*('إدخال وسجل المنتجات'!$M$5:$M$590=76)*(ROW('إدخال وسجل المنتجات'!$I$5:$I$590)-4))</f>
        <v>570</v>
      </c>
      <c r="J60" s="2" t="str">
        <f>IF($I60=0,"",IF($G60="","",$G60*IF(INDEX('إدخال وسجل المنتجات'!$U$5:$U$590,$I60)=0,1,INDEX('إدخال وسجل المنتجات'!$U$5:$U$590,$I60))))</f>
        <v/>
      </c>
    </row>
    <row r="61" spans="1:10" ht="16" x14ac:dyDescent="0.15">
      <c r="A61" s="2">
        <f>IF($I61=0,"",77)</f>
        <v>77</v>
      </c>
      <c r="B61" s="9" t="str">
        <f>IF($I61=0,"",INDEX('إدخال وسجل المنتجات'!$F$5:$F$590,$I61))</f>
        <v>RAW-CNS-076</v>
      </c>
      <c r="C61" s="8" t="str">
        <f>IF($I61=0,"",INDEX('إدخال وسجل المنتجات'!$B$5:$B$590,$I61))</f>
        <v>مناديل ماكس رول 300 متر</v>
      </c>
      <c r="D61" s="10" t="str">
        <f>IF($I61=0,"",INDEX('إدخال وسجل المنتجات'!$C$5:$C$590,$I61))</f>
        <v>Max Roll Tissues</v>
      </c>
      <c r="E61" s="11" t="str">
        <f>IF($I61=0,"",INDEX('إدخال وسجل المنتجات'!$D$5:$D$590,$I61))</f>
        <v>مواد خام</v>
      </c>
      <c r="F61" s="2" t="str">
        <f>IF($I61=0,"",INDEX('إدخال وسجل المنتجات'!$G$5:$G$590,$I61))</f>
        <v>وحدة</v>
      </c>
      <c r="G61" s="12"/>
      <c r="H61" s="13"/>
      <c r="I61">
        <f>SUMPRODUCT(('إدخال وسجل المنتجات'!$I$5:$I$590="CNS")*('إدخال وسجل المنتجات'!$M$5:$M$590=77)*(ROW('إدخال وسجل المنتجات'!$I$5:$I$590)-4))</f>
        <v>571</v>
      </c>
      <c r="J61" s="2" t="str">
        <f>IF($I61=0,"",IF($G61="","",$G61*IF(INDEX('إدخال وسجل المنتجات'!$U$5:$U$590,$I61)=0,1,INDEX('إدخال وسجل المنتجات'!$U$5:$U$590,$I61))))</f>
        <v/>
      </c>
    </row>
    <row r="62" spans="1:10" ht="16" x14ac:dyDescent="0.15">
      <c r="A62" s="2">
        <f>IF($I62=0,"",78)</f>
        <v>78</v>
      </c>
      <c r="B62" s="9" t="str">
        <f>IF($I62=0,"",INDEX('إدخال وسجل المنتجات'!$F$5:$F$590,$I62))</f>
        <v>RAW-CNS-077</v>
      </c>
      <c r="C62" s="8" t="str">
        <f>IF($I62=0,"",INDEX('إدخال وسجل المنتجات'!$B$5:$B$590,$I62))</f>
        <v>مناديل ماكس رول 700 جرام 2 طبقة</v>
      </c>
      <c r="D62" s="10" t="str">
        <f>IF($I62=0,"",INDEX('إدخال وسجل المنتجات'!$C$5:$C$590,$I62))</f>
        <v>Max Roll Tissues</v>
      </c>
      <c r="E62" s="11" t="str">
        <f>IF($I62=0,"",INDEX('إدخال وسجل المنتجات'!$D$5:$D$590,$I62))</f>
        <v>مواد خام</v>
      </c>
      <c r="F62" s="2" t="str">
        <f>IF($I62=0,"",INDEX('إدخال وسجل المنتجات'!$G$5:$G$590,$I62))</f>
        <v>وحدة</v>
      </c>
      <c r="G62" s="12"/>
      <c r="H62" s="13"/>
      <c r="I62">
        <f>SUMPRODUCT(('إدخال وسجل المنتجات'!$I$5:$I$590="CNS")*('إدخال وسجل المنتجات'!$M$5:$M$590=78)*(ROW('إدخال وسجل المنتجات'!$I$5:$I$590)-4))</f>
        <v>572</v>
      </c>
      <c r="J62" s="2" t="str">
        <f>IF($I62=0,"",IF($G62="","",$G62*IF(INDEX('إدخال وسجل المنتجات'!$U$5:$U$590,$I62)=0,1,INDEX('إدخال وسجل المنتجات'!$U$5:$U$590,$I62))))</f>
        <v/>
      </c>
    </row>
    <row r="63" spans="1:10" ht="16" x14ac:dyDescent="0.15">
      <c r="A63" s="2">
        <f>IF($I63=0,"",79)</f>
        <v>79</v>
      </c>
      <c r="B63" s="9" t="str">
        <f>IF($I63=0,"",INDEX('إدخال وسجل المنتجات'!$F$5:$F$590,$I63))</f>
        <v>RAW-CNS-078</v>
      </c>
      <c r="C63" s="8" t="str">
        <f>IF($I63=0,"",INDEX('إدخال وسجل المنتجات'!$B$5:$B$590,$I63))</f>
        <v>مناديل مربعة</v>
      </c>
      <c r="D63" s="10" t="str">
        <f>IF($I63=0,"",INDEX('إدخال وسجل المنتجات'!$C$5:$C$590,$I63))</f>
        <v>Square Napkins</v>
      </c>
      <c r="E63" s="11" t="str">
        <f>IF($I63=0,"",INDEX('إدخال وسجل المنتجات'!$D$5:$D$590,$I63))</f>
        <v>مواد خام</v>
      </c>
      <c r="F63" s="2" t="str">
        <f>IF($I63=0,"",INDEX('إدخال وسجل المنتجات'!$G$5:$G$590,$I63))</f>
        <v>وحدة</v>
      </c>
      <c r="G63" s="12"/>
      <c r="H63" s="13"/>
      <c r="I63">
        <f>SUMPRODUCT(('إدخال وسجل المنتجات'!$I$5:$I$590="CNS")*('إدخال وسجل المنتجات'!$M$5:$M$590=79)*(ROW('إدخال وسجل المنتجات'!$I$5:$I$590)-4))</f>
        <v>573</v>
      </c>
      <c r="J63" s="2" t="str">
        <f>IF($I63=0,"",IF($G63="","",$G63*IF(INDEX('إدخال وسجل المنتجات'!$U$5:$U$590,$I63)=0,1,INDEX('إدخال وسجل المنتجات'!$U$5:$U$590,$I63))))</f>
        <v/>
      </c>
    </row>
    <row r="64" spans="1:10" ht="16" x14ac:dyDescent="0.15">
      <c r="A64" s="2">
        <f>IF($I64=0,"",80)</f>
        <v>80</v>
      </c>
      <c r="B64" s="9" t="str">
        <f>IF($I64=0,"",INDEX('إدخال وسجل المنتجات'!$F$5:$F$590,$I64))</f>
        <v>RAW-CNS-079</v>
      </c>
      <c r="C64" s="8" t="str">
        <f>IF($I64=0,"",INDEX('إدخال وسجل المنتجات'!$B$5:$B$590,$I64))</f>
        <v>مناشف سكوتش برايت</v>
      </c>
      <c r="D64" s="10" t="str">
        <f>IF($I64=0,"",INDEX('إدخال وسجل المنتجات'!$C$5:$C$590,$I64))</f>
        <v>Scotch-Brite Pads</v>
      </c>
      <c r="E64" s="11" t="str">
        <f>IF($I64=0,"",INDEX('إدخال وسجل المنتجات'!$D$5:$D$590,$I64))</f>
        <v>مواد خام</v>
      </c>
      <c r="F64" s="2" t="str">
        <f>IF($I64=0,"",INDEX('إدخال وسجل المنتجات'!$G$5:$G$590,$I64))</f>
        <v>وحدة</v>
      </c>
      <c r="G64" s="12"/>
      <c r="H64" s="13"/>
      <c r="I64">
        <f>SUMPRODUCT(('إدخال وسجل المنتجات'!$I$5:$I$590="CNS")*('إدخال وسجل المنتجات'!$M$5:$M$590=80)*(ROW('إدخال وسجل المنتجات'!$I$5:$I$590)-4))</f>
        <v>574</v>
      </c>
      <c r="J64" s="2" t="str">
        <f>IF($I64=0,"",IF($G64="","",$G64*IF(INDEX('إدخال وسجل المنتجات'!$U$5:$U$590,$I64)=0,1,INDEX('إدخال وسجل المنتجات'!$U$5:$U$590,$I64))))</f>
        <v/>
      </c>
    </row>
    <row r="65" spans="1:10" ht="16" x14ac:dyDescent="0.15">
      <c r="A65" s="2">
        <f>IF($I65=0,"",81)</f>
        <v>81</v>
      </c>
      <c r="B65" s="9" t="str">
        <f>IF($I65=0,"",INDEX('إدخال وسجل المنتجات'!$F$5:$F$590,$I65))</f>
        <v>RAW-CNS-080</v>
      </c>
      <c r="C65" s="8" t="str">
        <f>IF($I65=0,"",INDEX('إدخال وسجل المنتجات'!$B$5:$B$590,$I65))</f>
        <v>منظف ارضيات</v>
      </c>
      <c r="D65" s="10" t="str">
        <f>IF($I65=0,"",INDEX('إدخال وسجل المنتجات'!$C$5:$C$590,$I65))</f>
        <v>Floor Cleaner</v>
      </c>
      <c r="E65" s="11" t="str">
        <f>IF($I65=0,"",INDEX('إدخال وسجل المنتجات'!$D$5:$D$590,$I65))</f>
        <v>مواد خام</v>
      </c>
      <c r="F65" s="2" t="str">
        <f>IF($I65=0,"",INDEX('إدخال وسجل المنتجات'!$G$5:$G$590,$I65))</f>
        <v>وحدة</v>
      </c>
      <c r="G65" s="12"/>
      <c r="H65" s="13"/>
      <c r="I65">
        <f>SUMPRODUCT(('إدخال وسجل المنتجات'!$I$5:$I$590="CNS")*('إدخال وسجل المنتجات'!$M$5:$M$590=81)*(ROW('إدخال وسجل المنتجات'!$I$5:$I$590)-4))</f>
        <v>575</v>
      </c>
      <c r="J65" s="2" t="str">
        <f>IF($I65=0,"",IF($G65="","",$G65*IF(INDEX('إدخال وسجل المنتجات'!$U$5:$U$590,$I65)=0,1,INDEX('إدخال وسجل المنتجات'!$U$5:$U$590,$I65))))</f>
        <v/>
      </c>
    </row>
    <row r="66" spans="1:10" ht="16" x14ac:dyDescent="0.15">
      <c r="A66" s="2">
        <f>IF($I66=0,"",82)</f>
        <v>82</v>
      </c>
      <c r="B66" s="9" t="str">
        <f>IF($I66=0,"",INDEX('إدخال وسجل المنتجات'!$F$5:$F$590,$I66))</f>
        <v>RAW-CNS-081</v>
      </c>
      <c r="C66" s="8" t="str">
        <f>IF($I66=0,"",INDEX('إدخال وسجل المنتجات'!$B$5:$B$590,$I66))</f>
        <v>منظف الافران</v>
      </c>
      <c r="D66" s="10" t="str">
        <f>IF($I66=0,"",INDEX('إدخال وسجل المنتجات'!$C$5:$C$590,$I66))</f>
        <v>Oven Cleaner</v>
      </c>
      <c r="E66" s="11" t="str">
        <f>IF($I66=0,"",INDEX('إدخال وسجل المنتجات'!$D$5:$D$590,$I66))</f>
        <v>مواد خام</v>
      </c>
      <c r="F66" s="2" t="str">
        <f>IF($I66=0,"",INDEX('إدخال وسجل المنتجات'!$G$5:$G$590,$I66))</f>
        <v>وحدة</v>
      </c>
      <c r="G66" s="12"/>
      <c r="H66" s="13"/>
      <c r="I66">
        <f>SUMPRODUCT(('إدخال وسجل المنتجات'!$I$5:$I$590="CNS")*('إدخال وسجل المنتجات'!$M$5:$M$590=82)*(ROW('إدخال وسجل المنتجات'!$I$5:$I$590)-4))</f>
        <v>576</v>
      </c>
      <c r="J66" s="2" t="str">
        <f>IF($I66=0,"",IF($G66="","",$G66*IF(INDEX('إدخال وسجل المنتجات'!$U$5:$U$590,$I66)=0,1,INDEX('إدخال وسجل المنتجات'!$U$5:$U$590,$I66))))</f>
        <v/>
      </c>
    </row>
    <row r="67" spans="1:10" ht="16" x14ac:dyDescent="0.15">
      <c r="A67" s="2">
        <f>IF($I67=0,"",83)</f>
        <v>83</v>
      </c>
      <c r="B67" s="9" t="str">
        <f>IF($I67=0,"",INDEX('إدخال وسجل المنتجات'!$F$5:$F$590,$I67))</f>
        <v>RAW-CNS-082</v>
      </c>
      <c r="C67" s="8" t="str">
        <f>IF($I67=0,"",INDEX('إدخال وسجل المنتجات'!$B$5:$B$590,$I67))</f>
        <v>ورق بيتزا</v>
      </c>
      <c r="D67" s="10" t="str">
        <f>IF($I67=0,"",INDEX('إدخال وسجل المنتجات'!$C$5:$C$590,$I67))</f>
        <v>Pizza Paper</v>
      </c>
      <c r="E67" s="11" t="str">
        <f>IF($I67=0,"",INDEX('إدخال وسجل المنتجات'!$D$5:$D$590,$I67))</f>
        <v>مواد خام</v>
      </c>
      <c r="F67" s="2" t="str">
        <f>IF($I67=0,"",INDEX('إدخال وسجل المنتجات'!$G$5:$G$590,$I67))</f>
        <v>وحدة</v>
      </c>
      <c r="G67" s="12"/>
      <c r="H67" s="13"/>
      <c r="I67">
        <f>SUMPRODUCT(('إدخال وسجل المنتجات'!$I$5:$I$590="CNS")*('إدخال وسجل المنتجات'!$M$5:$M$590=83)*(ROW('إدخال وسجل المنتجات'!$I$5:$I$590)-4))</f>
        <v>581</v>
      </c>
      <c r="J67" s="2" t="str">
        <f>IF($I67=0,"",IF($G67="","",$G67*IF(INDEX('إدخال وسجل المنتجات'!$U$5:$U$590,$I67)=0,1,INDEX('إدخال وسجل المنتجات'!$U$5:$U$590,$I67))))</f>
        <v/>
      </c>
    </row>
    <row r="68" spans="1:10" ht="16" x14ac:dyDescent="0.15">
      <c r="A68" s="2">
        <f>IF($I68=0,"",84)</f>
        <v>84</v>
      </c>
      <c r="B68" s="9" t="str">
        <f>IF($I68=0,"",INDEX('إدخال وسجل المنتجات'!$F$5:$F$590,$I68))</f>
        <v>RAW-CNS-083</v>
      </c>
      <c r="C68" s="8" t="str">
        <f>IF($I68=0,"",INDEX('إدخال وسجل المنتجات'!$B$5:$B$590,$I68))</f>
        <v>ورق بيتزا صغير</v>
      </c>
      <c r="D68" s="10" t="str">
        <f>IF($I68=0,"",INDEX('إدخال وسجل المنتجات'!$C$5:$C$590,$I68))</f>
        <v>Pizza Paper</v>
      </c>
      <c r="E68" s="11" t="str">
        <f>IF($I68=0,"",INDEX('إدخال وسجل المنتجات'!$D$5:$D$590,$I68))</f>
        <v>مواد خام</v>
      </c>
      <c r="F68" s="2" t="str">
        <f>IF($I68=0,"",INDEX('إدخال وسجل المنتجات'!$G$5:$G$590,$I68))</f>
        <v>وحدة</v>
      </c>
      <c r="G68" s="12"/>
      <c r="H68" s="13"/>
      <c r="I68">
        <f>SUMPRODUCT(('إدخال وسجل المنتجات'!$I$5:$I$590="CNS")*('إدخال وسجل المنتجات'!$M$5:$M$590=84)*(ROW('إدخال وسجل المنتجات'!$I$5:$I$590)-4))</f>
        <v>582</v>
      </c>
      <c r="J68" s="2" t="str">
        <f>IF($I68=0,"",IF($G68="","",$G68*IF(INDEX('إدخال وسجل المنتجات'!$U$5:$U$590,$I68)=0,1,INDEX('إدخال وسجل المنتجات'!$U$5:$U$590,$I68))))</f>
        <v/>
      </c>
    </row>
    <row r="69" spans="1:10" ht="16" x14ac:dyDescent="0.15">
      <c r="A69" s="2">
        <f>IF($I69=0,"",85)</f>
        <v>85</v>
      </c>
      <c r="B69" s="9" t="str">
        <f>IF($I69=0,"",INDEX('إدخال وسجل المنتجات'!$F$5:$F$590,$I69))</f>
        <v>RAW-CNS-084</v>
      </c>
      <c r="C69" s="8" t="str">
        <f>IF($I69=0,"",INDEX('إدخال وسجل المنتجات'!$B$5:$B$590,$I69))</f>
        <v>ورق زبدة</v>
      </c>
      <c r="D69" s="10" t="str">
        <f>IF($I69=0,"",INDEX('إدخال وسجل المنتجات'!$C$5:$C$590,$I69))</f>
        <v>Butter Paper</v>
      </c>
      <c r="E69" s="11" t="str">
        <f>IF($I69=0,"",INDEX('إدخال وسجل المنتجات'!$D$5:$D$590,$I69))</f>
        <v>مواد خام</v>
      </c>
      <c r="F69" s="2" t="str">
        <f>IF($I69=0,"",INDEX('إدخال وسجل المنتجات'!$G$5:$G$590,$I69))</f>
        <v>وحدة</v>
      </c>
      <c r="G69" s="12"/>
      <c r="H69" s="13"/>
      <c r="I69">
        <f>SUMPRODUCT(('إدخال وسجل المنتجات'!$I$5:$I$590="CNS")*('إدخال وسجل المنتجات'!$M$5:$M$590=85)*(ROW('إدخال وسجل المنتجات'!$I$5:$I$590)-4))</f>
        <v>583</v>
      </c>
      <c r="J69" s="2" t="str">
        <f>IF($I69=0,"",IF($G69="","",$G69*IF(INDEX('إدخال وسجل المنتجات'!$U$5:$U$590,$I69)=0,1,INDEX('إدخال وسجل المنتجات'!$U$5:$U$590,$I69))))</f>
        <v/>
      </c>
    </row>
    <row r="70" spans="1:10" ht="16" x14ac:dyDescent="0.15">
      <c r="A70" s="2">
        <f>IF($I70=0,"",86)</f>
        <v>86</v>
      </c>
      <c r="B70" s="9" t="str">
        <f>IF($I70=0,"",INDEX('إدخال وسجل المنتجات'!$F$5:$F$590,$I70))</f>
        <v>RAW-CNS-085</v>
      </c>
      <c r="C70" s="8" t="str">
        <f>IF($I70=0,"",INDEX('إدخال وسجل المنتجات'!$B$5:$B$590,$I70))</f>
        <v>ورق زبدة 30 سم</v>
      </c>
      <c r="D70" s="10" t="str">
        <f>IF($I70=0,"",INDEX('إدخال وسجل المنتجات'!$C$5:$C$590,$I70))</f>
        <v>Butter Paper</v>
      </c>
      <c r="E70" s="11" t="str">
        <f>IF($I70=0,"",INDEX('إدخال وسجل المنتجات'!$D$5:$D$590,$I70))</f>
        <v>مواد خام</v>
      </c>
      <c r="F70" s="2" t="str">
        <f>IF($I70=0,"",INDEX('إدخال وسجل المنتجات'!$G$5:$G$590,$I70))</f>
        <v>وحدة</v>
      </c>
      <c r="G70" s="12"/>
      <c r="H70" s="13"/>
      <c r="I70">
        <f>SUMPRODUCT(('إدخال وسجل المنتجات'!$I$5:$I$590="CNS")*('إدخال وسجل المنتجات'!$M$5:$M$590=86)*(ROW('إدخال وسجل المنتجات'!$I$5:$I$590)-4))</f>
        <v>584</v>
      </c>
      <c r="J70" s="2" t="str">
        <f>IF($I70=0,"",IF($G70="","",$G70*IF(INDEX('إدخال وسجل المنتجات'!$U$5:$U$590,$I70)=0,1,INDEX('إدخال وسجل المنتجات'!$U$5:$U$590,$I70))))</f>
        <v/>
      </c>
    </row>
    <row r="71" spans="1:10" ht="16" x14ac:dyDescent="0.15">
      <c r="A71" s="2">
        <f>IF($I71=0,"",87)</f>
        <v>87</v>
      </c>
      <c r="B71" s="9" t="str">
        <f>IF($I71=0,"",INDEX('إدخال وسجل المنتجات'!$F$5:$F$590,$I71))</f>
        <v>RAW-CNS-086</v>
      </c>
      <c r="C71" s="8" t="str">
        <f>IF($I71=0,"",INDEX('إدخال وسجل المنتجات'!$B$5:$B$590,$I71))</f>
        <v>ورق طاولات</v>
      </c>
      <c r="D71" s="10" t="str">
        <f>IF($I71=0,"",INDEX('إدخال وسجل المنتجات'!$C$5:$C$590,$I71))</f>
        <v>Table Paper</v>
      </c>
      <c r="E71" s="11" t="str">
        <f>IF($I71=0,"",INDEX('إدخال وسجل المنتجات'!$D$5:$D$590,$I71))</f>
        <v>مواد خام</v>
      </c>
      <c r="F71" s="2" t="str">
        <f>IF($I71=0,"",INDEX('إدخال وسجل المنتجات'!$G$5:$G$590,$I71))</f>
        <v>وحدة</v>
      </c>
      <c r="G71" s="12"/>
      <c r="H71" s="13"/>
      <c r="I71">
        <f>SUMPRODUCT(('إدخال وسجل المنتجات'!$I$5:$I$590="CNS")*('إدخال وسجل المنتجات'!$M$5:$M$590=87)*(ROW('إدخال وسجل المنتجات'!$I$5:$I$590)-4))</f>
        <v>585</v>
      </c>
      <c r="J71" s="2" t="str">
        <f>IF($I71=0,"",IF($G71="","",$G71*IF(INDEX('إدخال وسجل المنتجات'!$U$5:$U$590,$I71)=0,1,INDEX('إدخال وسجل المنتجات'!$U$5:$U$590,$I71))))</f>
        <v/>
      </c>
    </row>
    <row r="72" spans="1:10" ht="16" x14ac:dyDescent="0.15">
      <c r="A72" s="2" t="str">
        <f>IF($I72=0,"",88)</f>
        <v/>
      </c>
      <c r="B72" s="9" t="str">
        <f>IF($I72=0,"",INDEX('إدخال وسجل المنتجات'!$F$5:$F$590,$I72))</f>
        <v/>
      </c>
      <c r="C72" s="8" t="str">
        <f>IF($I72=0,"",INDEX('إدخال وسجل المنتجات'!$B$5:$B$590,$I72))</f>
        <v/>
      </c>
      <c r="D72" s="10" t="str">
        <f>IF($I72=0,"",INDEX('إدخال وسجل المنتجات'!$C$5:$C$590,$I72))</f>
        <v/>
      </c>
      <c r="E72" s="11" t="str">
        <f>IF($I72=0,"",INDEX('إدخال وسجل المنتجات'!$D$5:$D$590,$I72))</f>
        <v/>
      </c>
      <c r="F72" s="2" t="str">
        <f>IF($I72=0,"",INDEX('إدخال وسجل المنتجات'!$G$5:$G$590,$I72))</f>
        <v/>
      </c>
      <c r="G72" s="12"/>
      <c r="H72" s="13"/>
      <c r="I72">
        <f>SUMPRODUCT(('إدخال وسجل المنتجات'!$I$5:$I$590="CNS")*('إدخال وسجل المنتجات'!$M$5:$M$590=88)*(ROW('إدخال وسجل المنتجات'!$I$5:$I$590)-4))</f>
        <v>0</v>
      </c>
      <c r="J72" s="2" t="str">
        <f>IF($I72=0,"",IF($G72="","",$G72*IF(INDEX('إدخال وسجل المنتجات'!$U$5:$U$590,$I72)=0,1,INDEX('إدخال وسجل المنتجات'!$U$5:$U$590,$I72))))</f>
        <v/>
      </c>
    </row>
    <row r="73" spans="1:10" ht="16" x14ac:dyDescent="0.15">
      <c r="A73" s="2" t="str">
        <f>IF($I73=0,"",89)</f>
        <v/>
      </c>
      <c r="B73" s="9" t="str">
        <f>IF($I73=0,"",INDEX('إدخال وسجل المنتجات'!$F$5:$F$590,$I73))</f>
        <v/>
      </c>
      <c r="C73" s="8" t="str">
        <f>IF($I73=0,"",INDEX('إدخال وسجل المنتجات'!$B$5:$B$590,$I73))</f>
        <v/>
      </c>
      <c r="D73" s="10" t="str">
        <f>IF($I73=0,"",INDEX('إدخال وسجل المنتجات'!$C$5:$C$590,$I73))</f>
        <v/>
      </c>
      <c r="E73" s="11" t="str">
        <f>IF($I73=0,"",INDEX('إدخال وسجل المنتجات'!$D$5:$D$590,$I73))</f>
        <v/>
      </c>
      <c r="F73" s="2" t="str">
        <f>IF($I73=0,"",INDEX('إدخال وسجل المنتجات'!$G$5:$G$590,$I73))</f>
        <v/>
      </c>
      <c r="G73" s="12"/>
      <c r="H73" s="13"/>
      <c r="I73">
        <f>SUMPRODUCT(('إدخال وسجل المنتجات'!$I$5:$I$590="CNS")*('إدخال وسجل المنتجات'!$M$5:$M$590=89)*(ROW('إدخال وسجل المنتجات'!$I$5:$I$590)-4))</f>
        <v>0</v>
      </c>
      <c r="J73" s="2" t="str">
        <f>IF($I73=0,"",IF($G73="","",$G73*IF(INDEX('إدخال وسجل المنتجات'!$U$5:$U$590,$I73)=0,1,INDEX('إدخال وسجل المنتجات'!$U$5:$U$590,$I73))))</f>
        <v/>
      </c>
    </row>
    <row r="74" spans="1:10" ht="16" x14ac:dyDescent="0.15">
      <c r="A74" s="2" t="str">
        <f>IF($I74=0,"",90)</f>
        <v/>
      </c>
      <c r="B74" s="9" t="str">
        <f>IF($I74=0,"",INDEX('إدخال وسجل المنتجات'!$F$5:$F$590,$I74))</f>
        <v/>
      </c>
      <c r="C74" s="8" t="str">
        <f>IF($I74=0,"",INDEX('إدخال وسجل المنتجات'!$B$5:$B$590,$I74))</f>
        <v/>
      </c>
      <c r="D74" s="10" t="str">
        <f>IF($I74=0,"",INDEX('إدخال وسجل المنتجات'!$C$5:$C$590,$I74))</f>
        <v/>
      </c>
      <c r="E74" s="11" t="str">
        <f>IF($I74=0,"",INDEX('إدخال وسجل المنتجات'!$D$5:$D$590,$I74))</f>
        <v/>
      </c>
      <c r="F74" s="2" t="str">
        <f>IF($I74=0,"",INDEX('إدخال وسجل المنتجات'!$G$5:$G$590,$I74))</f>
        <v/>
      </c>
      <c r="G74" s="12"/>
      <c r="H74" s="13"/>
      <c r="I74">
        <f>SUMPRODUCT(('إدخال وسجل المنتجات'!$I$5:$I$590="CNS")*('إدخال وسجل المنتجات'!$M$5:$M$590=90)*(ROW('إدخال وسجل المنتجات'!$I$5:$I$590)-4))</f>
        <v>0</v>
      </c>
      <c r="J74" s="2" t="str">
        <f>IF($I74=0,"",IF($G74="","",$G74*IF(INDEX('إدخال وسجل المنتجات'!$U$5:$U$590,$I74)=0,1,INDEX('إدخال وسجل المنتجات'!$U$5:$U$590,$I74))))</f>
        <v/>
      </c>
    </row>
    <row r="75" spans="1:10" ht="16" x14ac:dyDescent="0.15">
      <c r="A75" s="2" t="str">
        <f>IF($I75=0,"",91)</f>
        <v/>
      </c>
      <c r="B75" s="9" t="str">
        <f>IF($I75=0,"",INDEX('إدخال وسجل المنتجات'!$F$5:$F$590,$I75))</f>
        <v/>
      </c>
      <c r="C75" s="8" t="str">
        <f>IF($I75=0,"",INDEX('إدخال وسجل المنتجات'!$B$5:$B$590,$I75))</f>
        <v/>
      </c>
      <c r="D75" s="10" t="str">
        <f>IF($I75=0,"",INDEX('إدخال وسجل المنتجات'!$C$5:$C$590,$I75))</f>
        <v/>
      </c>
      <c r="E75" s="11" t="str">
        <f>IF($I75=0,"",INDEX('إدخال وسجل المنتجات'!$D$5:$D$590,$I75))</f>
        <v/>
      </c>
      <c r="F75" s="2" t="str">
        <f>IF($I75=0,"",INDEX('إدخال وسجل المنتجات'!$G$5:$G$590,$I75))</f>
        <v/>
      </c>
      <c r="G75" s="12"/>
      <c r="H75" s="13"/>
      <c r="I75">
        <f>SUMPRODUCT(('إدخال وسجل المنتجات'!$I$5:$I$590="CNS")*('إدخال وسجل المنتجات'!$M$5:$M$590=91)*(ROW('إدخال وسجل المنتجات'!$I$5:$I$590)-4))</f>
        <v>0</v>
      </c>
      <c r="J75" s="2" t="str">
        <f>IF($I75=0,"",IF($G75="","",$G75*IF(INDEX('إدخال وسجل المنتجات'!$U$5:$U$590,$I75)=0,1,INDEX('إدخال وسجل المنتجات'!$U$5:$U$590,$I75))))</f>
        <v/>
      </c>
    </row>
    <row r="76" spans="1:10" ht="16" x14ac:dyDescent="0.15">
      <c r="A76" s="2" t="str">
        <f>IF($I76=0,"",92)</f>
        <v/>
      </c>
      <c r="B76" s="9" t="str">
        <f>IF($I76=0,"",INDEX('إدخال وسجل المنتجات'!$F$5:$F$590,$I76))</f>
        <v/>
      </c>
      <c r="C76" s="8" t="str">
        <f>IF($I76=0,"",INDEX('إدخال وسجل المنتجات'!$B$5:$B$590,$I76))</f>
        <v/>
      </c>
      <c r="D76" s="10" t="str">
        <f>IF($I76=0,"",INDEX('إدخال وسجل المنتجات'!$C$5:$C$590,$I76))</f>
        <v/>
      </c>
      <c r="E76" s="11" t="str">
        <f>IF($I76=0,"",INDEX('إدخال وسجل المنتجات'!$D$5:$D$590,$I76))</f>
        <v/>
      </c>
      <c r="F76" s="2" t="str">
        <f>IF($I76=0,"",INDEX('إدخال وسجل المنتجات'!$G$5:$G$590,$I76))</f>
        <v/>
      </c>
      <c r="G76" s="12"/>
      <c r="H76" s="13"/>
      <c r="I76">
        <f>SUMPRODUCT(('إدخال وسجل المنتجات'!$I$5:$I$590="CNS")*('إدخال وسجل المنتجات'!$M$5:$M$590=92)*(ROW('إدخال وسجل المنتجات'!$I$5:$I$590)-4))</f>
        <v>0</v>
      </c>
      <c r="J76" s="2" t="str">
        <f>IF($I76=0,"",IF($G76="","",$G76*IF(INDEX('إدخال وسجل المنتجات'!$U$5:$U$590,$I76)=0,1,INDEX('إدخال وسجل المنتجات'!$U$5:$U$590,$I76))))</f>
        <v/>
      </c>
    </row>
    <row r="77" spans="1:10" ht="16" x14ac:dyDescent="0.15">
      <c r="A77" s="2" t="str">
        <f>IF($I77=0,"",93)</f>
        <v/>
      </c>
      <c r="B77" s="9" t="str">
        <f>IF($I77=0,"",INDEX('إدخال وسجل المنتجات'!$F$5:$F$590,$I77))</f>
        <v/>
      </c>
      <c r="C77" s="8" t="str">
        <f>IF($I77=0,"",INDEX('إدخال وسجل المنتجات'!$B$5:$B$590,$I77))</f>
        <v/>
      </c>
      <c r="D77" s="10" t="str">
        <f>IF($I77=0,"",INDEX('إدخال وسجل المنتجات'!$C$5:$C$590,$I77))</f>
        <v/>
      </c>
      <c r="E77" s="11" t="str">
        <f>IF($I77=0,"",INDEX('إدخال وسجل المنتجات'!$D$5:$D$590,$I77))</f>
        <v/>
      </c>
      <c r="F77" s="2" t="str">
        <f>IF($I77=0,"",INDEX('إدخال وسجل المنتجات'!$G$5:$G$590,$I77))</f>
        <v/>
      </c>
      <c r="G77" s="12"/>
      <c r="H77" s="13"/>
      <c r="I77">
        <f>SUMPRODUCT(('إدخال وسجل المنتجات'!$I$5:$I$590="CNS")*('إدخال وسجل المنتجات'!$M$5:$M$590=93)*(ROW('إدخال وسجل المنتجات'!$I$5:$I$590)-4))</f>
        <v>0</v>
      </c>
      <c r="J77" s="2" t="str">
        <f>IF($I77=0,"",IF($G77="","",$G77*IF(INDEX('إدخال وسجل المنتجات'!$U$5:$U$590,$I77)=0,1,INDEX('إدخال وسجل المنتجات'!$U$5:$U$590,$I77))))</f>
        <v/>
      </c>
    </row>
    <row r="78" spans="1:10" ht="16" x14ac:dyDescent="0.15">
      <c r="A78" s="2" t="str">
        <f>IF($I78=0,"",94)</f>
        <v/>
      </c>
      <c r="B78" s="9" t="str">
        <f>IF($I78=0,"",INDEX('إدخال وسجل المنتجات'!$F$5:$F$590,$I78))</f>
        <v/>
      </c>
      <c r="C78" s="8" t="str">
        <f>IF($I78=0,"",INDEX('إدخال وسجل المنتجات'!$B$5:$B$590,$I78))</f>
        <v/>
      </c>
      <c r="D78" s="10" t="str">
        <f>IF($I78=0,"",INDEX('إدخال وسجل المنتجات'!$C$5:$C$590,$I78))</f>
        <v/>
      </c>
      <c r="E78" s="11" t="str">
        <f>IF($I78=0,"",INDEX('إدخال وسجل المنتجات'!$D$5:$D$590,$I78))</f>
        <v/>
      </c>
      <c r="F78" s="2" t="str">
        <f>IF($I78=0,"",INDEX('إدخال وسجل المنتجات'!$G$5:$G$590,$I78))</f>
        <v/>
      </c>
      <c r="G78" s="12"/>
      <c r="H78" s="13"/>
      <c r="I78">
        <f>SUMPRODUCT(('إدخال وسجل المنتجات'!$I$5:$I$590="CNS")*('إدخال وسجل المنتجات'!$M$5:$M$590=94)*(ROW('إدخال وسجل المنتجات'!$I$5:$I$590)-4))</f>
        <v>0</v>
      </c>
      <c r="J78" s="2" t="str">
        <f>IF($I78=0,"",IF($G78="","",$G78*IF(INDEX('إدخال وسجل المنتجات'!$U$5:$U$590,$I78)=0,1,INDEX('إدخال وسجل المنتجات'!$U$5:$U$590,$I78))))</f>
        <v/>
      </c>
    </row>
    <row r="79" spans="1:10" ht="16" x14ac:dyDescent="0.15">
      <c r="A79" s="2" t="str">
        <f>IF($I79=0,"",95)</f>
        <v/>
      </c>
      <c r="B79" s="9" t="str">
        <f>IF($I79=0,"",INDEX('إدخال وسجل المنتجات'!$F$5:$F$590,$I79))</f>
        <v/>
      </c>
      <c r="C79" s="8" t="str">
        <f>IF($I79=0,"",INDEX('إدخال وسجل المنتجات'!$B$5:$B$590,$I79))</f>
        <v/>
      </c>
      <c r="D79" s="10" t="str">
        <f>IF($I79=0,"",INDEX('إدخال وسجل المنتجات'!$C$5:$C$590,$I79))</f>
        <v/>
      </c>
      <c r="E79" s="11" t="str">
        <f>IF($I79=0,"",INDEX('إدخال وسجل المنتجات'!$D$5:$D$590,$I79))</f>
        <v/>
      </c>
      <c r="F79" s="2" t="str">
        <f>IF($I79=0,"",INDEX('إدخال وسجل المنتجات'!$G$5:$G$590,$I79))</f>
        <v/>
      </c>
      <c r="G79" s="12"/>
      <c r="H79" s="13"/>
      <c r="I79">
        <f>SUMPRODUCT(('إدخال وسجل المنتجات'!$I$5:$I$590="CNS")*('إدخال وسجل المنتجات'!$M$5:$M$590=95)*(ROW('إدخال وسجل المنتجات'!$I$5:$I$590)-4))</f>
        <v>0</v>
      </c>
      <c r="J79" s="2" t="str">
        <f>IF($I79=0,"",IF($G79="","",$G79*IF(INDEX('إدخال وسجل المنتجات'!$U$5:$U$590,$I79)=0,1,INDEX('إدخال وسجل المنتجات'!$U$5:$U$590,$I79))))</f>
        <v/>
      </c>
    </row>
    <row r="80" spans="1:10" ht="16" x14ac:dyDescent="0.15">
      <c r="A80" s="2" t="str">
        <f>IF($I80=0,"",96)</f>
        <v/>
      </c>
      <c r="B80" s="9" t="str">
        <f>IF($I80=0,"",INDEX('إدخال وسجل المنتجات'!$F$5:$F$590,$I80))</f>
        <v/>
      </c>
      <c r="C80" s="8" t="str">
        <f>IF($I80=0,"",INDEX('إدخال وسجل المنتجات'!$B$5:$B$590,$I80))</f>
        <v/>
      </c>
      <c r="D80" s="10" t="str">
        <f>IF($I80=0,"",INDEX('إدخال وسجل المنتجات'!$C$5:$C$590,$I80))</f>
        <v/>
      </c>
      <c r="E80" s="11" t="str">
        <f>IF($I80=0,"",INDEX('إدخال وسجل المنتجات'!$D$5:$D$590,$I80))</f>
        <v/>
      </c>
      <c r="F80" s="2" t="str">
        <f>IF($I80=0,"",INDEX('إدخال وسجل المنتجات'!$G$5:$G$590,$I80))</f>
        <v/>
      </c>
      <c r="G80" s="12"/>
      <c r="H80" s="13"/>
      <c r="I80">
        <f>SUMPRODUCT(('إدخال وسجل المنتجات'!$I$5:$I$590="CNS")*('إدخال وسجل المنتجات'!$M$5:$M$590=96)*(ROW('إدخال وسجل المنتجات'!$I$5:$I$590)-4))</f>
        <v>0</v>
      </c>
      <c r="J80" s="2" t="str">
        <f>IF($I80=0,"",IF($G80="","",$G80*IF(INDEX('إدخال وسجل المنتجات'!$U$5:$U$590,$I80)=0,1,INDEX('إدخال وسجل المنتجات'!$U$5:$U$590,$I80))))</f>
        <v/>
      </c>
    </row>
    <row r="81" spans="1:10" ht="16" x14ac:dyDescent="0.15">
      <c r="A81" s="2" t="str">
        <f>IF($I81=0,"",97)</f>
        <v/>
      </c>
      <c r="B81" s="9" t="str">
        <f>IF($I81=0,"",INDEX('إدخال وسجل المنتجات'!$F$5:$F$590,$I81))</f>
        <v/>
      </c>
      <c r="C81" s="8" t="str">
        <f>IF($I81=0,"",INDEX('إدخال وسجل المنتجات'!$B$5:$B$590,$I81))</f>
        <v/>
      </c>
      <c r="D81" s="10" t="str">
        <f>IF($I81=0,"",INDEX('إدخال وسجل المنتجات'!$C$5:$C$590,$I81))</f>
        <v/>
      </c>
      <c r="E81" s="11" t="str">
        <f>IF($I81=0,"",INDEX('إدخال وسجل المنتجات'!$D$5:$D$590,$I81))</f>
        <v/>
      </c>
      <c r="F81" s="2" t="str">
        <f>IF($I81=0,"",INDEX('إدخال وسجل المنتجات'!$G$5:$G$590,$I81))</f>
        <v/>
      </c>
      <c r="G81" s="12"/>
      <c r="H81" s="13"/>
      <c r="I81">
        <f>SUMPRODUCT(('إدخال وسجل المنتجات'!$I$5:$I$590="CNS")*('إدخال وسجل المنتجات'!$M$5:$M$590=97)*(ROW('إدخال وسجل المنتجات'!$I$5:$I$590)-4))</f>
        <v>0</v>
      </c>
      <c r="J81" s="2" t="str">
        <f>IF($I81=0,"",IF($G81="","",$G81*IF(INDEX('إدخال وسجل المنتجات'!$U$5:$U$590,$I81)=0,1,INDEX('إدخال وسجل المنتجات'!$U$5:$U$590,$I81))))</f>
        <v/>
      </c>
    </row>
    <row r="82" spans="1:10" ht="16" x14ac:dyDescent="0.15">
      <c r="A82" s="2" t="str">
        <f>IF($I82=0,"",98)</f>
        <v/>
      </c>
      <c r="B82" s="9" t="str">
        <f>IF($I82=0,"",INDEX('إدخال وسجل المنتجات'!$F$5:$F$590,$I82))</f>
        <v/>
      </c>
      <c r="C82" s="8" t="str">
        <f>IF($I82=0,"",INDEX('إدخال وسجل المنتجات'!$B$5:$B$590,$I82))</f>
        <v/>
      </c>
      <c r="D82" s="10" t="str">
        <f>IF($I82=0,"",INDEX('إدخال وسجل المنتجات'!$C$5:$C$590,$I82))</f>
        <v/>
      </c>
      <c r="E82" s="11" t="str">
        <f>IF($I82=0,"",INDEX('إدخال وسجل المنتجات'!$D$5:$D$590,$I82))</f>
        <v/>
      </c>
      <c r="F82" s="2" t="str">
        <f>IF($I82=0,"",INDEX('إدخال وسجل المنتجات'!$G$5:$G$590,$I82))</f>
        <v/>
      </c>
      <c r="G82" s="12"/>
      <c r="H82" s="13"/>
      <c r="I82">
        <f>SUMPRODUCT(('إدخال وسجل المنتجات'!$I$5:$I$590="CNS")*('إدخال وسجل المنتجات'!$M$5:$M$590=98)*(ROW('إدخال وسجل المنتجات'!$I$5:$I$590)-4))</f>
        <v>0</v>
      </c>
      <c r="J82" s="2" t="str">
        <f>IF($I82=0,"",IF($G82="","",$G82*IF(INDEX('إدخال وسجل المنتجات'!$U$5:$U$590,$I82)=0,1,INDEX('إدخال وسجل المنتجات'!$U$5:$U$590,$I82))))</f>
        <v/>
      </c>
    </row>
    <row r="83" spans="1:10" ht="16" x14ac:dyDescent="0.15">
      <c r="A83" s="2" t="str">
        <f>IF($I83=0,"",99)</f>
        <v/>
      </c>
      <c r="B83" s="9" t="str">
        <f>IF($I83=0,"",INDEX('إدخال وسجل المنتجات'!$F$5:$F$590,$I83))</f>
        <v/>
      </c>
      <c r="C83" s="8" t="str">
        <f>IF($I83=0,"",INDEX('إدخال وسجل المنتجات'!$B$5:$B$590,$I83))</f>
        <v/>
      </c>
      <c r="D83" s="10" t="str">
        <f>IF($I83=0,"",INDEX('إدخال وسجل المنتجات'!$C$5:$C$590,$I83))</f>
        <v/>
      </c>
      <c r="E83" s="11" t="str">
        <f>IF($I83=0,"",INDEX('إدخال وسجل المنتجات'!$D$5:$D$590,$I83))</f>
        <v/>
      </c>
      <c r="F83" s="2" t="str">
        <f>IF($I83=0,"",INDEX('إدخال وسجل المنتجات'!$G$5:$G$590,$I83))</f>
        <v/>
      </c>
      <c r="G83" s="12"/>
      <c r="H83" s="13"/>
      <c r="I83">
        <f>SUMPRODUCT(('إدخال وسجل المنتجات'!$I$5:$I$590="CNS")*('إدخال وسجل المنتجات'!$M$5:$M$590=99)*(ROW('إدخال وسجل المنتجات'!$I$5:$I$590)-4))</f>
        <v>0</v>
      </c>
      <c r="J83" s="2" t="str">
        <f>IF($I83=0,"",IF($G83="","",$G83*IF(INDEX('إدخال وسجل المنتجات'!$U$5:$U$590,$I83)=0,1,INDEX('إدخال وسجل المنتجات'!$U$5:$U$590,$I83))))</f>
        <v/>
      </c>
    </row>
    <row r="84" spans="1:10" ht="16" x14ac:dyDescent="0.15">
      <c r="A84" s="2" t="str">
        <f>IF($I84=0,"",100)</f>
        <v/>
      </c>
      <c r="B84" s="9" t="str">
        <f>IF($I84=0,"",INDEX('إدخال وسجل المنتجات'!$F$5:$F$590,$I84))</f>
        <v/>
      </c>
      <c r="C84" s="8" t="str">
        <f>IF($I84=0,"",INDEX('إدخال وسجل المنتجات'!$B$5:$B$590,$I84))</f>
        <v/>
      </c>
      <c r="D84" s="10" t="str">
        <f>IF($I84=0,"",INDEX('إدخال وسجل المنتجات'!$C$5:$C$590,$I84))</f>
        <v/>
      </c>
      <c r="E84" s="11" t="str">
        <f>IF($I84=0,"",INDEX('إدخال وسجل المنتجات'!$D$5:$D$590,$I84))</f>
        <v/>
      </c>
      <c r="F84" s="2" t="str">
        <f>IF($I84=0,"",INDEX('إدخال وسجل المنتجات'!$G$5:$G$590,$I84))</f>
        <v/>
      </c>
      <c r="G84" s="12"/>
      <c r="H84" s="13"/>
      <c r="I84">
        <f>SUMPRODUCT(('إدخال وسجل المنتجات'!$I$5:$I$590="CNS")*('إدخال وسجل المنتجات'!$M$5:$M$590=100)*(ROW('إدخال وسجل المنتجات'!$I$5:$I$590)-4))</f>
        <v>0</v>
      </c>
      <c r="J84" s="2" t="str">
        <f>IF($I84=0,"",IF($G84="","",$G84*IF(INDEX('إدخال وسجل المنتجات'!$U$5:$U$590,$I84)=0,1,INDEX('إدخال وسجل المنتجات'!$U$5:$U$590,$I84))))</f>
        <v/>
      </c>
    </row>
    <row r="85" spans="1:10" ht="16" x14ac:dyDescent="0.15">
      <c r="A85" s="2" t="str">
        <f>IF($I85=0,"",101)</f>
        <v/>
      </c>
      <c r="B85" s="9" t="str">
        <f>IF($I85=0,"",INDEX('إدخال وسجل المنتجات'!$F$5:$F$590,$I85))</f>
        <v/>
      </c>
      <c r="C85" s="8" t="str">
        <f>IF($I85=0,"",INDEX('إدخال وسجل المنتجات'!$B$5:$B$590,$I85))</f>
        <v/>
      </c>
      <c r="D85" s="10" t="str">
        <f>IF($I85=0,"",INDEX('إدخال وسجل المنتجات'!$C$5:$C$590,$I85))</f>
        <v/>
      </c>
      <c r="E85" s="11" t="str">
        <f>IF($I85=0,"",INDEX('إدخال وسجل المنتجات'!$D$5:$D$590,$I85))</f>
        <v/>
      </c>
      <c r="F85" s="2" t="str">
        <f>IF($I85=0,"",INDEX('إدخال وسجل المنتجات'!$G$5:$G$590,$I85))</f>
        <v/>
      </c>
      <c r="G85" s="12"/>
      <c r="H85" s="13"/>
      <c r="I85">
        <f>SUMPRODUCT(('إدخال وسجل المنتجات'!$I$5:$I$590="CNS")*('إدخال وسجل المنتجات'!$M$5:$M$590=101)*(ROW('إدخال وسجل المنتجات'!$I$5:$I$590)-4))</f>
        <v>0</v>
      </c>
      <c r="J85" s="2" t="str">
        <f>IF($I85=0,"",IF($G85="","",$G85*IF(INDEX('إدخال وسجل المنتجات'!$U$5:$U$590,$I85)=0,1,INDEX('إدخال وسجل المنتجات'!$U$5:$U$590,$I85))))</f>
        <v/>
      </c>
    </row>
    <row r="86" spans="1:10" ht="16" x14ac:dyDescent="0.15">
      <c r="A86" s="2" t="str">
        <f>IF($I86=0,"",102)</f>
        <v/>
      </c>
      <c r="B86" s="9" t="str">
        <f>IF($I86=0,"",INDEX('إدخال وسجل المنتجات'!$F$5:$F$590,$I86))</f>
        <v/>
      </c>
      <c r="C86" s="8" t="str">
        <f>IF($I86=0,"",INDEX('إدخال وسجل المنتجات'!$B$5:$B$590,$I86))</f>
        <v/>
      </c>
      <c r="D86" s="10" t="str">
        <f>IF($I86=0,"",INDEX('إدخال وسجل المنتجات'!$C$5:$C$590,$I86))</f>
        <v/>
      </c>
      <c r="E86" s="11" t="str">
        <f>IF($I86=0,"",INDEX('إدخال وسجل المنتجات'!$D$5:$D$590,$I86))</f>
        <v/>
      </c>
      <c r="F86" s="2" t="str">
        <f>IF($I86=0,"",INDEX('إدخال وسجل المنتجات'!$G$5:$G$590,$I86))</f>
        <v/>
      </c>
      <c r="G86" s="12"/>
      <c r="H86" s="13"/>
      <c r="I86">
        <f>SUMPRODUCT(('إدخال وسجل المنتجات'!$I$5:$I$590="CNS")*('إدخال وسجل المنتجات'!$M$5:$M$590=102)*(ROW('إدخال وسجل المنتجات'!$I$5:$I$590)-4))</f>
        <v>0</v>
      </c>
      <c r="J86" s="2" t="str">
        <f>IF($I86=0,"",IF($G86="","",$G86*IF(INDEX('إدخال وسجل المنتجات'!$U$5:$U$590,$I86)=0,1,INDEX('إدخال وسجل المنتجات'!$U$5:$U$590,$I86))))</f>
        <v/>
      </c>
    </row>
    <row r="87" spans="1:10" ht="16" x14ac:dyDescent="0.15">
      <c r="A87" s="2" t="str">
        <f>IF($I87=0,"",103)</f>
        <v/>
      </c>
      <c r="B87" s="9" t="str">
        <f>IF($I87=0,"",INDEX('إدخال وسجل المنتجات'!$F$5:$F$590,$I87))</f>
        <v/>
      </c>
      <c r="C87" s="8" t="str">
        <f>IF($I87=0,"",INDEX('إدخال وسجل المنتجات'!$B$5:$B$590,$I87))</f>
        <v/>
      </c>
      <c r="D87" s="10" t="str">
        <f>IF($I87=0,"",INDEX('إدخال وسجل المنتجات'!$C$5:$C$590,$I87))</f>
        <v/>
      </c>
      <c r="E87" s="11" t="str">
        <f>IF($I87=0,"",INDEX('إدخال وسجل المنتجات'!$D$5:$D$590,$I87))</f>
        <v/>
      </c>
      <c r="F87" s="2" t="str">
        <f>IF($I87=0,"",INDEX('إدخال وسجل المنتجات'!$G$5:$G$590,$I87))</f>
        <v/>
      </c>
      <c r="G87" s="12"/>
      <c r="H87" s="13"/>
      <c r="I87">
        <f>SUMPRODUCT(('إدخال وسجل المنتجات'!$I$5:$I$590="CNS")*('إدخال وسجل المنتجات'!$M$5:$M$590=103)*(ROW('إدخال وسجل المنتجات'!$I$5:$I$590)-4))</f>
        <v>0</v>
      </c>
      <c r="J87" s="2" t="str">
        <f>IF($I87=0,"",IF($G87="","",$G87*IF(INDEX('إدخال وسجل المنتجات'!$U$5:$U$590,$I87)=0,1,INDEX('إدخال وسجل المنتجات'!$U$5:$U$590,$I87))))</f>
        <v/>
      </c>
    </row>
    <row r="88" spans="1:10" ht="16" x14ac:dyDescent="0.15">
      <c r="A88" s="2" t="str">
        <f>IF($I88=0,"",104)</f>
        <v/>
      </c>
      <c r="B88" s="9" t="str">
        <f>IF($I88=0,"",INDEX('إدخال وسجل المنتجات'!$F$5:$F$590,$I88))</f>
        <v/>
      </c>
      <c r="C88" s="8" t="str">
        <f>IF($I88=0,"",INDEX('إدخال وسجل المنتجات'!$B$5:$B$590,$I88))</f>
        <v/>
      </c>
      <c r="D88" s="10" t="str">
        <f>IF($I88=0,"",INDEX('إدخال وسجل المنتجات'!$C$5:$C$590,$I88))</f>
        <v/>
      </c>
      <c r="E88" s="11" t="str">
        <f>IF($I88=0,"",INDEX('إدخال وسجل المنتجات'!$D$5:$D$590,$I88))</f>
        <v/>
      </c>
      <c r="F88" s="2" t="str">
        <f>IF($I88=0,"",INDEX('إدخال وسجل المنتجات'!$G$5:$G$590,$I88))</f>
        <v/>
      </c>
      <c r="G88" s="12"/>
      <c r="H88" s="13"/>
      <c r="I88">
        <f>SUMPRODUCT(('إدخال وسجل المنتجات'!$I$5:$I$590="CNS")*('إدخال وسجل المنتجات'!$M$5:$M$590=104)*(ROW('إدخال وسجل المنتجات'!$I$5:$I$590)-4))</f>
        <v>0</v>
      </c>
      <c r="J88" s="2" t="str">
        <f>IF($I88=0,"",IF($G88="","",$G88*IF(INDEX('إدخال وسجل المنتجات'!$U$5:$U$590,$I88)=0,1,INDEX('إدخال وسجل المنتجات'!$U$5:$U$590,$I88))))</f>
        <v/>
      </c>
    </row>
    <row r="89" spans="1:10" ht="16" x14ac:dyDescent="0.15">
      <c r="A89" s="2" t="str">
        <f>IF($I89=0,"",105)</f>
        <v/>
      </c>
      <c r="B89" s="9" t="str">
        <f>IF($I89=0,"",INDEX('إدخال وسجل المنتجات'!$F$5:$F$590,$I89))</f>
        <v/>
      </c>
      <c r="C89" s="8" t="str">
        <f>IF($I89=0,"",INDEX('إدخال وسجل المنتجات'!$B$5:$B$590,$I89))</f>
        <v/>
      </c>
      <c r="D89" s="10" t="str">
        <f>IF($I89=0,"",INDEX('إدخال وسجل المنتجات'!$C$5:$C$590,$I89))</f>
        <v/>
      </c>
      <c r="E89" s="11" t="str">
        <f>IF($I89=0,"",INDEX('إدخال وسجل المنتجات'!$D$5:$D$590,$I89))</f>
        <v/>
      </c>
      <c r="F89" s="2" t="str">
        <f>IF($I89=0,"",INDEX('إدخال وسجل المنتجات'!$G$5:$G$590,$I89))</f>
        <v/>
      </c>
      <c r="G89" s="12"/>
      <c r="H89" s="13"/>
      <c r="I89">
        <f>SUMPRODUCT(('إدخال وسجل المنتجات'!$I$5:$I$590="CNS")*('إدخال وسجل المنتجات'!$M$5:$M$590=105)*(ROW('إدخال وسجل المنتجات'!$I$5:$I$590)-4))</f>
        <v>0</v>
      </c>
      <c r="J89" s="2" t="str">
        <f>IF($I89=0,"",IF($G89="","",$G89*IF(INDEX('إدخال وسجل المنتجات'!$U$5:$U$590,$I89)=0,1,INDEX('إدخال وسجل المنتجات'!$U$5:$U$590,$I89))))</f>
        <v/>
      </c>
    </row>
    <row r="90" spans="1:10" ht="16" x14ac:dyDescent="0.15">
      <c r="A90" s="2" t="str">
        <f>IF($I90=0,"",106)</f>
        <v/>
      </c>
      <c r="B90" s="9" t="str">
        <f>IF($I90=0,"",INDEX('إدخال وسجل المنتجات'!$F$5:$F$590,$I90))</f>
        <v/>
      </c>
      <c r="C90" s="8" t="str">
        <f>IF($I90=0,"",INDEX('إدخال وسجل المنتجات'!$B$5:$B$590,$I90))</f>
        <v/>
      </c>
      <c r="D90" s="10" t="str">
        <f>IF($I90=0,"",INDEX('إدخال وسجل المنتجات'!$C$5:$C$590,$I90))</f>
        <v/>
      </c>
      <c r="E90" s="11" t="str">
        <f>IF($I90=0,"",INDEX('إدخال وسجل المنتجات'!$D$5:$D$590,$I90))</f>
        <v/>
      </c>
      <c r="F90" s="2" t="str">
        <f>IF($I90=0,"",INDEX('إدخال وسجل المنتجات'!$G$5:$G$590,$I90))</f>
        <v/>
      </c>
      <c r="G90" s="12"/>
      <c r="H90" s="13"/>
      <c r="I90">
        <f>SUMPRODUCT(('إدخال وسجل المنتجات'!$I$5:$I$590="CNS")*('إدخال وسجل المنتجات'!$M$5:$M$590=106)*(ROW('إدخال وسجل المنتجات'!$I$5:$I$590)-4))</f>
        <v>0</v>
      </c>
      <c r="J90" s="2" t="str">
        <f>IF($I90=0,"",IF($G90="","",$G90*IF(INDEX('إدخال وسجل المنتجات'!$U$5:$U$590,$I90)=0,1,INDEX('إدخال وسجل المنتجات'!$U$5:$U$590,$I90))))</f>
        <v/>
      </c>
    </row>
    <row r="91" spans="1:10" ht="16" x14ac:dyDescent="0.15">
      <c r="A91" s="2" t="str">
        <f>IF($I91=0,"",107)</f>
        <v/>
      </c>
      <c r="B91" s="9" t="str">
        <f>IF($I91=0,"",INDEX('إدخال وسجل المنتجات'!$F$5:$F$590,$I91))</f>
        <v/>
      </c>
      <c r="C91" s="8" t="str">
        <f>IF($I91=0,"",INDEX('إدخال وسجل المنتجات'!$B$5:$B$590,$I91))</f>
        <v/>
      </c>
      <c r="D91" s="10" t="str">
        <f>IF($I91=0,"",INDEX('إدخال وسجل المنتجات'!$C$5:$C$590,$I91))</f>
        <v/>
      </c>
      <c r="E91" s="11" t="str">
        <f>IF($I91=0,"",INDEX('إدخال وسجل المنتجات'!$D$5:$D$590,$I91))</f>
        <v/>
      </c>
      <c r="F91" s="2" t="str">
        <f>IF($I91=0,"",INDEX('إدخال وسجل المنتجات'!$G$5:$G$590,$I91))</f>
        <v/>
      </c>
      <c r="G91" s="12"/>
      <c r="H91" s="13"/>
      <c r="I91">
        <f>SUMPRODUCT(('إدخال وسجل المنتجات'!$I$5:$I$590="CNS")*('إدخال وسجل المنتجات'!$M$5:$M$590=107)*(ROW('إدخال وسجل المنتجات'!$I$5:$I$590)-4))</f>
        <v>0</v>
      </c>
      <c r="J91" s="2" t="str">
        <f>IF($I91=0,"",IF($G91="","",$G91*IF(INDEX('إدخال وسجل المنتجات'!$U$5:$U$590,$I91)=0,1,INDEX('إدخال وسجل المنتجات'!$U$5:$U$590,$I91))))</f>
        <v/>
      </c>
    </row>
    <row r="92" spans="1:10" ht="16" x14ac:dyDescent="0.15">
      <c r="A92" s="2" t="str">
        <f>IF($I92=0,"",108)</f>
        <v/>
      </c>
      <c r="B92" s="9" t="str">
        <f>IF($I92=0,"",INDEX('إدخال وسجل المنتجات'!$F$5:$F$590,$I92))</f>
        <v/>
      </c>
      <c r="C92" s="8" t="str">
        <f>IF($I92=0,"",INDEX('إدخال وسجل المنتجات'!$B$5:$B$590,$I92))</f>
        <v/>
      </c>
      <c r="D92" s="10" t="str">
        <f>IF($I92=0,"",INDEX('إدخال وسجل المنتجات'!$C$5:$C$590,$I92))</f>
        <v/>
      </c>
      <c r="E92" s="11" t="str">
        <f>IF($I92=0,"",INDEX('إدخال وسجل المنتجات'!$D$5:$D$590,$I92))</f>
        <v/>
      </c>
      <c r="F92" s="2" t="str">
        <f>IF($I92=0,"",INDEX('إدخال وسجل المنتجات'!$G$5:$G$590,$I92))</f>
        <v/>
      </c>
      <c r="G92" s="12"/>
      <c r="H92" s="13"/>
      <c r="I92">
        <f>SUMPRODUCT(('إدخال وسجل المنتجات'!$I$5:$I$590="CNS")*('إدخال وسجل المنتجات'!$M$5:$M$590=108)*(ROW('إدخال وسجل المنتجات'!$I$5:$I$590)-4))</f>
        <v>0</v>
      </c>
      <c r="J92" s="2" t="str">
        <f>IF($I92=0,"",IF($G92="","",$G92*IF(INDEX('إدخال وسجل المنتجات'!$U$5:$U$590,$I92)=0,1,INDEX('إدخال وسجل المنتجات'!$U$5:$U$590,$I92))))</f>
        <v/>
      </c>
    </row>
    <row r="93" spans="1:10" ht="16" x14ac:dyDescent="0.15">
      <c r="A93" s="2" t="str">
        <f>IF($I93=0,"",109)</f>
        <v/>
      </c>
      <c r="B93" s="9" t="str">
        <f>IF($I93=0,"",INDEX('إدخال وسجل المنتجات'!$F$5:$F$590,$I93))</f>
        <v/>
      </c>
      <c r="C93" s="8" t="str">
        <f>IF($I93=0,"",INDEX('إدخال وسجل المنتجات'!$B$5:$B$590,$I93))</f>
        <v/>
      </c>
      <c r="D93" s="10" t="str">
        <f>IF($I93=0,"",INDEX('إدخال وسجل المنتجات'!$C$5:$C$590,$I93))</f>
        <v/>
      </c>
      <c r="E93" s="11" t="str">
        <f>IF($I93=0,"",INDEX('إدخال وسجل المنتجات'!$D$5:$D$590,$I93))</f>
        <v/>
      </c>
      <c r="F93" s="2" t="str">
        <f>IF($I93=0,"",INDEX('إدخال وسجل المنتجات'!$G$5:$G$590,$I93))</f>
        <v/>
      </c>
      <c r="G93" s="12"/>
      <c r="H93" s="13"/>
      <c r="I93">
        <f>SUMPRODUCT(('إدخال وسجل المنتجات'!$I$5:$I$590="CNS")*('إدخال وسجل المنتجات'!$M$5:$M$590=109)*(ROW('إدخال وسجل المنتجات'!$I$5:$I$590)-4))</f>
        <v>0</v>
      </c>
      <c r="J93" s="2" t="str">
        <f>IF($I93=0,"",IF($G93="","",$G93*IF(INDEX('إدخال وسجل المنتجات'!$U$5:$U$590,$I93)=0,1,INDEX('إدخال وسجل المنتجات'!$U$5:$U$590,$I93))))</f>
        <v/>
      </c>
    </row>
    <row r="94" spans="1:10" ht="16" x14ac:dyDescent="0.15">
      <c r="A94" s="2" t="str">
        <f>IF($I94=0,"",110)</f>
        <v/>
      </c>
      <c r="B94" s="9" t="str">
        <f>IF($I94=0,"",INDEX('إدخال وسجل المنتجات'!$F$5:$F$590,$I94))</f>
        <v/>
      </c>
      <c r="C94" s="8" t="str">
        <f>IF($I94=0,"",INDEX('إدخال وسجل المنتجات'!$B$5:$B$590,$I94))</f>
        <v/>
      </c>
      <c r="D94" s="10" t="str">
        <f>IF($I94=0,"",INDEX('إدخال وسجل المنتجات'!$C$5:$C$590,$I94))</f>
        <v/>
      </c>
      <c r="E94" s="11" t="str">
        <f>IF($I94=0,"",INDEX('إدخال وسجل المنتجات'!$D$5:$D$590,$I94))</f>
        <v/>
      </c>
      <c r="F94" s="2" t="str">
        <f>IF($I94=0,"",INDEX('إدخال وسجل المنتجات'!$G$5:$G$590,$I94))</f>
        <v/>
      </c>
      <c r="G94" s="12"/>
      <c r="H94" s="13"/>
      <c r="I94">
        <f>SUMPRODUCT(('إدخال وسجل المنتجات'!$I$5:$I$590="CNS")*('إدخال وسجل المنتجات'!$M$5:$M$590=110)*(ROW('إدخال وسجل المنتجات'!$I$5:$I$590)-4))</f>
        <v>0</v>
      </c>
      <c r="J94" s="2" t="str">
        <f>IF($I94=0,"",IF($G94="","",$G94*IF(INDEX('إدخال وسجل المنتجات'!$U$5:$U$590,$I94)=0,1,INDEX('إدخال وسجل المنتجات'!$U$5:$U$590,$I94))))</f>
        <v/>
      </c>
    </row>
    <row r="95" spans="1:10" ht="16" x14ac:dyDescent="0.15">
      <c r="A95" s="2" t="str">
        <f>IF($I95=0,"",111)</f>
        <v/>
      </c>
      <c r="B95" s="9" t="str">
        <f>IF($I95=0,"",INDEX('إدخال وسجل المنتجات'!$F$5:$F$590,$I95))</f>
        <v/>
      </c>
      <c r="C95" s="8" t="str">
        <f>IF($I95=0,"",INDEX('إدخال وسجل المنتجات'!$B$5:$B$590,$I95))</f>
        <v/>
      </c>
      <c r="D95" s="10" t="str">
        <f>IF($I95=0,"",INDEX('إدخال وسجل المنتجات'!$C$5:$C$590,$I95))</f>
        <v/>
      </c>
      <c r="E95" s="11" t="str">
        <f>IF($I95=0,"",INDEX('إدخال وسجل المنتجات'!$D$5:$D$590,$I95))</f>
        <v/>
      </c>
      <c r="F95" s="2" t="str">
        <f>IF($I95=0,"",INDEX('إدخال وسجل المنتجات'!$G$5:$G$590,$I95))</f>
        <v/>
      </c>
      <c r="G95" s="12"/>
      <c r="H95" s="13"/>
      <c r="I95">
        <f>SUMPRODUCT(('إدخال وسجل المنتجات'!$I$5:$I$590="CNS")*('إدخال وسجل المنتجات'!$M$5:$M$590=111)*(ROW('إدخال وسجل المنتجات'!$I$5:$I$590)-4))</f>
        <v>0</v>
      </c>
      <c r="J95" s="2" t="str">
        <f>IF($I95=0,"",IF($G95="","",$G95*IF(INDEX('إدخال وسجل المنتجات'!$U$5:$U$590,$I95)=0,1,INDEX('إدخال وسجل المنتجات'!$U$5:$U$590,$I95))))</f>
        <v/>
      </c>
    </row>
    <row r="96" spans="1:10" ht="16" x14ac:dyDescent="0.15">
      <c r="A96" s="2" t="str">
        <f>IF($I96=0,"",112)</f>
        <v/>
      </c>
      <c r="B96" s="9" t="str">
        <f>IF($I96=0,"",INDEX('إدخال وسجل المنتجات'!$F$5:$F$590,$I96))</f>
        <v/>
      </c>
      <c r="C96" s="8" t="str">
        <f>IF($I96=0,"",INDEX('إدخال وسجل المنتجات'!$B$5:$B$590,$I96))</f>
        <v/>
      </c>
      <c r="D96" s="10" t="str">
        <f>IF($I96=0,"",INDEX('إدخال وسجل المنتجات'!$C$5:$C$590,$I96))</f>
        <v/>
      </c>
      <c r="E96" s="11" t="str">
        <f>IF($I96=0,"",INDEX('إدخال وسجل المنتجات'!$D$5:$D$590,$I96))</f>
        <v/>
      </c>
      <c r="F96" s="2" t="str">
        <f>IF($I96=0,"",INDEX('إدخال وسجل المنتجات'!$G$5:$G$590,$I96))</f>
        <v/>
      </c>
      <c r="G96" s="12"/>
      <c r="H96" s="13"/>
      <c r="I96">
        <f>SUMPRODUCT(('إدخال وسجل المنتجات'!$I$5:$I$590="CNS")*('إدخال وسجل المنتجات'!$M$5:$M$590=112)*(ROW('إدخال وسجل المنتجات'!$I$5:$I$590)-4))</f>
        <v>0</v>
      </c>
      <c r="J96" s="2" t="str">
        <f>IF($I96=0,"",IF($G96="","",$G96*IF(INDEX('إدخال وسجل المنتجات'!$U$5:$U$590,$I96)=0,1,INDEX('إدخال وسجل المنتجات'!$U$5:$U$590,$I96))))</f>
        <v/>
      </c>
    </row>
    <row r="97" spans="1:10" ht="16" x14ac:dyDescent="0.15">
      <c r="A97" s="2" t="str">
        <f>IF($I97=0,"",113)</f>
        <v/>
      </c>
      <c r="B97" s="9" t="str">
        <f>IF($I97=0,"",INDEX('إدخال وسجل المنتجات'!$F$5:$F$590,$I97))</f>
        <v/>
      </c>
      <c r="C97" s="8" t="str">
        <f>IF($I97=0,"",INDEX('إدخال وسجل المنتجات'!$B$5:$B$590,$I97))</f>
        <v/>
      </c>
      <c r="D97" s="10" t="str">
        <f>IF($I97=0,"",INDEX('إدخال وسجل المنتجات'!$C$5:$C$590,$I97))</f>
        <v/>
      </c>
      <c r="E97" s="11" t="str">
        <f>IF($I97=0,"",INDEX('إدخال وسجل المنتجات'!$D$5:$D$590,$I97))</f>
        <v/>
      </c>
      <c r="F97" s="2" t="str">
        <f>IF($I97=0,"",INDEX('إدخال وسجل المنتجات'!$G$5:$G$590,$I97))</f>
        <v/>
      </c>
      <c r="G97" s="12"/>
      <c r="H97" s="13"/>
      <c r="I97">
        <f>SUMPRODUCT(('إدخال وسجل المنتجات'!$I$5:$I$590="CNS")*('إدخال وسجل المنتجات'!$M$5:$M$590=113)*(ROW('إدخال وسجل المنتجات'!$I$5:$I$590)-4))</f>
        <v>0</v>
      </c>
      <c r="J97" s="2" t="str">
        <f>IF($I97=0,"",IF($G97="","",$G97*IF(INDEX('إدخال وسجل المنتجات'!$U$5:$U$590,$I97)=0,1,INDEX('إدخال وسجل المنتجات'!$U$5:$U$590,$I97))))</f>
        <v/>
      </c>
    </row>
    <row r="98" spans="1:10" ht="16" x14ac:dyDescent="0.15">
      <c r="A98" s="2" t="str">
        <f>IF($I98=0,"",114)</f>
        <v/>
      </c>
      <c r="B98" s="9" t="str">
        <f>IF($I98=0,"",INDEX('إدخال وسجل المنتجات'!$F$5:$F$590,$I98))</f>
        <v/>
      </c>
      <c r="C98" s="8" t="str">
        <f>IF($I98=0,"",INDEX('إدخال وسجل المنتجات'!$B$5:$B$590,$I98))</f>
        <v/>
      </c>
      <c r="D98" s="10" t="str">
        <f>IF($I98=0,"",INDEX('إدخال وسجل المنتجات'!$C$5:$C$590,$I98))</f>
        <v/>
      </c>
      <c r="E98" s="11" t="str">
        <f>IF($I98=0,"",INDEX('إدخال وسجل المنتجات'!$D$5:$D$590,$I98))</f>
        <v/>
      </c>
      <c r="F98" s="2" t="str">
        <f>IF($I98=0,"",INDEX('إدخال وسجل المنتجات'!$G$5:$G$590,$I98))</f>
        <v/>
      </c>
      <c r="G98" s="12"/>
      <c r="H98" s="13"/>
      <c r="I98">
        <f>SUMPRODUCT(('إدخال وسجل المنتجات'!$I$5:$I$590="CNS")*('إدخال وسجل المنتجات'!$M$5:$M$590=114)*(ROW('إدخال وسجل المنتجات'!$I$5:$I$590)-4))</f>
        <v>0</v>
      </c>
      <c r="J98" s="2" t="str">
        <f>IF($I98=0,"",IF($G98="","",$G98*IF(INDEX('إدخال وسجل المنتجات'!$U$5:$U$590,$I98)=0,1,INDEX('إدخال وسجل المنتجات'!$U$5:$U$590,$I98))))</f>
        <v/>
      </c>
    </row>
    <row r="99" spans="1:10" ht="16" x14ac:dyDescent="0.15">
      <c r="A99" s="2" t="str">
        <f>IF($I99=0,"",115)</f>
        <v/>
      </c>
      <c r="B99" s="9" t="str">
        <f>IF($I99=0,"",INDEX('إدخال وسجل المنتجات'!$F$5:$F$590,$I99))</f>
        <v/>
      </c>
      <c r="C99" s="8" t="str">
        <f>IF($I99=0,"",INDEX('إدخال وسجل المنتجات'!$B$5:$B$590,$I99))</f>
        <v/>
      </c>
      <c r="D99" s="10" t="str">
        <f>IF($I99=0,"",INDEX('إدخال وسجل المنتجات'!$C$5:$C$590,$I99))</f>
        <v/>
      </c>
      <c r="E99" s="11" t="str">
        <f>IF($I99=0,"",INDEX('إدخال وسجل المنتجات'!$D$5:$D$590,$I99))</f>
        <v/>
      </c>
      <c r="F99" s="2" t="str">
        <f>IF($I99=0,"",INDEX('إدخال وسجل المنتجات'!$G$5:$G$590,$I99))</f>
        <v/>
      </c>
      <c r="G99" s="12"/>
      <c r="H99" s="13"/>
      <c r="I99">
        <f>SUMPRODUCT(('إدخال وسجل المنتجات'!$I$5:$I$590="CNS")*('إدخال وسجل المنتجات'!$M$5:$M$590=115)*(ROW('إدخال وسجل المنتجات'!$I$5:$I$590)-4))</f>
        <v>0</v>
      </c>
      <c r="J99" s="2" t="str">
        <f>IF($I99=0,"",IF($G99="","",$G99*IF(INDEX('إدخال وسجل المنتجات'!$U$5:$U$590,$I99)=0,1,INDEX('إدخال وسجل المنتجات'!$U$5:$U$590,$I99))))</f>
        <v/>
      </c>
    </row>
    <row r="100" spans="1:10" ht="16" x14ac:dyDescent="0.15">
      <c r="A100" s="2" t="str">
        <f>IF($I100=0,"",116)</f>
        <v/>
      </c>
      <c r="B100" s="9" t="str">
        <f>IF($I100=0,"",INDEX('إدخال وسجل المنتجات'!$F$5:$F$590,$I100))</f>
        <v/>
      </c>
      <c r="C100" s="8" t="str">
        <f>IF($I100=0,"",INDEX('إدخال وسجل المنتجات'!$B$5:$B$590,$I100))</f>
        <v/>
      </c>
      <c r="D100" s="10" t="str">
        <f>IF($I100=0,"",INDEX('إدخال وسجل المنتجات'!$C$5:$C$590,$I100))</f>
        <v/>
      </c>
      <c r="E100" s="11" t="str">
        <f>IF($I100=0,"",INDEX('إدخال وسجل المنتجات'!$D$5:$D$590,$I100))</f>
        <v/>
      </c>
      <c r="F100" s="2" t="str">
        <f>IF($I100=0,"",INDEX('إدخال وسجل المنتجات'!$G$5:$G$590,$I100))</f>
        <v/>
      </c>
      <c r="G100" s="12"/>
      <c r="H100" s="13"/>
      <c r="I100">
        <f>SUMPRODUCT(('إدخال وسجل المنتجات'!$I$5:$I$590="CNS")*('إدخال وسجل المنتجات'!$M$5:$M$590=116)*(ROW('إدخال وسجل المنتجات'!$I$5:$I$590)-4))</f>
        <v>0</v>
      </c>
      <c r="J100" s="2" t="str">
        <f>IF($I100=0,"",IF($G100="","",$G100*IF(INDEX('إدخال وسجل المنتجات'!$U$5:$U$590,$I100)=0,1,INDEX('إدخال وسجل المنتجات'!$U$5:$U$590,$I100))))</f>
        <v/>
      </c>
    </row>
    <row r="101" spans="1:10" ht="16" x14ac:dyDescent="0.15">
      <c r="A101" s="2" t="str">
        <f>IF($I101=0,"",117)</f>
        <v/>
      </c>
      <c r="B101" s="9" t="str">
        <f>IF($I101=0,"",INDEX('إدخال وسجل المنتجات'!$F$5:$F$590,$I101))</f>
        <v/>
      </c>
      <c r="C101" s="8" t="str">
        <f>IF($I101=0,"",INDEX('إدخال وسجل المنتجات'!$B$5:$B$590,$I101))</f>
        <v/>
      </c>
      <c r="D101" s="10" t="str">
        <f>IF($I101=0,"",INDEX('إدخال وسجل المنتجات'!$C$5:$C$590,$I101))</f>
        <v/>
      </c>
      <c r="E101" s="11" t="str">
        <f>IF($I101=0,"",INDEX('إدخال وسجل المنتجات'!$D$5:$D$590,$I101))</f>
        <v/>
      </c>
      <c r="F101" s="2" t="str">
        <f>IF($I101=0,"",INDEX('إدخال وسجل المنتجات'!$G$5:$G$590,$I101))</f>
        <v/>
      </c>
      <c r="G101" s="12"/>
      <c r="H101" s="13"/>
      <c r="I101">
        <f>SUMPRODUCT(('إدخال وسجل المنتجات'!$I$5:$I$590="CNS")*('إدخال وسجل المنتجات'!$M$5:$M$590=117)*(ROW('إدخال وسجل المنتجات'!$I$5:$I$590)-4))</f>
        <v>0</v>
      </c>
      <c r="J101" s="2" t="str">
        <f>IF($I101=0,"",IF($G101="","",$G101*IF(INDEX('إدخال وسجل المنتجات'!$U$5:$U$590,$I101)=0,1,INDEX('إدخال وسجل المنتجات'!$U$5:$U$590,$I101))))</f>
        <v/>
      </c>
    </row>
    <row r="102" spans="1:10" ht="16" x14ac:dyDescent="0.15">
      <c r="A102" s="2" t="str">
        <f>IF($I102=0,"",118)</f>
        <v/>
      </c>
      <c r="B102" s="9" t="str">
        <f>IF($I102=0,"",INDEX('إدخال وسجل المنتجات'!$F$5:$F$590,$I102))</f>
        <v/>
      </c>
      <c r="C102" s="8" t="str">
        <f>IF($I102=0,"",INDEX('إدخال وسجل المنتجات'!$B$5:$B$590,$I102))</f>
        <v/>
      </c>
      <c r="D102" s="10" t="str">
        <f>IF($I102=0,"",INDEX('إدخال وسجل المنتجات'!$C$5:$C$590,$I102))</f>
        <v/>
      </c>
      <c r="E102" s="11" t="str">
        <f>IF($I102=0,"",INDEX('إدخال وسجل المنتجات'!$D$5:$D$590,$I102))</f>
        <v/>
      </c>
      <c r="F102" s="2" t="str">
        <f>IF($I102=0,"",INDEX('إدخال وسجل المنتجات'!$G$5:$G$590,$I102))</f>
        <v/>
      </c>
      <c r="G102" s="12"/>
      <c r="H102" s="13"/>
      <c r="I102">
        <f>SUMPRODUCT(('إدخال وسجل المنتجات'!$I$5:$I$590="CNS")*('إدخال وسجل المنتجات'!$M$5:$M$590=118)*(ROW('إدخال وسجل المنتجات'!$I$5:$I$590)-4))</f>
        <v>0</v>
      </c>
      <c r="J102" s="2" t="str">
        <f>IF($I102=0,"",IF($G102="","",$G102*IF(INDEX('إدخال وسجل المنتجات'!$U$5:$U$590,$I102)=0,1,INDEX('إدخال وسجل المنتجات'!$U$5:$U$590,$I102))))</f>
        <v/>
      </c>
    </row>
    <row r="103" spans="1:10" ht="16" x14ac:dyDescent="0.15">
      <c r="A103" s="2" t="str">
        <f>IF($I103=0,"",119)</f>
        <v/>
      </c>
      <c r="B103" s="9" t="str">
        <f>IF($I103=0,"",INDEX('إدخال وسجل المنتجات'!$F$5:$F$590,$I103))</f>
        <v/>
      </c>
      <c r="C103" s="8" t="str">
        <f>IF($I103=0,"",INDEX('إدخال وسجل المنتجات'!$B$5:$B$590,$I103))</f>
        <v/>
      </c>
      <c r="D103" s="10" t="str">
        <f>IF($I103=0,"",INDEX('إدخال وسجل المنتجات'!$C$5:$C$590,$I103))</f>
        <v/>
      </c>
      <c r="E103" s="11" t="str">
        <f>IF($I103=0,"",INDEX('إدخال وسجل المنتجات'!$D$5:$D$590,$I103))</f>
        <v/>
      </c>
      <c r="F103" s="2" t="str">
        <f>IF($I103=0,"",INDEX('إدخال وسجل المنتجات'!$G$5:$G$590,$I103))</f>
        <v/>
      </c>
      <c r="G103" s="12"/>
      <c r="H103" s="13"/>
      <c r="I103">
        <f>SUMPRODUCT(('إدخال وسجل المنتجات'!$I$5:$I$590="CNS")*('إدخال وسجل المنتجات'!$M$5:$M$590=119)*(ROW('إدخال وسجل المنتجات'!$I$5:$I$590)-4))</f>
        <v>0</v>
      </c>
      <c r="J103" s="2" t="str">
        <f>IF($I103=0,"",IF($G103="","",$G103*IF(INDEX('إدخال وسجل المنتجات'!$U$5:$U$590,$I103)=0,1,INDEX('إدخال وسجل المنتجات'!$U$5:$U$590,$I103))))</f>
        <v/>
      </c>
    </row>
    <row r="104" spans="1:10" ht="16" x14ac:dyDescent="0.15">
      <c r="A104" s="2" t="str">
        <f>IF($I104=0,"",120)</f>
        <v/>
      </c>
      <c r="B104" s="9" t="str">
        <f>IF($I104=0,"",INDEX('إدخال وسجل المنتجات'!$F$5:$F$590,$I104))</f>
        <v/>
      </c>
      <c r="C104" s="8" t="str">
        <f>IF($I104=0,"",INDEX('إدخال وسجل المنتجات'!$B$5:$B$590,$I104))</f>
        <v/>
      </c>
      <c r="D104" s="10" t="str">
        <f>IF($I104=0,"",INDEX('إدخال وسجل المنتجات'!$C$5:$C$590,$I104))</f>
        <v/>
      </c>
      <c r="E104" s="11" t="str">
        <f>IF($I104=0,"",INDEX('إدخال وسجل المنتجات'!$D$5:$D$590,$I104))</f>
        <v/>
      </c>
      <c r="F104" s="2" t="str">
        <f>IF($I104=0,"",INDEX('إدخال وسجل المنتجات'!$G$5:$G$590,$I104))</f>
        <v/>
      </c>
      <c r="G104" s="12"/>
      <c r="H104" s="13"/>
      <c r="I104">
        <f>SUMPRODUCT(('إدخال وسجل المنتجات'!$I$5:$I$590="CNS")*('إدخال وسجل المنتجات'!$M$5:$M$590=120)*(ROW('إدخال وسجل المنتجات'!$I$5:$I$590)-4))</f>
        <v>0</v>
      </c>
      <c r="J104" s="2" t="str">
        <f>IF($I104=0,"",IF($G104="","",$G104*IF(INDEX('إدخال وسجل المنتجات'!$U$5:$U$590,$I104)=0,1,INDEX('إدخال وسجل المنتجات'!$U$5:$U$590,$I104))))</f>
        <v/>
      </c>
    </row>
    <row r="105" spans="1:10" ht="16" x14ac:dyDescent="0.15">
      <c r="A105" s="2" t="str">
        <f>IF($I105=0,"",121)</f>
        <v/>
      </c>
      <c r="B105" s="9" t="str">
        <f>IF($I105=0,"",INDEX('إدخال وسجل المنتجات'!$F$5:$F$590,$I105))</f>
        <v/>
      </c>
      <c r="C105" s="8" t="str">
        <f>IF($I105=0,"",INDEX('إدخال وسجل المنتجات'!$B$5:$B$590,$I105))</f>
        <v/>
      </c>
      <c r="D105" s="10" t="str">
        <f>IF($I105=0,"",INDEX('إدخال وسجل المنتجات'!$C$5:$C$590,$I105))</f>
        <v/>
      </c>
      <c r="E105" s="11" t="str">
        <f>IF($I105=0,"",INDEX('إدخال وسجل المنتجات'!$D$5:$D$590,$I105))</f>
        <v/>
      </c>
      <c r="F105" s="2" t="str">
        <f>IF($I105=0,"",INDEX('إدخال وسجل المنتجات'!$G$5:$G$590,$I105))</f>
        <v/>
      </c>
      <c r="G105" s="12"/>
      <c r="H105" s="13"/>
      <c r="I105">
        <f>SUMPRODUCT(('إدخال وسجل المنتجات'!$I$5:$I$590="CNS")*('إدخال وسجل المنتجات'!$M$5:$M$590=121)*(ROW('إدخال وسجل المنتجات'!$I$5:$I$590)-4))</f>
        <v>0</v>
      </c>
      <c r="J105" s="2" t="str">
        <f>IF($I105=0,"",IF($G105="","",$G105*IF(INDEX('إدخال وسجل المنتجات'!$U$5:$U$590,$I105)=0,1,INDEX('إدخال وسجل المنتجات'!$U$5:$U$590,$I105))))</f>
        <v/>
      </c>
    </row>
    <row r="106" spans="1:10" ht="16" x14ac:dyDescent="0.15">
      <c r="A106" s="2" t="str">
        <f>IF($I106=0,"",122)</f>
        <v/>
      </c>
      <c r="B106" s="9" t="str">
        <f>IF($I106=0,"",INDEX('إدخال وسجل المنتجات'!$F$5:$F$590,$I106))</f>
        <v/>
      </c>
      <c r="C106" s="8" t="str">
        <f>IF($I106=0,"",INDEX('إدخال وسجل المنتجات'!$B$5:$B$590,$I106))</f>
        <v/>
      </c>
      <c r="D106" s="10" t="str">
        <f>IF($I106=0,"",INDEX('إدخال وسجل المنتجات'!$C$5:$C$590,$I106))</f>
        <v/>
      </c>
      <c r="E106" s="11" t="str">
        <f>IF($I106=0,"",INDEX('إدخال وسجل المنتجات'!$D$5:$D$590,$I106))</f>
        <v/>
      </c>
      <c r="F106" s="2" t="str">
        <f>IF($I106=0,"",INDEX('إدخال وسجل المنتجات'!$G$5:$G$590,$I106))</f>
        <v/>
      </c>
      <c r="G106" s="12"/>
      <c r="H106" s="13"/>
      <c r="I106">
        <f>SUMPRODUCT(('إدخال وسجل المنتجات'!$I$5:$I$590="CNS")*('إدخال وسجل المنتجات'!$M$5:$M$590=122)*(ROW('إدخال وسجل المنتجات'!$I$5:$I$590)-4))</f>
        <v>0</v>
      </c>
      <c r="J106" s="2" t="str">
        <f>IF($I106=0,"",IF($G106="","",$G106*IF(INDEX('إدخال وسجل المنتجات'!$U$5:$U$590,$I106)=0,1,INDEX('إدخال وسجل المنتجات'!$U$5:$U$590,$I106))))</f>
        <v/>
      </c>
    </row>
    <row r="107" spans="1:10" ht="16" x14ac:dyDescent="0.15">
      <c r="A107" s="2" t="str">
        <f>IF($I107=0,"",123)</f>
        <v/>
      </c>
      <c r="B107" s="9" t="str">
        <f>IF($I107=0,"",INDEX('إدخال وسجل المنتجات'!$F$5:$F$590,$I107))</f>
        <v/>
      </c>
      <c r="C107" s="8" t="str">
        <f>IF($I107=0,"",INDEX('إدخال وسجل المنتجات'!$B$5:$B$590,$I107))</f>
        <v/>
      </c>
      <c r="D107" s="10" t="str">
        <f>IF($I107=0,"",INDEX('إدخال وسجل المنتجات'!$C$5:$C$590,$I107))</f>
        <v/>
      </c>
      <c r="E107" s="11" t="str">
        <f>IF($I107=0,"",INDEX('إدخال وسجل المنتجات'!$D$5:$D$590,$I107))</f>
        <v/>
      </c>
      <c r="F107" s="2" t="str">
        <f>IF($I107=0,"",INDEX('إدخال وسجل المنتجات'!$G$5:$G$590,$I107))</f>
        <v/>
      </c>
      <c r="G107" s="12"/>
      <c r="H107" s="13"/>
      <c r="I107">
        <f>SUMPRODUCT(('إدخال وسجل المنتجات'!$I$5:$I$590="CNS")*('إدخال وسجل المنتجات'!$M$5:$M$590=123)*(ROW('إدخال وسجل المنتجات'!$I$5:$I$590)-4))</f>
        <v>0</v>
      </c>
      <c r="J107" s="2" t="str">
        <f>IF($I107=0,"",IF($G107="","",$G107*IF(INDEX('إدخال وسجل المنتجات'!$U$5:$U$590,$I107)=0,1,INDEX('إدخال وسجل المنتجات'!$U$5:$U$590,$I107))))</f>
        <v/>
      </c>
    </row>
    <row r="108" spans="1:10" ht="16" x14ac:dyDescent="0.15">
      <c r="A108" s="2" t="str">
        <f>IF($I108=0,"",124)</f>
        <v/>
      </c>
      <c r="B108" s="9" t="str">
        <f>IF($I108=0,"",INDEX('إدخال وسجل المنتجات'!$F$5:$F$590,$I108))</f>
        <v/>
      </c>
      <c r="C108" s="8" t="str">
        <f>IF($I108=0,"",INDEX('إدخال وسجل المنتجات'!$B$5:$B$590,$I108))</f>
        <v/>
      </c>
      <c r="D108" s="10" t="str">
        <f>IF($I108=0,"",INDEX('إدخال وسجل المنتجات'!$C$5:$C$590,$I108))</f>
        <v/>
      </c>
      <c r="E108" s="11" t="str">
        <f>IF($I108=0,"",INDEX('إدخال وسجل المنتجات'!$D$5:$D$590,$I108))</f>
        <v/>
      </c>
      <c r="F108" s="2" t="str">
        <f>IF($I108=0,"",INDEX('إدخال وسجل المنتجات'!$G$5:$G$590,$I108))</f>
        <v/>
      </c>
      <c r="G108" s="12"/>
      <c r="H108" s="13"/>
      <c r="I108">
        <f>SUMPRODUCT(('إدخال وسجل المنتجات'!$I$5:$I$590="CNS")*('إدخال وسجل المنتجات'!$M$5:$M$590=124)*(ROW('إدخال وسجل المنتجات'!$I$5:$I$590)-4))</f>
        <v>0</v>
      </c>
      <c r="J108" s="2" t="str">
        <f>IF($I108=0,"",IF($G108="","",$G108*IF(INDEX('إدخال وسجل المنتجات'!$U$5:$U$590,$I108)=0,1,INDEX('إدخال وسجل المنتجات'!$U$5:$U$590,$I108))))</f>
        <v/>
      </c>
    </row>
    <row r="109" spans="1:10" ht="16" x14ac:dyDescent="0.15">
      <c r="A109" s="2" t="str">
        <f>IF($I109=0,"",125)</f>
        <v/>
      </c>
      <c r="B109" s="9" t="str">
        <f>IF($I109=0,"",INDEX('إدخال وسجل المنتجات'!$F$5:$F$590,$I109))</f>
        <v/>
      </c>
      <c r="C109" s="8" t="str">
        <f>IF($I109=0,"",INDEX('إدخال وسجل المنتجات'!$B$5:$B$590,$I109))</f>
        <v/>
      </c>
      <c r="D109" s="10" t="str">
        <f>IF($I109=0,"",INDEX('إدخال وسجل المنتجات'!$C$5:$C$590,$I109))</f>
        <v/>
      </c>
      <c r="E109" s="11" t="str">
        <f>IF($I109=0,"",INDEX('إدخال وسجل المنتجات'!$D$5:$D$590,$I109))</f>
        <v/>
      </c>
      <c r="F109" s="2" t="str">
        <f>IF($I109=0,"",INDEX('إدخال وسجل المنتجات'!$G$5:$G$590,$I109))</f>
        <v/>
      </c>
      <c r="G109" s="12"/>
      <c r="H109" s="13"/>
      <c r="I109">
        <f>SUMPRODUCT(('إدخال وسجل المنتجات'!$I$5:$I$590="CNS")*('إدخال وسجل المنتجات'!$M$5:$M$590=125)*(ROW('إدخال وسجل المنتجات'!$I$5:$I$590)-4))</f>
        <v>0</v>
      </c>
      <c r="J109" s="2" t="str">
        <f>IF($I109=0,"",IF($G109="","",$G109*IF(INDEX('إدخال وسجل المنتجات'!$U$5:$U$590,$I109)=0,1,INDEX('إدخال وسجل المنتجات'!$U$5:$U$590,$I109))))</f>
        <v/>
      </c>
    </row>
    <row r="110" spans="1:10" ht="16" x14ac:dyDescent="0.15">
      <c r="A110" s="2" t="str">
        <f>IF($I110=0,"",126)</f>
        <v/>
      </c>
      <c r="B110" s="9" t="str">
        <f>IF($I110=0,"",INDEX('إدخال وسجل المنتجات'!$F$5:$F$590,$I110))</f>
        <v/>
      </c>
      <c r="C110" s="8" t="str">
        <f>IF($I110=0,"",INDEX('إدخال وسجل المنتجات'!$B$5:$B$590,$I110))</f>
        <v/>
      </c>
      <c r="D110" s="10" t="str">
        <f>IF($I110=0,"",INDEX('إدخال وسجل المنتجات'!$C$5:$C$590,$I110))</f>
        <v/>
      </c>
      <c r="E110" s="11" t="str">
        <f>IF($I110=0,"",INDEX('إدخال وسجل المنتجات'!$D$5:$D$590,$I110))</f>
        <v/>
      </c>
      <c r="F110" s="2" t="str">
        <f>IF($I110=0,"",INDEX('إدخال وسجل المنتجات'!$G$5:$G$590,$I110))</f>
        <v/>
      </c>
      <c r="G110" s="12"/>
      <c r="H110" s="13"/>
      <c r="I110">
        <f>SUMPRODUCT(('إدخال وسجل المنتجات'!$I$5:$I$590="CNS")*('إدخال وسجل المنتجات'!$M$5:$M$590=126)*(ROW('إدخال وسجل المنتجات'!$I$5:$I$590)-4))</f>
        <v>0</v>
      </c>
      <c r="J110" s="2" t="str">
        <f>IF($I110=0,"",IF($G110="","",$G110*IF(INDEX('إدخال وسجل المنتجات'!$U$5:$U$590,$I110)=0,1,INDEX('إدخال وسجل المنتجات'!$U$5:$U$590,$I110))))</f>
        <v/>
      </c>
    </row>
    <row r="111" spans="1:10" ht="16" x14ac:dyDescent="0.15">
      <c r="A111" s="2" t="str">
        <f>IF($I111=0,"",127)</f>
        <v/>
      </c>
      <c r="B111" s="9" t="str">
        <f>IF($I111=0,"",INDEX('إدخال وسجل المنتجات'!$F$5:$F$590,$I111))</f>
        <v/>
      </c>
      <c r="C111" s="8" t="str">
        <f>IF($I111=0,"",INDEX('إدخال وسجل المنتجات'!$B$5:$B$590,$I111))</f>
        <v/>
      </c>
      <c r="D111" s="10" t="str">
        <f>IF($I111=0,"",INDEX('إدخال وسجل المنتجات'!$C$5:$C$590,$I111))</f>
        <v/>
      </c>
      <c r="E111" s="11" t="str">
        <f>IF($I111=0,"",INDEX('إدخال وسجل المنتجات'!$D$5:$D$590,$I111))</f>
        <v/>
      </c>
      <c r="F111" s="2" t="str">
        <f>IF($I111=0,"",INDEX('إدخال وسجل المنتجات'!$G$5:$G$590,$I111))</f>
        <v/>
      </c>
      <c r="G111" s="12"/>
      <c r="H111" s="13"/>
      <c r="I111">
        <f>SUMPRODUCT(('إدخال وسجل المنتجات'!$I$5:$I$590="CNS")*('إدخال وسجل المنتجات'!$M$5:$M$590=127)*(ROW('إدخال وسجل المنتجات'!$I$5:$I$590)-4))</f>
        <v>0</v>
      </c>
      <c r="J111" s="2" t="str">
        <f>IF($I111=0,"",IF($G111="","",$G111*IF(INDEX('إدخال وسجل المنتجات'!$U$5:$U$590,$I111)=0,1,INDEX('إدخال وسجل المنتجات'!$U$5:$U$590,$I111))))</f>
        <v/>
      </c>
    </row>
    <row r="112" spans="1:10" ht="16" x14ac:dyDescent="0.15">
      <c r="A112" s="2" t="str">
        <f>IF($I112=0,"",128)</f>
        <v/>
      </c>
      <c r="B112" s="9" t="str">
        <f>IF($I112=0,"",INDEX('إدخال وسجل المنتجات'!$F$5:$F$590,$I112))</f>
        <v/>
      </c>
      <c r="C112" s="8" t="str">
        <f>IF($I112=0,"",INDEX('إدخال وسجل المنتجات'!$B$5:$B$590,$I112))</f>
        <v/>
      </c>
      <c r="D112" s="10" t="str">
        <f>IF($I112=0,"",INDEX('إدخال وسجل المنتجات'!$C$5:$C$590,$I112))</f>
        <v/>
      </c>
      <c r="E112" s="11" t="str">
        <f>IF($I112=0,"",INDEX('إدخال وسجل المنتجات'!$D$5:$D$590,$I112))</f>
        <v/>
      </c>
      <c r="F112" s="2" t="str">
        <f>IF($I112=0,"",INDEX('إدخال وسجل المنتجات'!$G$5:$G$590,$I112))</f>
        <v/>
      </c>
      <c r="G112" s="12"/>
      <c r="H112" s="13"/>
      <c r="I112">
        <f>SUMPRODUCT(('إدخال وسجل المنتجات'!$I$5:$I$590="CNS")*('إدخال وسجل المنتجات'!$M$5:$M$590=128)*(ROW('إدخال وسجل المنتجات'!$I$5:$I$590)-4))</f>
        <v>0</v>
      </c>
      <c r="J112" s="2" t="str">
        <f>IF($I112=0,"",IF($G112="","",$G112*IF(INDEX('إدخال وسجل المنتجات'!$U$5:$U$590,$I112)=0,1,INDEX('إدخال وسجل المنتجات'!$U$5:$U$590,$I112))))</f>
        <v/>
      </c>
    </row>
    <row r="113" spans="1:10" ht="16" x14ac:dyDescent="0.15">
      <c r="A113" s="2" t="str">
        <f>IF($I113=0,"",129)</f>
        <v/>
      </c>
      <c r="B113" s="9" t="str">
        <f>IF($I113=0,"",INDEX('إدخال وسجل المنتجات'!$F$5:$F$590,$I113))</f>
        <v/>
      </c>
      <c r="C113" s="8" t="str">
        <f>IF($I113=0,"",INDEX('إدخال وسجل المنتجات'!$B$5:$B$590,$I113))</f>
        <v/>
      </c>
      <c r="D113" s="10" t="str">
        <f>IF($I113=0,"",INDEX('إدخال وسجل المنتجات'!$C$5:$C$590,$I113))</f>
        <v/>
      </c>
      <c r="E113" s="11" t="str">
        <f>IF($I113=0,"",INDEX('إدخال وسجل المنتجات'!$D$5:$D$590,$I113))</f>
        <v/>
      </c>
      <c r="F113" s="2" t="str">
        <f>IF($I113=0,"",INDEX('إدخال وسجل المنتجات'!$G$5:$G$590,$I113))</f>
        <v/>
      </c>
      <c r="G113" s="12"/>
      <c r="H113" s="13"/>
      <c r="I113">
        <f>SUMPRODUCT(('إدخال وسجل المنتجات'!$I$5:$I$590="CNS")*('إدخال وسجل المنتجات'!$M$5:$M$590=129)*(ROW('إدخال وسجل المنتجات'!$I$5:$I$590)-4))</f>
        <v>0</v>
      </c>
      <c r="J113" s="2" t="str">
        <f>IF($I113=0,"",IF($G113="","",$G113*IF(INDEX('إدخال وسجل المنتجات'!$U$5:$U$590,$I113)=0,1,INDEX('إدخال وسجل المنتجات'!$U$5:$U$590,$I113))))</f>
        <v/>
      </c>
    </row>
    <row r="114" spans="1:10" ht="16" x14ac:dyDescent="0.15">
      <c r="A114" s="2" t="str">
        <f>IF($I114=0,"",130)</f>
        <v/>
      </c>
      <c r="B114" s="9" t="str">
        <f>IF($I114=0,"",INDEX('إدخال وسجل المنتجات'!$F$5:$F$590,$I114))</f>
        <v/>
      </c>
      <c r="C114" s="8" t="str">
        <f>IF($I114=0,"",INDEX('إدخال وسجل المنتجات'!$B$5:$B$590,$I114))</f>
        <v/>
      </c>
      <c r="D114" s="10" t="str">
        <f>IF($I114=0,"",INDEX('إدخال وسجل المنتجات'!$C$5:$C$590,$I114))</f>
        <v/>
      </c>
      <c r="E114" s="11" t="str">
        <f>IF($I114=0,"",INDEX('إدخال وسجل المنتجات'!$D$5:$D$590,$I114))</f>
        <v/>
      </c>
      <c r="F114" s="2" t="str">
        <f>IF($I114=0,"",INDEX('إدخال وسجل المنتجات'!$G$5:$G$590,$I114))</f>
        <v/>
      </c>
      <c r="G114" s="12"/>
      <c r="H114" s="13"/>
      <c r="I114">
        <f>SUMPRODUCT(('إدخال وسجل المنتجات'!$I$5:$I$590="CNS")*('إدخال وسجل المنتجات'!$M$5:$M$590=130)*(ROW('إدخال وسجل المنتجات'!$I$5:$I$590)-4))</f>
        <v>0</v>
      </c>
      <c r="J114" s="2" t="str">
        <f>IF($I114=0,"",IF($G114="","",$G114*IF(INDEX('إدخال وسجل المنتجات'!$U$5:$U$590,$I114)=0,1,INDEX('إدخال وسجل المنتجات'!$U$5:$U$590,$I114))))</f>
        <v/>
      </c>
    </row>
    <row r="115" spans="1:10" ht="16" x14ac:dyDescent="0.15">
      <c r="A115" s="2" t="str">
        <f>IF($I115=0,"",131)</f>
        <v/>
      </c>
      <c r="B115" s="9" t="str">
        <f>IF($I115=0,"",INDEX('إدخال وسجل المنتجات'!$F$5:$F$590,$I115))</f>
        <v/>
      </c>
      <c r="C115" s="8" t="str">
        <f>IF($I115=0,"",INDEX('إدخال وسجل المنتجات'!$B$5:$B$590,$I115))</f>
        <v/>
      </c>
      <c r="D115" s="10" t="str">
        <f>IF($I115=0,"",INDEX('إدخال وسجل المنتجات'!$C$5:$C$590,$I115))</f>
        <v/>
      </c>
      <c r="E115" s="11" t="str">
        <f>IF($I115=0,"",INDEX('إدخال وسجل المنتجات'!$D$5:$D$590,$I115))</f>
        <v/>
      </c>
      <c r="F115" s="2" t="str">
        <f>IF($I115=0,"",INDEX('إدخال وسجل المنتجات'!$G$5:$G$590,$I115))</f>
        <v/>
      </c>
      <c r="G115" s="12"/>
      <c r="H115" s="13"/>
      <c r="I115">
        <f>SUMPRODUCT(('إدخال وسجل المنتجات'!$I$5:$I$590="CNS")*('إدخال وسجل المنتجات'!$M$5:$M$590=131)*(ROW('إدخال وسجل المنتجات'!$I$5:$I$590)-4))</f>
        <v>0</v>
      </c>
      <c r="J115" s="2" t="str">
        <f>IF($I115=0,"",IF($G115="","",$G115*IF(INDEX('إدخال وسجل المنتجات'!$U$5:$U$590,$I115)=0,1,INDEX('إدخال وسجل المنتجات'!$U$5:$U$590,$I115))))</f>
        <v/>
      </c>
    </row>
    <row r="116" spans="1:10" ht="16" x14ac:dyDescent="0.15">
      <c r="A116" s="2" t="str">
        <f>IF($I116=0,"",132)</f>
        <v/>
      </c>
      <c r="B116" s="9" t="str">
        <f>IF($I116=0,"",INDEX('إدخال وسجل المنتجات'!$F$5:$F$590,$I116))</f>
        <v/>
      </c>
      <c r="C116" s="8" t="str">
        <f>IF($I116=0,"",INDEX('إدخال وسجل المنتجات'!$B$5:$B$590,$I116))</f>
        <v/>
      </c>
      <c r="D116" s="10" t="str">
        <f>IF($I116=0,"",INDEX('إدخال وسجل المنتجات'!$C$5:$C$590,$I116))</f>
        <v/>
      </c>
      <c r="E116" s="11" t="str">
        <f>IF($I116=0,"",INDEX('إدخال وسجل المنتجات'!$D$5:$D$590,$I116))</f>
        <v/>
      </c>
      <c r="F116" s="2" t="str">
        <f>IF($I116=0,"",INDEX('إدخال وسجل المنتجات'!$G$5:$G$590,$I116))</f>
        <v/>
      </c>
      <c r="G116" s="12"/>
      <c r="H116" s="13"/>
      <c r="I116">
        <f>SUMPRODUCT(('إدخال وسجل المنتجات'!$I$5:$I$590="CNS")*('إدخال وسجل المنتجات'!$M$5:$M$590=132)*(ROW('إدخال وسجل المنتجات'!$I$5:$I$590)-4))</f>
        <v>0</v>
      </c>
      <c r="J116" s="2" t="str">
        <f>IF($I116=0,"",IF($G116="","",$G116*IF(INDEX('إدخال وسجل المنتجات'!$U$5:$U$590,$I116)=0,1,INDEX('إدخال وسجل المنتجات'!$U$5:$U$590,$I116))))</f>
        <v/>
      </c>
    </row>
    <row r="117" spans="1:10" ht="16" x14ac:dyDescent="0.15">
      <c r="A117" s="2" t="str">
        <f>IF($I117=0,"",133)</f>
        <v/>
      </c>
      <c r="B117" s="9" t="str">
        <f>IF($I117=0,"",INDEX('إدخال وسجل المنتجات'!$F$5:$F$590,$I117))</f>
        <v/>
      </c>
      <c r="C117" s="8" t="str">
        <f>IF($I117=0,"",INDEX('إدخال وسجل المنتجات'!$B$5:$B$590,$I117))</f>
        <v/>
      </c>
      <c r="D117" s="10" t="str">
        <f>IF($I117=0,"",INDEX('إدخال وسجل المنتجات'!$C$5:$C$590,$I117))</f>
        <v/>
      </c>
      <c r="E117" s="11" t="str">
        <f>IF($I117=0,"",INDEX('إدخال وسجل المنتجات'!$D$5:$D$590,$I117))</f>
        <v/>
      </c>
      <c r="F117" s="2" t="str">
        <f>IF($I117=0,"",INDEX('إدخال وسجل المنتجات'!$G$5:$G$590,$I117))</f>
        <v/>
      </c>
      <c r="G117" s="12"/>
      <c r="H117" s="13"/>
      <c r="I117">
        <f>SUMPRODUCT(('إدخال وسجل المنتجات'!$I$5:$I$590="CNS")*('إدخال وسجل المنتجات'!$M$5:$M$590=133)*(ROW('إدخال وسجل المنتجات'!$I$5:$I$590)-4))</f>
        <v>0</v>
      </c>
      <c r="J117" s="2" t="str">
        <f>IF($I117=0,"",IF($G117="","",$G117*IF(INDEX('إدخال وسجل المنتجات'!$U$5:$U$590,$I117)=0,1,INDEX('إدخال وسجل المنتجات'!$U$5:$U$590,$I117))))</f>
        <v/>
      </c>
    </row>
    <row r="118" spans="1:10" ht="16" x14ac:dyDescent="0.15">
      <c r="A118" s="2" t="str">
        <f>IF($I118=0,"",134)</f>
        <v/>
      </c>
      <c r="B118" s="9" t="str">
        <f>IF($I118=0,"",INDEX('إدخال وسجل المنتجات'!$F$5:$F$590,$I118))</f>
        <v/>
      </c>
      <c r="C118" s="8" t="str">
        <f>IF($I118=0,"",INDEX('إدخال وسجل المنتجات'!$B$5:$B$590,$I118))</f>
        <v/>
      </c>
      <c r="D118" s="10" t="str">
        <f>IF($I118=0,"",INDEX('إدخال وسجل المنتجات'!$C$5:$C$590,$I118))</f>
        <v/>
      </c>
      <c r="E118" s="11" t="str">
        <f>IF($I118=0,"",INDEX('إدخال وسجل المنتجات'!$D$5:$D$590,$I118))</f>
        <v/>
      </c>
      <c r="F118" s="2" t="str">
        <f>IF($I118=0,"",INDEX('إدخال وسجل المنتجات'!$G$5:$G$590,$I118))</f>
        <v/>
      </c>
      <c r="G118" s="12"/>
      <c r="H118" s="13"/>
      <c r="I118">
        <f>SUMPRODUCT(('إدخال وسجل المنتجات'!$I$5:$I$590="CNS")*('إدخال وسجل المنتجات'!$M$5:$M$590=134)*(ROW('إدخال وسجل المنتجات'!$I$5:$I$590)-4))</f>
        <v>0</v>
      </c>
      <c r="J118" s="2" t="str">
        <f>IF($I118=0,"",IF($G118="","",$G118*IF(INDEX('إدخال وسجل المنتجات'!$U$5:$U$590,$I118)=0,1,INDEX('إدخال وسجل المنتجات'!$U$5:$U$590,$I118))))</f>
        <v/>
      </c>
    </row>
    <row r="119" spans="1:10" ht="16" x14ac:dyDescent="0.15">
      <c r="A119" s="2" t="str">
        <f>IF($I119=0,"",135)</f>
        <v/>
      </c>
      <c r="B119" s="9" t="str">
        <f>IF($I119=0,"",INDEX('إدخال وسجل المنتجات'!$F$5:$F$590,$I119))</f>
        <v/>
      </c>
      <c r="C119" s="8" t="str">
        <f>IF($I119=0,"",INDEX('إدخال وسجل المنتجات'!$B$5:$B$590,$I119))</f>
        <v/>
      </c>
      <c r="D119" s="10" t="str">
        <f>IF($I119=0,"",INDEX('إدخال وسجل المنتجات'!$C$5:$C$590,$I119))</f>
        <v/>
      </c>
      <c r="E119" s="11" t="str">
        <f>IF($I119=0,"",INDEX('إدخال وسجل المنتجات'!$D$5:$D$590,$I119))</f>
        <v/>
      </c>
      <c r="F119" s="2" t="str">
        <f>IF($I119=0,"",INDEX('إدخال وسجل المنتجات'!$G$5:$G$590,$I119))</f>
        <v/>
      </c>
      <c r="G119" s="12"/>
      <c r="H119" s="13"/>
      <c r="I119">
        <f>SUMPRODUCT(('إدخال وسجل المنتجات'!$I$5:$I$590="CNS")*('إدخال وسجل المنتجات'!$M$5:$M$590=135)*(ROW('إدخال وسجل المنتجات'!$I$5:$I$590)-4))</f>
        <v>0</v>
      </c>
      <c r="J119" s="2" t="str">
        <f>IF($I119=0,"",IF($G119="","",$G119*IF(INDEX('إدخال وسجل المنتجات'!$U$5:$U$590,$I119)=0,1,INDEX('إدخال وسجل المنتجات'!$U$5:$U$590,$I119))))</f>
        <v/>
      </c>
    </row>
    <row r="120" spans="1:10" ht="16" x14ac:dyDescent="0.15">
      <c r="A120" s="2" t="str">
        <f>IF($I120=0,"",136)</f>
        <v/>
      </c>
      <c r="B120" s="9" t="str">
        <f>IF($I120=0,"",INDEX('إدخال وسجل المنتجات'!$F$5:$F$590,$I120))</f>
        <v/>
      </c>
      <c r="C120" s="8" t="str">
        <f>IF($I120=0,"",INDEX('إدخال وسجل المنتجات'!$B$5:$B$590,$I120))</f>
        <v/>
      </c>
      <c r="D120" s="10" t="str">
        <f>IF($I120=0,"",INDEX('إدخال وسجل المنتجات'!$C$5:$C$590,$I120))</f>
        <v/>
      </c>
      <c r="E120" s="11" t="str">
        <f>IF($I120=0,"",INDEX('إدخال وسجل المنتجات'!$D$5:$D$590,$I120))</f>
        <v/>
      </c>
      <c r="F120" s="2" t="str">
        <f>IF($I120=0,"",INDEX('إدخال وسجل المنتجات'!$G$5:$G$590,$I120))</f>
        <v/>
      </c>
      <c r="G120" s="12"/>
      <c r="H120" s="13"/>
      <c r="I120">
        <f>SUMPRODUCT(('إدخال وسجل المنتجات'!$I$5:$I$590="CNS")*('إدخال وسجل المنتجات'!$M$5:$M$590=136)*(ROW('إدخال وسجل المنتجات'!$I$5:$I$590)-4))</f>
        <v>0</v>
      </c>
      <c r="J120" s="2" t="str">
        <f>IF($I120=0,"",IF($G120="","",$G120*IF(INDEX('إدخال وسجل المنتجات'!$U$5:$U$590,$I120)=0,1,INDEX('إدخال وسجل المنتجات'!$U$5:$U$590,$I120))))</f>
        <v/>
      </c>
    </row>
    <row r="121" spans="1:10" ht="16" x14ac:dyDescent="0.15">
      <c r="A121" s="2" t="str">
        <f>IF($I121=0,"",137)</f>
        <v/>
      </c>
      <c r="B121" s="9" t="str">
        <f>IF($I121=0,"",INDEX('إدخال وسجل المنتجات'!$F$5:$F$590,$I121))</f>
        <v/>
      </c>
      <c r="C121" s="8" t="str">
        <f>IF($I121=0,"",INDEX('إدخال وسجل المنتجات'!$B$5:$B$590,$I121))</f>
        <v/>
      </c>
      <c r="D121" s="10" t="str">
        <f>IF($I121=0,"",INDEX('إدخال وسجل المنتجات'!$C$5:$C$590,$I121))</f>
        <v/>
      </c>
      <c r="E121" s="11" t="str">
        <f>IF($I121=0,"",INDEX('إدخال وسجل المنتجات'!$D$5:$D$590,$I121))</f>
        <v/>
      </c>
      <c r="F121" s="2" t="str">
        <f>IF($I121=0,"",INDEX('إدخال وسجل المنتجات'!$G$5:$G$590,$I121))</f>
        <v/>
      </c>
      <c r="G121" s="12"/>
      <c r="H121" s="13"/>
      <c r="I121">
        <f>SUMPRODUCT(('إدخال وسجل المنتجات'!$I$5:$I$590="CNS")*('إدخال وسجل المنتجات'!$M$5:$M$590=137)*(ROW('إدخال وسجل المنتجات'!$I$5:$I$590)-4))</f>
        <v>0</v>
      </c>
      <c r="J121" s="2" t="str">
        <f>IF($I121=0,"",IF($G121="","",$G121*IF(INDEX('إدخال وسجل المنتجات'!$U$5:$U$590,$I121)=0,1,INDEX('إدخال وسجل المنتجات'!$U$5:$U$590,$I121))))</f>
        <v/>
      </c>
    </row>
    <row r="122" spans="1:10" ht="16" x14ac:dyDescent="0.15">
      <c r="A122" s="2" t="str">
        <f>IF($I122=0,"",138)</f>
        <v/>
      </c>
      <c r="B122" s="9" t="str">
        <f>IF($I122=0,"",INDEX('إدخال وسجل المنتجات'!$F$5:$F$590,$I122))</f>
        <v/>
      </c>
      <c r="C122" s="8" t="str">
        <f>IF($I122=0,"",INDEX('إدخال وسجل المنتجات'!$B$5:$B$590,$I122))</f>
        <v/>
      </c>
      <c r="D122" s="10" t="str">
        <f>IF($I122=0,"",INDEX('إدخال وسجل المنتجات'!$C$5:$C$590,$I122))</f>
        <v/>
      </c>
      <c r="E122" s="11" t="str">
        <f>IF($I122=0,"",INDEX('إدخال وسجل المنتجات'!$D$5:$D$590,$I122))</f>
        <v/>
      </c>
      <c r="F122" s="2" t="str">
        <f>IF($I122=0,"",INDEX('إدخال وسجل المنتجات'!$G$5:$G$590,$I122))</f>
        <v/>
      </c>
      <c r="G122" s="12"/>
      <c r="H122" s="13"/>
      <c r="I122">
        <f>SUMPRODUCT(('إدخال وسجل المنتجات'!$I$5:$I$590="CNS")*('إدخال وسجل المنتجات'!$M$5:$M$590=138)*(ROW('إدخال وسجل المنتجات'!$I$5:$I$590)-4))</f>
        <v>0</v>
      </c>
      <c r="J122" s="2" t="str">
        <f>IF($I122=0,"",IF($G122="","",$G122*IF(INDEX('إدخال وسجل المنتجات'!$U$5:$U$590,$I122)=0,1,INDEX('إدخال وسجل المنتجات'!$U$5:$U$590,$I122))))</f>
        <v/>
      </c>
    </row>
    <row r="123" spans="1:10" ht="16" x14ac:dyDescent="0.15">
      <c r="A123" s="2" t="str">
        <f>IF($I123=0,"",139)</f>
        <v/>
      </c>
      <c r="B123" s="9" t="str">
        <f>IF($I123=0,"",INDEX('إدخال وسجل المنتجات'!$F$5:$F$590,$I123))</f>
        <v/>
      </c>
      <c r="C123" s="8" t="str">
        <f>IF($I123=0,"",INDEX('إدخال وسجل المنتجات'!$B$5:$B$590,$I123))</f>
        <v/>
      </c>
      <c r="D123" s="10" t="str">
        <f>IF($I123=0,"",INDEX('إدخال وسجل المنتجات'!$C$5:$C$590,$I123))</f>
        <v/>
      </c>
      <c r="E123" s="11" t="str">
        <f>IF($I123=0,"",INDEX('إدخال وسجل المنتجات'!$D$5:$D$590,$I123))</f>
        <v/>
      </c>
      <c r="F123" s="2" t="str">
        <f>IF($I123=0,"",INDEX('إدخال وسجل المنتجات'!$G$5:$G$590,$I123))</f>
        <v/>
      </c>
      <c r="G123" s="12"/>
      <c r="H123" s="13"/>
      <c r="I123">
        <f>SUMPRODUCT(('إدخال وسجل المنتجات'!$I$5:$I$590="CNS")*('إدخال وسجل المنتجات'!$M$5:$M$590=139)*(ROW('إدخال وسجل المنتجات'!$I$5:$I$590)-4))</f>
        <v>0</v>
      </c>
      <c r="J123" s="2" t="str">
        <f>IF($I123=0,"",IF($G123="","",$G123*IF(INDEX('إدخال وسجل المنتجات'!$U$5:$U$590,$I123)=0,1,INDEX('إدخال وسجل المنتجات'!$U$5:$U$590,$I123))))</f>
        <v/>
      </c>
    </row>
    <row r="124" spans="1:10" ht="16" x14ac:dyDescent="0.15">
      <c r="A124" s="2" t="str">
        <f>IF($I124=0,"",140)</f>
        <v/>
      </c>
      <c r="B124" s="9" t="str">
        <f>IF($I124=0,"",INDEX('إدخال وسجل المنتجات'!$F$5:$F$590,$I124))</f>
        <v/>
      </c>
      <c r="C124" s="8" t="str">
        <f>IF($I124=0,"",INDEX('إدخال وسجل المنتجات'!$B$5:$B$590,$I124))</f>
        <v/>
      </c>
      <c r="D124" s="10" t="str">
        <f>IF($I124=0,"",INDEX('إدخال وسجل المنتجات'!$C$5:$C$590,$I124))</f>
        <v/>
      </c>
      <c r="E124" s="11" t="str">
        <f>IF($I124=0,"",INDEX('إدخال وسجل المنتجات'!$D$5:$D$590,$I124))</f>
        <v/>
      </c>
      <c r="F124" s="2" t="str">
        <f>IF($I124=0,"",INDEX('إدخال وسجل المنتجات'!$G$5:$G$590,$I124))</f>
        <v/>
      </c>
      <c r="G124" s="12"/>
      <c r="H124" s="13"/>
      <c r="I124">
        <f>SUMPRODUCT(('إدخال وسجل المنتجات'!$I$5:$I$590="CNS")*('إدخال وسجل المنتجات'!$M$5:$M$590=140)*(ROW('إدخال وسجل المنتجات'!$I$5:$I$590)-4))</f>
        <v>0</v>
      </c>
      <c r="J124" s="2" t="str">
        <f>IF($I124=0,"",IF($G124="","",$G124*IF(INDEX('إدخال وسجل المنتجات'!$U$5:$U$590,$I124)=0,1,INDEX('إدخال وسجل المنتجات'!$U$5:$U$590,$I124))))</f>
        <v/>
      </c>
    </row>
    <row r="125" spans="1:10" ht="16" x14ac:dyDescent="0.15">
      <c r="A125" s="2" t="str">
        <f>IF($I125=0,"",141)</f>
        <v/>
      </c>
      <c r="B125" s="9" t="str">
        <f>IF($I125=0,"",INDEX('إدخال وسجل المنتجات'!$F$5:$F$590,$I125))</f>
        <v/>
      </c>
      <c r="C125" s="8" t="str">
        <f>IF($I125=0,"",INDEX('إدخال وسجل المنتجات'!$B$5:$B$590,$I125))</f>
        <v/>
      </c>
      <c r="D125" s="10" t="str">
        <f>IF($I125=0,"",INDEX('إدخال وسجل المنتجات'!$C$5:$C$590,$I125))</f>
        <v/>
      </c>
      <c r="E125" s="11" t="str">
        <f>IF($I125=0,"",INDEX('إدخال وسجل المنتجات'!$D$5:$D$590,$I125))</f>
        <v/>
      </c>
      <c r="F125" s="2" t="str">
        <f>IF($I125=0,"",INDEX('إدخال وسجل المنتجات'!$G$5:$G$590,$I125))</f>
        <v/>
      </c>
      <c r="G125" s="12"/>
      <c r="H125" s="13"/>
      <c r="I125">
        <f>SUMPRODUCT(('إدخال وسجل المنتجات'!$I$5:$I$590="CNS")*('إدخال وسجل المنتجات'!$M$5:$M$590=141)*(ROW('إدخال وسجل المنتجات'!$I$5:$I$590)-4))</f>
        <v>0</v>
      </c>
      <c r="J125" s="2" t="str">
        <f>IF($I125=0,"",IF($G125="","",$G125*IF(INDEX('إدخال وسجل المنتجات'!$U$5:$U$590,$I125)=0,1,INDEX('إدخال وسجل المنتجات'!$U$5:$U$590,$I125))))</f>
        <v/>
      </c>
    </row>
    <row r="126" spans="1:10" ht="16" x14ac:dyDescent="0.15">
      <c r="A126" s="2" t="str">
        <f>IF($I126=0,"",142)</f>
        <v/>
      </c>
      <c r="B126" s="9" t="str">
        <f>IF($I126=0,"",INDEX('إدخال وسجل المنتجات'!$F$5:$F$590,$I126))</f>
        <v/>
      </c>
      <c r="C126" s="8" t="str">
        <f>IF($I126=0,"",INDEX('إدخال وسجل المنتجات'!$B$5:$B$590,$I126))</f>
        <v/>
      </c>
      <c r="D126" s="10" t="str">
        <f>IF($I126=0,"",INDEX('إدخال وسجل المنتجات'!$C$5:$C$590,$I126))</f>
        <v/>
      </c>
      <c r="E126" s="11" t="str">
        <f>IF($I126=0,"",INDEX('إدخال وسجل المنتجات'!$D$5:$D$590,$I126))</f>
        <v/>
      </c>
      <c r="F126" s="2" t="str">
        <f>IF($I126=0,"",INDEX('إدخال وسجل المنتجات'!$G$5:$G$590,$I126))</f>
        <v/>
      </c>
      <c r="G126" s="12"/>
      <c r="H126" s="13"/>
      <c r="I126">
        <f>SUMPRODUCT(('إدخال وسجل المنتجات'!$I$5:$I$590="CNS")*('إدخال وسجل المنتجات'!$M$5:$M$590=142)*(ROW('إدخال وسجل المنتجات'!$I$5:$I$590)-4))</f>
        <v>0</v>
      </c>
      <c r="J126" s="2" t="str">
        <f>IF($I126=0,"",IF($G126="","",$G126*IF(INDEX('إدخال وسجل المنتجات'!$U$5:$U$590,$I126)=0,1,INDEX('إدخال وسجل المنتجات'!$U$5:$U$590,$I126))))</f>
        <v/>
      </c>
    </row>
    <row r="127" spans="1:10" ht="16" x14ac:dyDescent="0.15">
      <c r="A127" s="2" t="str">
        <f>IF($I127=0,"",143)</f>
        <v/>
      </c>
      <c r="B127" s="9" t="str">
        <f>IF($I127=0,"",INDEX('إدخال وسجل المنتجات'!$F$5:$F$590,$I127))</f>
        <v/>
      </c>
      <c r="C127" s="8" t="str">
        <f>IF($I127=0,"",INDEX('إدخال وسجل المنتجات'!$B$5:$B$590,$I127))</f>
        <v/>
      </c>
      <c r="D127" s="10" t="str">
        <f>IF($I127=0,"",INDEX('إدخال وسجل المنتجات'!$C$5:$C$590,$I127))</f>
        <v/>
      </c>
      <c r="E127" s="11" t="str">
        <f>IF($I127=0,"",INDEX('إدخال وسجل المنتجات'!$D$5:$D$590,$I127))</f>
        <v/>
      </c>
      <c r="F127" s="2" t="str">
        <f>IF($I127=0,"",INDEX('إدخال وسجل المنتجات'!$G$5:$G$590,$I127))</f>
        <v/>
      </c>
      <c r="G127" s="12"/>
      <c r="H127" s="13"/>
      <c r="I127">
        <f>SUMPRODUCT(('إدخال وسجل المنتجات'!$I$5:$I$590="CNS")*('إدخال وسجل المنتجات'!$M$5:$M$590=143)*(ROW('إدخال وسجل المنتجات'!$I$5:$I$590)-4))</f>
        <v>0</v>
      </c>
      <c r="J127" s="2" t="str">
        <f>IF($I127=0,"",IF($G127="","",$G127*IF(INDEX('إدخال وسجل المنتجات'!$U$5:$U$590,$I127)=0,1,INDEX('إدخال وسجل المنتجات'!$U$5:$U$590,$I127))))</f>
        <v/>
      </c>
    </row>
    <row r="128" spans="1:10" ht="16" x14ac:dyDescent="0.15">
      <c r="A128" s="2" t="str">
        <f>IF($I128=0,"",144)</f>
        <v/>
      </c>
      <c r="B128" s="9" t="str">
        <f>IF($I128=0,"",INDEX('إدخال وسجل المنتجات'!$F$5:$F$590,$I128))</f>
        <v/>
      </c>
      <c r="C128" s="8" t="str">
        <f>IF($I128=0,"",INDEX('إدخال وسجل المنتجات'!$B$5:$B$590,$I128))</f>
        <v/>
      </c>
      <c r="D128" s="10" t="str">
        <f>IF($I128=0,"",INDEX('إدخال وسجل المنتجات'!$C$5:$C$590,$I128))</f>
        <v/>
      </c>
      <c r="E128" s="11" t="str">
        <f>IF($I128=0,"",INDEX('إدخال وسجل المنتجات'!$D$5:$D$590,$I128))</f>
        <v/>
      </c>
      <c r="F128" s="2" t="str">
        <f>IF($I128=0,"",INDEX('إدخال وسجل المنتجات'!$G$5:$G$590,$I128))</f>
        <v/>
      </c>
      <c r="G128" s="12"/>
      <c r="H128" s="13"/>
      <c r="I128">
        <f>SUMPRODUCT(('إدخال وسجل المنتجات'!$I$5:$I$590="CNS")*('إدخال وسجل المنتجات'!$M$5:$M$590=144)*(ROW('إدخال وسجل المنتجات'!$I$5:$I$590)-4))</f>
        <v>0</v>
      </c>
      <c r="J128" s="2" t="str">
        <f>IF($I128=0,"",IF($G128="","",$G128*IF(INDEX('إدخال وسجل المنتجات'!$U$5:$U$590,$I128)=0,1,INDEX('إدخال وسجل المنتجات'!$U$5:$U$590,$I128))))</f>
        <v/>
      </c>
    </row>
    <row r="129" spans="1:10" ht="16" x14ac:dyDescent="0.15">
      <c r="A129" s="2" t="str">
        <f>IF($I129=0,"",145)</f>
        <v/>
      </c>
      <c r="B129" s="9" t="str">
        <f>IF($I129=0,"",INDEX('إدخال وسجل المنتجات'!$F$5:$F$590,$I129))</f>
        <v/>
      </c>
      <c r="C129" s="8" t="str">
        <f>IF($I129=0,"",INDEX('إدخال وسجل المنتجات'!$B$5:$B$590,$I129))</f>
        <v/>
      </c>
      <c r="D129" s="10" t="str">
        <f>IF($I129=0,"",INDEX('إدخال وسجل المنتجات'!$C$5:$C$590,$I129))</f>
        <v/>
      </c>
      <c r="E129" s="11" t="str">
        <f>IF($I129=0,"",INDEX('إدخال وسجل المنتجات'!$D$5:$D$590,$I129))</f>
        <v/>
      </c>
      <c r="F129" s="2" t="str">
        <f>IF($I129=0,"",INDEX('إدخال وسجل المنتجات'!$G$5:$G$590,$I129))</f>
        <v/>
      </c>
      <c r="G129" s="12"/>
      <c r="H129" s="13"/>
      <c r="I129">
        <f>SUMPRODUCT(('إدخال وسجل المنتجات'!$I$5:$I$590="CNS")*('إدخال وسجل المنتجات'!$M$5:$M$590=145)*(ROW('إدخال وسجل المنتجات'!$I$5:$I$590)-4))</f>
        <v>0</v>
      </c>
      <c r="J129" s="2" t="str">
        <f>IF($I129=0,"",IF($G129="","",$G129*IF(INDEX('إدخال وسجل المنتجات'!$U$5:$U$590,$I129)=0,1,INDEX('إدخال وسجل المنتجات'!$U$5:$U$590,$I129))))</f>
        <v/>
      </c>
    </row>
    <row r="130" spans="1:10" ht="16" x14ac:dyDescent="0.15">
      <c r="A130" s="2" t="str">
        <f>IF($I130=0,"",146)</f>
        <v/>
      </c>
      <c r="B130" s="9" t="str">
        <f>IF($I130=0,"",INDEX('إدخال وسجل المنتجات'!$F$5:$F$590,$I130))</f>
        <v/>
      </c>
      <c r="C130" s="8" t="str">
        <f>IF($I130=0,"",INDEX('إدخال وسجل المنتجات'!$B$5:$B$590,$I130))</f>
        <v/>
      </c>
      <c r="D130" s="10" t="str">
        <f>IF($I130=0,"",INDEX('إدخال وسجل المنتجات'!$C$5:$C$590,$I130))</f>
        <v/>
      </c>
      <c r="E130" s="11" t="str">
        <f>IF($I130=0,"",INDEX('إدخال وسجل المنتجات'!$D$5:$D$590,$I130))</f>
        <v/>
      </c>
      <c r="F130" s="2" t="str">
        <f>IF($I130=0,"",INDEX('إدخال وسجل المنتجات'!$G$5:$G$590,$I130))</f>
        <v/>
      </c>
      <c r="G130" s="12"/>
      <c r="H130" s="13"/>
      <c r="I130">
        <f>SUMPRODUCT(('إدخال وسجل المنتجات'!$I$5:$I$590="CNS")*('إدخال وسجل المنتجات'!$M$5:$M$590=146)*(ROW('إدخال وسجل المنتجات'!$I$5:$I$590)-4))</f>
        <v>0</v>
      </c>
      <c r="J130" s="2" t="str">
        <f>IF($I130=0,"",IF($G130="","",$G130*IF(INDEX('إدخال وسجل المنتجات'!$U$5:$U$590,$I130)=0,1,INDEX('إدخال وسجل المنتجات'!$U$5:$U$590,$I130))))</f>
        <v/>
      </c>
    </row>
    <row r="131" spans="1:10" ht="16" x14ac:dyDescent="0.15">
      <c r="A131" s="2" t="str">
        <f>IF($I131=0,"",147)</f>
        <v/>
      </c>
      <c r="B131" s="9" t="str">
        <f>IF($I131=0,"",INDEX('إدخال وسجل المنتجات'!$F$5:$F$590,$I131))</f>
        <v/>
      </c>
      <c r="C131" s="8" t="str">
        <f>IF($I131=0,"",INDEX('إدخال وسجل المنتجات'!$B$5:$B$590,$I131))</f>
        <v/>
      </c>
      <c r="D131" s="10" t="str">
        <f>IF($I131=0,"",INDEX('إدخال وسجل المنتجات'!$C$5:$C$590,$I131))</f>
        <v/>
      </c>
      <c r="E131" s="11" t="str">
        <f>IF($I131=0,"",INDEX('إدخال وسجل المنتجات'!$D$5:$D$590,$I131))</f>
        <v/>
      </c>
      <c r="F131" s="2" t="str">
        <f>IF($I131=0,"",INDEX('إدخال وسجل المنتجات'!$G$5:$G$590,$I131))</f>
        <v/>
      </c>
      <c r="G131" s="12"/>
      <c r="H131" s="13"/>
      <c r="I131">
        <f>SUMPRODUCT(('إدخال وسجل المنتجات'!$I$5:$I$590="CNS")*('إدخال وسجل المنتجات'!$M$5:$M$590=147)*(ROW('إدخال وسجل المنتجات'!$I$5:$I$590)-4))</f>
        <v>0</v>
      </c>
      <c r="J131" s="2" t="str">
        <f>IF($I131=0,"",IF($G131="","",$G131*IF(INDEX('إدخال وسجل المنتجات'!$U$5:$U$590,$I131)=0,1,INDEX('إدخال وسجل المنتجات'!$U$5:$U$590,$I131))))</f>
        <v/>
      </c>
    </row>
    <row r="132" spans="1:10" ht="16" x14ac:dyDescent="0.15">
      <c r="A132" s="2" t="str">
        <f>IF($I132=0,"",148)</f>
        <v/>
      </c>
      <c r="B132" s="9" t="str">
        <f>IF($I132=0,"",INDEX('إدخال وسجل المنتجات'!$F$5:$F$590,$I132))</f>
        <v/>
      </c>
      <c r="C132" s="8" t="str">
        <f>IF($I132=0,"",INDEX('إدخال وسجل المنتجات'!$B$5:$B$590,$I132))</f>
        <v/>
      </c>
      <c r="D132" s="10" t="str">
        <f>IF($I132=0,"",INDEX('إدخال وسجل المنتجات'!$C$5:$C$590,$I132))</f>
        <v/>
      </c>
      <c r="E132" s="11" t="str">
        <f>IF($I132=0,"",INDEX('إدخال وسجل المنتجات'!$D$5:$D$590,$I132))</f>
        <v/>
      </c>
      <c r="F132" s="2" t="str">
        <f>IF($I132=0,"",INDEX('إدخال وسجل المنتجات'!$G$5:$G$590,$I132))</f>
        <v/>
      </c>
      <c r="G132" s="12"/>
      <c r="H132" s="13"/>
      <c r="I132">
        <f>SUMPRODUCT(('إدخال وسجل المنتجات'!$I$5:$I$590="CNS")*('إدخال وسجل المنتجات'!$M$5:$M$590=148)*(ROW('إدخال وسجل المنتجات'!$I$5:$I$590)-4))</f>
        <v>0</v>
      </c>
      <c r="J132" s="2" t="str">
        <f>IF($I132=0,"",IF($G132="","",$G132*IF(INDEX('إدخال وسجل المنتجات'!$U$5:$U$590,$I132)=0,1,INDEX('إدخال وسجل المنتجات'!$U$5:$U$590,$I132))))</f>
        <v/>
      </c>
    </row>
    <row r="133" spans="1:10" ht="16" x14ac:dyDescent="0.15">
      <c r="A133" s="2" t="str">
        <f>IF($I133=0,"",149)</f>
        <v/>
      </c>
      <c r="B133" s="9" t="str">
        <f>IF($I133=0,"",INDEX('إدخال وسجل المنتجات'!$F$5:$F$590,$I133))</f>
        <v/>
      </c>
      <c r="C133" s="8" t="str">
        <f>IF($I133=0,"",INDEX('إدخال وسجل المنتجات'!$B$5:$B$590,$I133))</f>
        <v/>
      </c>
      <c r="D133" s="10" t="str">
        <f>IF($I133=0,"",INDEX('إدخال وسجل المنتجات'!$C$5:$C$590,$I133))</f>
        <v/>
      </c>
      <c r="E133" s="11" t="str">
        <f>IF($I133=0,"",INDEX('إدخال وسجل المنتجات'!$D$5:$D$590,$I133))</f>
        <v/>
      </c>
      <c r="F133" s="2" t="str">
        <f>IF($I133=0,"",INDEX('إدخال وسجل المنتجات'!$G$5:$G$590,$I133))</f>
        <v/>
      </c>
      <c r="G133" s="12"/>
      <c r="H133" s="13"/>
      <c r="I133">
        <f>SUMPRODUCT(('إدخال وسجل المنتجات'!$I$5:$I$590="CNS")*('إدخال وسجل المنتجات'!$M$5:$M$590=149)*(ROW('إدخال وسجل المنتجات'!$I$5:$I$590)-4))</f>
        <v>0</v>
      </c>
      <c r="J133" s="2" t="str">
        <f>IF($I133=0,"",IF($G133="","",$G133*IF(INDEX('إدخال وسجل المنتجات'!$U$5:$U$590,$I133)=0,1,INDEX('إدخال وسجل المنتجات'!$U$5:$U$590,$I133))))</f>
        <v/>
      </c>
    </row>
    <row r="134" spans="1:10" ht="16" x14ac:dyDescent="0.15">
      <c r="A134" s="2" t="str">
        <f>IF($I134=0,"",150)</f>
        <v/>
      </c>
      <c r="B134" s="9" t="str">
        <f>IF($I134=0,"",INDEX('إدخال وسجل المنتجات'!$F$5:$F$590,$I134))</f>
        <v/>
      </c>
      <c r="C134" s="8" t="str">
        <f>IF($I134=0,"",INDEX('إدخال وسجل المنتجات'!$B$5:$B$590,$I134))</f>
        <v/>
      </c>
      <c r="D134" s="10" t="str">
        <f>IF($I134=0,"",INDEX('إدخال وسجل المنتجات'!$C$5:$C$590,$I134))</f>
        <v/>
      </c>
      <c r="E134" s="11" t="str">
        <f>IF($I134=0,"",INDEX('إدخال وسجل المنتجات'!$D$5:$D$590,$I134))</f>
        <v/>
      </c>
      <c r="F134" s="2" t="str">
        <f>IF($I134=0,"",INDEX('إدخال وسجل المنتجات'!$G$5:$G$590,$I134))</f>
        <v/>
      </c>
      <c r="G134" s="12"/>
      <c r="H134" s="13"/>
      <c r="I134">
        <f>SUMPRODUCT(('إدخال وسجل المنتجات'!$I$5:$I$590="CNS")*('إدخال وسجل المنتجات'!$M$5:$M$590=150)*(ROW('إدخال وسجل المنتجات'!$I$5:$I$590)-4))</f>
        <v>0</v>
      </c>
      <c r="J134" s="2" t="str">
        <f>IF($I134=0,"",IF($G134="","",$G134*IF(INDEX('إدخال وسجل المنتجات'!$U$5:$U$590,$I134)=0,1,INDEX('إدخال وسجل المنتجات'!$U$5:$U$590,$I134))))</f>
        <v/>
      </c>
    </row>
    <row r="135" spans="1:10" ht="16" x14ac:dyDescent="0.15">
      <c r="A135" s="2" t="str">
        <f>IF($I135=0,"",151)</f>
        <v/>
      </c>
      <c r="B135" s="9" t="str">
        <f>IF($I135=0,"",INDEX('إدخال وسجل المنتجات'!$F$5:$F$590,$I135))</f>
        <v/>
      </c>
      <c r="C135" s="8" t="str">
        <f>IF($I135=0,"",INDEX('إدخال وسجل المنتجات'!$B$5:$B$590,$I135))</f>
        <v/>
      </c>
      <c r="D135" s="10" t="str">
        <f>IF($I135=0,"",INDEX('إدخال وسجل المنتجات'!$C$5:$C$590,$I135))</f>
        <v/>
      </c>
      <c r="E135" s="11" t="str">
        <f>IF($I135=0,"",INDEX('إدخال وسجل المنتجات'!$D$5:$D$590,$I135))</f>
        <v/>
      </c>
      <c r="F135" s="2" t="str">
        <f>IF($I135=0,"",INDEX('إدخال وسجل المنتجات'!$G$5:$G$590,$I135))</f>
        <v/>
      </c>
      <c r="G135" s="12"/>
      <c r="H135" s="13"/>
      <c r="I135">
        <f>SUMPRODUCT(('إدخال وسجل المنتجات'!$I$5:$I$590="CNS")*('إدخال وسجل المنتجات'!$M$5:$M$590=151)*(ROW('إدخال وسجل المنتجات'!$I$5:$I$590)-4))</f>
        <v>0</v>
      </c>
      <c r="J135" s="2" t="str">
        <f>IF($I135=0,"",IF($G135="","",$G135*IF(INDEX('إدخال وسجل المنتجات'!$U$5:$U$590,$I135)=0,1,INDEX('إدخال وسجل المنتجات'!$U$5:$U$590,$I135))))</f>
        <v/>
      </c>
    </row>
    <row r="136" spans="1:10" ht="16" x14ac:dyDescent="0.15">
      <c r="A136" s="2" t="str">
        <f>IF($I136=0,"",152)</f>
        <v/>
      </c>
      <c r="B136" s="9" t="str">
        <f>IF($I136=0,"",INDEX('إدخال وسجل المنتجات'!$F$5:$F$590,$I136))</f>
        <v/>
      </c>
      <c r="C136" s="8" t="str">
        <f>IF($I136=0,"",INDEX('إدخال وسجل المنتجات'!$B$5:$B$590,$I136))</f>
        <v/>
      </c>
      <c r="D136" s="10" t="str">
        <f>IF($I136=0,"",INDEX('إدخال وسجل المنتجات'!$C$5:$C$590,$I136))</f>
        <v/>
      </c>
      <c r="E136" s="11" t="str">
        <f>IF($I136=0,"",INDEX('إدخال وسجل المنتجات'!$D$5:$D$590,$I136))</f>
        <v/>
      </c>
      <c r="F136" s="2" t="str">
        <f>IF($I136=0,"",INDEX('إدخال وسجل المنتجات'!$G$5:$G$590,$I136))</f>
        <v/>
      </c>
      <c r="G136" s="12"/>
      <c r="H136" s="13"/>
      <c r="I136">
        <f>SUMPRODUCT(('إدخال وسجل المنتجات'!$I$5:$I$590="CNS")*('إدخال وسجل المنتجات'!$M$5:$M$590=152)*(ROW('إدخال وسجل المنتجات'!$I$5:$I$590)-4))</f>
        <v>0</v>
      </c>
      <c r="J136" s="2" t="str">
        <f>IF($I136=0,"",IF($G136="","",$G136*IF(INDEX('إدخال وسجل المنتجات'!$U$5:$U$590,$I136)=0,1,INDEX('إدخال وسجل المنتجات'!$U$5:$U$590,$I136))))</f>
        <v/>
      </c>
    </row>
    <row r="137" spans="1:10" ht="16" x14ac:dyDescent="0.15">
      <c r="A137" s="2" t="str">
        <f>IF($I137=0,"",153)</f>
        <v/>
      </c>
      <c r="B137" s="9" t="str">
        <f>IF($I137=0,"",INDEX('إدخال وسجل المنتجات'!$F$5:$F$590,$I137))</f>
        <v/>
      </c>
      <c r="C137" s="8" t="str">
        <f>IF($I137=0,"",INDEX('إدخال وسجل المنتجات'!$B$5:$B$590,$I137))</f>
        <v/>
      </c>
      <c r="D137" s="10" t="str">
        <f>IF($I137=0,"",INDEX('إدخال وسجل المنتجات'!$C$5:$C$590,$I137))</f>
        <v/>
      </c>
      <c r="E137" s="11" t="str">
        <f>IF($I137=0,"",INDEX('إدخال وسجل المنتجات'!$D$5:$D$590,$I137))</f>
        <v/>
      </c>
      <c r="F137" s="2" t="str">
        <f>IF($I137=0,"",INDEX('إدخال وسجل المنتجات'!$G$5:$G$590,$I137))</f>
        <v/>
      </c>
      <c r="G137" s="12"/>
      <c r="H137" s="13"/>
      <c r="I137">
        <f>SUMPRODUCT(('إدخال وسجل المنتجات'!$I$5:$I$590="CNS")*('إدخال وسجل المنتجات'!$M$5:$M$590=153)*(ROW('إدخال وسجل المنتجات'!$I$5:$I$590)-4))</f>
        <v>0</v>
      </c>
      <c r="J137" s="2" t="str">
        <f>IF($I137=0,"",IF($G137="","",$G137*IF(INDEX('إدخال وسجل المنتجات'!$U$5:$U$590,$I137)=0,1,INDEX('إدخال وسجل المنتجات'!$U$5:$U$590,$I137))))</f>
        <v/>
      </c>
    </row>
    <row r="138" spans="1:10" ht="16" x14ac:dyDescent="0.15">
      <c r="A138" s="2" t="str">
        <f>IF($I138=0,"",154)</f>
        <v/>
      </c>
      <c r="B138" s="9" t="str">
        <f>IF($I138=0,"",INDEX('إدخال وسجل المنتجات'!$F$5:$F$590,$I138))</f>
        <v/>
      </c>
      <c r="C138" s="8" t="str">
        <f>IF($I138=0,"",INDEX('إدخال وسجل المنتجات'!$B$5:$B$590,$I138))</f>
        <v/>
      </c>
      <c r="D138" s="10" t="str">
        <f>IF($I138=0,"",INDEX('إدخال وسجل المنتجات'!$C$5:$C$590,$I138))</f>
        <v/>
      </c>
      <c r="E138" s="11" t="str">
        <f>IF($I138=0,"",INDEX('إدخال وسجل المنتجات'!$D$5:$D$590,$I138))</f>
        <v/>
      </c>
      <c r="F138" s="2" t="str">
        <f>IF($I138=0,"",INDEX('إدخال وسجل المنتجات'!$G$5:$G$590,$I138))</f>
        <v/>
      </c>
      <c r="G138" s="12"/>
      <c r="H138" s="13"/>
      <c r="I138">
        <f>SUMPRODUCT(('إدخال وسجل المنتجات'!$I$5:$I$590="CNS")*('إدخال وسجل المنتجات'!$M$5:$M$590=154)*(ROW('إدخال وسجل المنتجات'!$I$5:$I$590)-4))</f>
        <v>0</v>
      </c>
      <c r="J138" s="2" t="str">
        <f>IF($I138=0,"",IF($G138="","",$G138*IF(INDEX('إدخال وسجل المنتجات'!$U$5:$U$590,$I138)=0,1,INDEX('إدخال وسجل المنتجات'!$U$5:$U$590,$I138))))</f>
        <v/>
      </c>
    </row>
    <row r="139" spans="1:10" ht="16" x14ac:dyDescent="0.15">
      <c r="A139" s="2" t="str">
        <f>IF($I139=0,"",155)</f>
        <v/>
      </c>
      <c r="B139" s="9" t="str">
        <f>IF($I139=0,"",INDEX('إدخال وسجل المنتجات'!$F$5:$F$590,$I139))</f>
        <v/>
      </c>
      <c r="C139" s="8" t="str">
        <f>IF($I139=0,"",INDEX('إدخال وسجل المنتجات'!$B$5:$B$590,$I139))</f>
        <v/>
      </c>
      <c r="D139" s="10" t="str">
        <f>IF($I139=0,"",INDEX('إدخال وسجل المنتجات'!$C$5:$C$590,$I139))</f>
        <v/>
      </c>
      <c r="E139" s="11" t="str">
        <f>IF($I139=0,"",INDEX('إدخال وسجل المنتجات'!$D$5:$D$590,$I139))</f>
        <v/>
      </c>
      <c r="F139" s="2" t="str">
        <f>IF($I139=0,"",INDEX('إدخال وسجل المنتجات'!$G$5:$G$590,$I139))</f>
        <v/>
      </c>
      <c r="G139" s="12"/>
      <c r="H139" s="13"/>
      <c r="I139">
        <f>SUMPRODUCT(('إدخال وسجل المنتجات'!$I$5:$I$590="CNS")*('إدخال وسجل المنتجات'!$M$5:$M$590=155)*(ROW('إدخال وسجل المنتجات'!$I$5:$I$590)-4))</f>
        <v>0</v>
      </c>
      <c r="J139" s="2" t="str">
        <f>IF($I139=0,"",IF($G139="","",$G139*IF(INDEX('إدخال وسجل المنتجات'!$U$5:$U$590,$I139)=0,1,INDEX('إدخال وسجل المنتجات'!$U$5:$U$590,$I139))))</f>
        <v/>
      </c>
    </row>
    <row r="140" spans="1:10" ht="16" x14ac:dyDescent="0.15">
      <c r="A140" s="2" t="str">
        <f>IF($I140=0,"",156)</f>
        <v/>
      </c>
      <c r="B140" s="9" t="str">
        <f>IF($I140=0,"",INDEX('إدخال وسجل المنتجات'!$F$5:$F$590,$I140))</f>
        <v/>
      </c>
      <c r="C140" s="8" t="str">
        <f>IF($I140=0,"",INDEX('إدخال وسجل المنتجات'!$B$5:$B$590,$I140))</f>
        <v/>
      </c>
      <c r="D140" s="10" t="str">
        <f>IF($I140=0,"",INDEX('إدخال وسجل المنتجات'!$C$5:$C$590,$I140))</f>
        <v/>
      </c>
      <c r="E140" s="11" t="str">
        <f>IF($I140=0,"",INDEX('إدخال وسجل المنتجات'!$D$5:$D$590,$I140))</f>
        <v/>
      </c>
      <c r="F140" s="2" t="str">
        <f>IF($I140=0,"",INDEX('إدخال وسجل المنتجات'!$G$5:$G$590,$I140))</f>
        <v/>
      </c>
      <c r="G140" s="12"/>
      <c r="H140" s="13"/>
      <c r="I140">
        <f>SUMPRODUCT(('إدخال وسجل المنتجات'!$I$5:$I$590="CNS")*('إدخال وسجل المنتجات'!$M$5:$M$590=156)*(ROW('إدخال وسجل المنتجات'!$I$5:$I$590)-4))</f>
        <v>0</v>
      </c>
      <c r="J140" s="2" t="str">
        <f>IF($I140=0,"",IF($G140="","",$G140*IF(INDEX('إدخال وسجل المنتجات'!$U$5:$U$590,$I140)=0,1,INDEX('إدخال وسجل المنتجات'!$U$5:$U$590,$I140))))</f>
        <v/>
      </c>
    </row>
    <row r="141" spans="1:10" ht="16" x14ac:dyDescent="0.15">
      <c r="A141" s="2" t="str">
        <f>IF($I141=0,"",157)</f>
        <v/>
      </c>
      <c r="B141" s="9" t="str">
        <f>IF($I141=0,"",INDEX('إدخال وسجل المنتجات'!$F$5:$F$590,$I141))</f>
        <v/>
      </c>
      <c r="C141" s="8" t="str">
        <f>IF($I141=0,"",INDEX('إدخال وسجل المنتجات'!$B$5:$B$590,$I141))</f>
        <v/>
      </c>
      <c r="D141" s="10" t="str">
        <f>IF($I141=0,"",INDEX('إدخال وسجل المنتجات'!$C$5:$C$590,$I141))</f>
        <v/>
      </c>
      <c r="E141" s="11" t="str">
        <f>IF($I141=0,"",INDEX('إدخال وسجل المنتجات'!$D$5:$D$590,$I141))</f>
        <v/>
      </c>
      <c r="F141" s="2" t="str">
        <f>IF($I141=0,"",INDEX('إدخال وسجل المنتجات'!$G$5:$G$590,$I141))</f>
        <v/>
      </c>
      <c r="G141" s="12"/>
      <c r="H141" s="13"/>
      <c r="I141">
        <f>SUMPRODUCT(('إدخال وسجل المنتجات'!$I$5:$I$590="CNS")*('إدخال وسجل المنتجات'!$M$5:$M$590=157)*(ROW('إدخال وسجل المنتجات'!$I$5:$I$590)-4))</f>
        <v>0</v>
      </c>
      <c r="J141" s="2" t="str">
        <f>IF($I141=0,"",IF($G141="","",$G141*IF(INDEX('إدخال وسجل المنتجات'!$U$5:$U$590,$I141)=0,1,INDEX('إدخال وسجل المنتجات'!$U$5:$U$590,$I141))))</f>
        <v/>
      </c>
    </row>
    <row r="142" spans="1:10" ht="16" x14ac:dyDescent="0.15">
      <c r="A142" s="2" t="str">
        <f>IF($I142=0,"",158)</f>
        <v/>
      </c>
      <c r="B142" s="9" t="str">
        <f>IF($I142=0,"",INDEX('إدخال وسجل المنتجات'!$F$5:$F$590,$I142))</f>
        <v/>
      </c>
      <c r="C142" s="8" t="str">
        <f>IF($I142=0,"",INDEX('إدخال وسجل المنتجات'!$B$5:$B$590,$I142))</f>
        <v/>
      </c>
      <c r="D142" s="10" t="str">
        <f>IF($I142=0,"",INDEX('إدخال وسجل المنتجات'!$C$5:$C$590,$I142))</f>
        <v/>
      </c>
      <c r="E142" s="11" t="str">
        <f>IF($I142=0,"",INDEX('إدخال وسجل المنتجات'!$D$5:$D$590,$I142))</f>
        <v/>
      </c>
      <c r="F142" s="2" t="str">
        <f>IF($I142=0,"",INDEX('إدخال وسجل المنتجات'!$G$5:$G$590,$I142))</f>
        <v/>
      </c>
      <c r="G142" s="12"/>
      <c r="H142" s="13"/>
      <c r="I142">
        <f>SUMPRODUCT(('إدخال وسجل المنتجات'!$I$5:$I$590="CNS")*('إدخال وسجل المنتجات'!$M$5:$M$590=158)*(ROW('إدخال وسجل المنتجات'!$I$5:$I$590)-4))</f>
        <v>0</v>
      </c>
      <c r="J142" s="2" t="str">
        <f>IF($I142=0,"",IF($G142="","",$G142*IF(INDEX('إدخال وسجل المنتجات'!$U$5:$U$590,$I142)=0,1,INDEX('إدخال وسجل المنتجات'!$U$5:$U$590,$I142))))</f>
        <v/>
      </c>
    </row>
    <row r="143" spans="1:10" ht="16" x14ac:dyDescent="0.15">
      <c r="A143" s="2" t="str">
        <f>IF($I143=0,"",159)</f>
        <v/>
      </c>
      <c r="B143" s="9" t="str">
        <f>IF($I143=0,"",INDEX('إدخال وسجل المنتجات'!$F$5:$F$590,$I143))</f>
        <v/>
      </c>
      <c r="C143" s="8" t="str">
        <f>IF($I143=0,"",INDEX('إدخال وسجل المنتجات'!$B$5:$B$590,$I143))</f>
        <v/>
      </c>
      <c r="D143" s="10" t="str">
        <f>IF($I143=0,"",INDEX('إدخال وسجل المنتجات'!$C$5:$C$590,$I143))</f>
        <v/>
      </c>
      <c r="E143" s="11" t="str">
        <f>IF($I143=0,"",INDEX('إدخال وسجل المنتجات'!$D$5:$D$590,$I143))</f>
        <v/>
      </c>
      <c r="F143" s="2" t="str">
        <f>IF($I143=0,"",INDEX('إدخال وسجل المنتجات'!$G$5:$G$590,$I143))</f>
        <v/>
      </c>
      <c r="G143" s="12"/>
      <c r="H143" s="13"/>
      <c r="I143">
        <f>SUMPRODUCT(('إدخال وسجل المنتجات'!$I$5:$I$590="CNS")*('إدخال وسجل المنتجات'!$M$5:$M$590=159)*(ROW('إدخال وسجل المنتجات'!$I$5:$I$590)-4))</f>
        <v>0</v>
      </c>
      <c r="J143" s="2" t="str">
        <f>IF($I143=0,"",IF($G143="","",$G143*IF(INDEX('إدخال وسجل المنتجات'!$U$5:$U$590,$I143)=0,1,INDEX('إدخال وسجل المنتجات'!$U$5:$U$590,$I143))))</f>
        <v/>
      </c>
    </row>
    <row r="144" spans="1:10" ht="16" x14ac:dyDescent="0.15">
      <c r="A144" s="2" t="str">
        <f>IF($I144=0,"",160)</f>
        <v/>
      </c>
      <c r="B144" s="9" t="str">
        <f>IF($I144=0,"",INDEX('إدخال وسجل المنتجات'!$F$5:$F$590,$I144))</f>
        <v/>
      </c>
      <c r="C144" s="8" t="str">
        <f>IF($I144=0,"",INDEX('إدخال وسجل المنتجات'!$B$5:$B$590,$I144))</f>
        <v/>
      </c>
      <c r="D144" s="10" t="str">
        <f>IF($I144=0,"",INDEX('إدخال وسجل المنتجات'!$C$5:$C$590,$I144))</f>
        <v/>
      </c>
      <c r="E144" s="11" t="str">
        <f>IF($I144=0,"",INDEX('إدخال وسجل المنتجات'!$D$5:$D$590,$I144))</f>
        <v/>
      </c>
      <c r="F144" s="2" t="str">
        <f>IF($I144=0,"",INDEX('إدخال وسجل المنتجات'!$G$5:$G$590,$I144))</f>
        <v/>
      </c>
      <c r="G144" s="12"/>
      <c r="H144" s="13"/>
      <c r="I144">
        <f>SUMPRODUCT(('إدخال وسجل المنتجات'!$I$5:$I$590="CNS")*('إدخال وسجل المنتجات'!$M$5:$M$590=160)*(ROW('إدخال وسجل المنتجات'!$I$5:$I$590)-4))</f>
        <v>0</v>
      </c>
      <c r="J144" s="2" t="str">
        <f>IF($I144=0,"",IF($G144="","",$G144*IF(INDEX('إدخال وسجل المنتجات'!$U$5:$U$590,$I144)=0,1,INDEX('إدخال وسجل المنتجات'!$U$5:$U$590,$I144))))</f>
        <v/>
      </c>
    </row>
    <row r="145" spans="1:10" ht="16" x14ac:dyDescent="0.15">
      <c r="A145" s="2" t="str">
        <f>IF($I145=0,"",161)</f>
        <v/>
      </c>
      <c r="B145" s="9" t="str">
        <f>IF($I145=0,"",INDEX('إدخال وسجل المنتجات'!$F$5:$F$590,$I145))</f>
        <v/>
      </c>
      <c r="C145" s="8" t="str">
        <f>IF($I145=0,"",INDEX('إدخال وسجل المنتجات'!$B$5:$B$590,$I145))</f>
        <v/>
      </c>
      <c r="D145" s="10" t="str">
        <f>IF($I145=0,"",INDEX('إدخال وسجل المنتجات'!$C$5:$C$590,$I145))</f>
        <v/>
      </c>
      <c r="E145" s="11" t="str">
        <f>IF($I145=0,"",INDEX('إدخال وسجل المنتجات'!$D$5:$D$590,$I145))</f>
        <v/>
      </c>
      <c r="F145" s="2" t="str">
        <f>IF($I145=0,"",INDEX('إدخال وسجل المنتجات'!$G$5:$G$590,$I145))</f>
        <v/>
      </c>
      <c r="G145" s="12"/>
      <c r="H145" s="13"/>
      <c r="I145">
        <f>SUMPRODUCT(('إدخال وسجل المنتجات'!$I$5:$I$590="CNS")*('إدخال وسجل المنتجات'!$M$5:$M$590=161)*(ROW('إدخال وسجل المنتجات'!$I$5:$I$590)-4))</f>
        <v>0</v>
      </c>
      <c r="J145" s="2" t="str">
        <f>IF($I145=0,"",IF($G145="","",$G145*IF(INDEX('إدخال وسجل المنتجات'!$U$5:$U$590,$I145)=0,1,INDEX('إدخال وسجل المنتجات'!$U$5:$U$590,$I145))))</f>
        <v/>
      </c>
    </row>
    <row r="146" spans="1:10" ht="16" x14ac:dyDescent="0.15">
      <c r="A146" s="2" t="str">
        <f>IF($I146=0,"",162)</f>
        <v/>
      </c>
      <c r="B146" s="9" t="str">
        <f>IF($I146=0,"",INDEX('إدخال وسجل المنتجات'!$F$5:$F$590,$I146))</f>
        <v/>
      </c>
      <c r="C146" s="8" t="str">
        <f>IF($I146=0,"",INDEX('إدخال وسجل المنتجات'!$B$5:$B$590,$I146))</f>
        <v/>
      </c>
      <c r="D146" s="10" t="str">
        <f>IF($I146=0,"",INDEX('إدخال وسجل المنتجات'!$C$5:$C$590,$I146))</f>
        <v/>
      </c>
      <c r="E146" s="11" t="str">
        <f>IF($I146=0,"",INDEX('إدخال وسجل المنتجات'!$D$5:$D$590,$I146))</f>
        <v/>
      </c>
      <c r="F146" s="2" t="str">
        <f>IF($I146=0,"",INDEX('إدخال وسجل المنتجات'!$G$5:$G$590,$I146))</f>
        <v/>
      </c>
      <c r="G146" s="12"/>
      <c r="H146" s="13"/>
      <c r="I146">
        <f>SUMPRODUCT(('إدخال وسجل المنتجات'!$I$5:$I$590="CNS")*('إدخال وسجل المنتجات'!$M$5:$M$590=162)*(ROW('إدخال وسجل المنتجات'!$I$5:$I$590)-4))</f>
        <v>0</v>
      </c>
      <c r="J146" s="2" t="str">
        <f>IF($I146=0,"",IF($G146="","",$G146*IF(INDEX('إدخال وسجل المنتجات'!$U$5:$U$590,$I146)=0,1,INDEX('إدخال وسجل المنتجات'!$U$5:$U$590,$I146))))</f>
        <v/>
      </c>
    </row>
    <row r="147" spans="1:10" ht="16" x14ac:dyDescent="0.15">
      <c r="A147" s="2" t="str">
        <f>IF($I147=0,"",163)</f>
        <v/>
      </c>
      <c r="B147" s="9" t="str">
        <f>IF($I147=0,"",INDEX('إدخال وسجل المنتجات'!$F$5:$F$590,$I147))</f>
        <v/>
      </c>
      <c r="C147" s="8" t="str">
        <f>IF($I147=0,"",INDEX('إدخال وسجل المنتجات'!$B$5:$B$590,$I147))</f>
        <v/>
      </c>
      <c r="D147" s="10" t="str">
        <f>IF($I147=0,"",INDEX('إدخال وسجل المنتجات'!$C$5:$C$590,$I147))</f>
        <v/>
      </c>
      <c r="E147" s="11" t="str">
        <f>IF($I147=0,"",INDEX('إدخال وسجل المنتجات'!$D$5:$D$590,$I147))</f>
        <v/>
      </c>
      <c r="F147" s="2" t="str">
        <f>IF($I147=0,"",INDEX('إدخال وسجل المنتجات'!$G$5:$G$590,$I147))</f>
        <v/>
      </c>
      <c r="G147" s="12"/>
      <c r="H147" s="13"/>
      <c r="I147">
        <f>SUMPRODUCT(('إدخال وسجل المنتجات'!$I$5:$I$590="CNS")*('إدخال وسجل المنتجات'!$M$5:$M$590=163)*(ROW('إدخال وسجل المنتجات'!$I$5:$I$590)-4))</f>
        <v>0</v>
      </c>
      <c r="J147" s="2" t="str">
        <f>IF($I147=0,"",IF($G147="","",$G147*IF(INDEX('إدخال وسجل المنتجات'!$U$5:$U$590,$I147)=0,1,INDEX('إدخال وسجل المنتجات'!$U$5:$U$590,$I147))))</f>
        <v/>
      </c>
    </row>
    <row r="148" spans="1:10" ht="16" x14ac:dyDescent="0.15">
      <c r="A148" s="2" t="str">
        <f>IF($I148=0,"",164)</f>
        <v/>
      </c>
      <c r="B148" s="9" t="str">
        <f>IF($I148=0,"",INDEX('إدخال وسجل المنتجات'!$F$5:$F$590,$I148))</f>
        <v/>
      </c>
      <c r="C148" s="8" t="str">
        <f>IF($I148=0,"",INDEX('إدخال وسجل المنتجات'!$B$5:$B$590,$I148))</f>
        <v/>
      </c>
      <c r="D148" s="10" t="str">
        <f>IF($I148=0,"",INDEX('إدخال وسجل المنتجات'!$C$5:$C$590,$I148))</f>
        <v/>
      </c>
      <c r="E148" s="11" t="str">
        <f>IF($I148=0,"",INDEX('إدخال وسجل المنتجات'!$D$5:$D$590,$I148))</f>
        <v/>
      </c>
      <c r="F148" s="2" t="str">
        <f>IF($I148=0,"",INDEX('إدخال وسجل المنتجات'!$G$5:$G$590,$I148))</f>
        <v/>
      </c>
      <c r="G148" s="12"/>
      <c r="H148" s="13"/>
      <c r="I148">
        <f>SUMPRODUCT(('إدخال وسجل المنتجات'!$I$5:$I$590="CNS")*('إدخال وسجل المنتجات'!$M$5:$M$590=164)*(ROW('إدخال وسجل المنتجات'!$I$5:$I$590)-4))</f>
        <v>0</v>
      </c>
      <c r="J148" s="2" t="str">
        <f>IF($I148=0,"",IF($G148="","",$G148*IF(INDEX('إدخال وسجل المنتجات'!$U$5:$U$590,$I148)=0,1,INDEX('إدخال وسجل المنتجات'!$U$5:$U$590,$I148))))</f>
        <v/>
      </c>
    </row>
    <row r="149" spans="1:10" ht="16" x14ac:dyDescent="0.15">
      <c r="A149" s="2" t="str">
        <f>IF($I149=0,"",165)</f>
        <v/>
      </c>
      <c r="B149" s="9" t="str">
        <f>IF($I149=0,"",INDEX('إدخال وسجل المنتجات'!$F$5:$F$590,$I149))</f>
        <v/>
      </c>
      <c r="C149" s="8" t="str">
        <f>IF($I149=0,"",INDEX('إدخال وسجل المنتجات'!$B$5:$B$590,$I149))</f>
        <v/>
      </c>
      <c r="D149" s="10" t="str">
        <f>IF($I149=0,"",INDEX('إدخال وسجل المنتجات'!$C$5:$C$590,$I149))</f>
        <v/>
      </c>
      <c r="E149" s="11" t="str">
        <f>IF($I149=0,"",INDEX('إدخال وسجل المنتجات'!$D$5:$D$590,$I149))</f>
        <v/>
      </c>
      <c r="F149" s="2" t="str">
        <f>IF($I149=0,"",INDEX('إدخال وسجل المنتجات'!$G$5:$G$590,$I149))</f>
        <v/>
      </c>
      <c r="G149" s="12"/>
      <c r="H149" s="13"/>
      <c r="I149">
        <f>SUMPRODUCT(('إدخال وسجل المنتجات'!$I$5:$I$590="CNS")*('إدخال وسجل المنتجات'!$M$5:$M$590=165)*(ROW('إدخال وسجل المنتجات'!$I$5:$I$590)-4))</f>
        <v>0</v>
      </c>
      <c r="J149" s="2" t="str">
        <f>IF($I149=0,"",IF($G149="","",$G149*IF(INDEX('إدخال وسجل المنتجات'!$U$5:$U$590,$I149)=0,1,INDEX('إدخال وسجل المنتجات'!$U$5:$U$590,$I149))))</f>
        <v/>
      </c>
    </row>
    <row r="150" spans="1:10" ht="16" x14ac:dyDescent="0.15">
      <c r="A150" s="2" t="str">
        <f>IF($I150=0,"",166)</f>
        <v/>
      </c>
      <c r="B150" s="9" t="str">
        <f>IF($I150=0,"",INDEX('إدخال وسجل المنتجات'!$F$5:$F$590,$I150))</f>
        <v/>
      </c>
      <c r="C150" s="8" t="str">
        <f>IF($I150=0,"",INDEX('إدخال وسجل المنتجات'!$B$5:$B$590,$I150))</f>
        <v/>
      </c>
      <c r="D150" s="10" t="str">
        <f>IF($I150=0,"",INDEX('إدخال وسجل المنتجات'!$C$5:$C$590,$I150))</f>
        <v/>
      </c>
      <c r="E150" s="11" t="str">
        <f>IF($I150=0,"",INDEX('إدخال وسجل المنتجات'!$D$5:$D$590,$I150))</f>
        <v/>
      </c>
      <c r="F150" s="2" t="str">
        <f>IF($I150=0,"",INDEX('إدخال وسجل المنتجات'!$G$5:$G$590,$I150))</f>
        <v/>
      </c>
      <c r="G150" s="12"/>
      <c r="H150" s="13"/>
      <c r="I150">
        <f>SUMPRODUCT(('إدخال وسجل المنتجات'!$I$5:$I$590="CNS")*('إدخال وسجل المنتجات'!$M$5:$M$590=166)*(ROW('إدخال وسجل المنتجات'!$I$5:$I$590)-4))</f>
        <v>0</v>
      </c>
      <c r="J150" s="2" t="str">
        <f>IF($I150=0,"",IF($G150="","",$G150*IF(INDEX('إدخال وسجل المنتجات'!$U$5:$U$590,$I150)=0,1,INDEX('إدخال وسجل المنتجات'!$U$5:$U$590,$I150))))</f>
        <v/>
      </c>
    </row>
    <row r="151" spans="1:10" ht="16" x14ac:dyDescent="0.15">
      <c r="A151" s="2" t="str">
        <f>IF($I151=0,"",167)</f>
        <v/>
      </c>
      <c r="B151" s="9" t="str">
        <f>IF($I151=0,"",INDEX('إدخال وسجل المنتجات'!$F$5:$F$590,$I151))</f>
        <v/>
      </c>
      <c r="C151" s="8" t="str">
        <f>IF($I151=0,"",INDEX('إدخال وسجل المنتجات'!$B$5:$B$590,$I151))</f>
        <v/>
      </c>
      <c r="D151" s="10" t="str">
        <f>IF($I151=0,"",INDEX('إدخال وسجل المنتجات'!$C$5:$C$590,$I151))</f>
        <v/>
      </c>
      <c r="E151" s="11" t="str">
        <f>IF($I151=0,"",INDEX('إدخال وسجل المنتجات'!$D$5:$D$590,$I151))</f>
        <v/>
      </c>
      <c r="F151" s="2" t="str">
        <f>IF($I151=0,"",INDEX('إدخال وسجل المنتجات'!$G$5:$G$590,$I151))</f>
        <v/>
      </c>
      <c r="G151" s="12"/>
      <c r="H151" s="13"/>
      <c r="I151">
        <f>SUMPRODUCT(('إدخال وسجل المنتجات'!$I$5:$I$590="CNS")*('إدخال وسجل المنتجات'!$M$5:$M$590=167)*(ROW('إدخال وسجل المنتجات'!$I$5:$I$590)-4))</f>
        <v>0</v>
      </c>
      <c r="J151" s="2" t="str">
        <f>IF($I151=0,"",IF($G151="","",$G151*IF(INDEX('إدخال وسجل المنتجات'!$U$5:$U$590,$I151)=0,1,INDEX('إدخال وسجل المنتجات'!$U$5:$U$590,$I151))))</f>
        <v/>
      </c>
    </row>
    <row r="152" spans="1:10" ht="16" x14ac:dyDescent="0.15">
      <c r="A152" s="2" t="str">
        <f>IF($I152=0,"",168)</f>
        <v/>
      </c>
      <c r="B152" s="9" t="str">
        <f>IF($I152=0,"",INDEX('إدخال وسجل المنتجات'!$F$5:$F$590,$I152))</f>
        <v/>
      </c>
      <c r="C152" s="8" t="str">
        <f>IF($I152=0,"",INDEX('إدخال وسجل المنتجات'!$B$5:$B$590,$I152))</f>
        <v/>
      </c>
      <c r="D152" s="10" t="str">
        <f>IF($I152=0,"",INDEX('إدخال وسجل المنتجات'!$C$5:$C$590,$I152))</f>
        <v/>
      </c>
      <c r="E152" s="11" t="str">
        <f>IF($I152=0,"",INDEX('إدخال وسجل المنتجات'!$D$5:$D$590,$I152))</f>
        <v/>
      </c>
      <c r="F152" s="2" t="str">
        <f>IF($I152=0,"",INDEX('إدخال وسجل المنتجات'!$G$5:$G$590,$I152))</f>
        <v/>
      </c>
      <c r="G152" s="12"/>
      <c r="H152" s="13"/>
      <c r="I152">
        <f>SUMPRODUCT(('إدخال وسجل المنتجات'!$I$5:$I$590="CNS")*('إدخال وسجل المنتجات'!$M$5:$M$590=168)*(ROW('إدخال وسجل المنتجات'!$I$5:$I$590)-4))</f>
        <v>0</v>
      </c>
      <c r="J152" s="2" t="str">
        <f>IF($I152=0,"",IF($G152="","",$G152*IF(INDEX('إدخال وسجل المنتجات'!$U$5:$U$590,$I152)=0,1,INDEX('إدخال وسجل المنتجات'!$U$5:$U$590,$I152))))</f>
        <v/>
      </c>
    </row>
    <row r="153" spans="1:10" ht="16" x14ac:dyDescent="0.15">
      <c r="A153" s="2" t="str">
        <f>IF($I153=0,"",169)</f>
        <v/>
      </c>
      <c r="B153" s="9" t="str">
        <f>IF($I153=0,"",INDEX('إدخال وسجل المنتجات'!$F$5:$F$590,$I153))</f>
        <v/>
      </c>
      <c r="C153" s="8" t="str">
        <f>IF($I153=0,"",INDEX('إدخال وسجل المنتجات'!$B$5:$B$590,$I153))</f>
        <v/>
      </c>
      <c r="D153" s="10" t="str">
        <f>IF($I153=0,"",INDEX('إدخال وسجل المنتجات'!$C$5:$C$590,$I153))</f>
        <v/>
      </c>
      <c r="E153" s="11" t="str">
        <f>IF($I153=0,"",INDEX('إدخال وسجل المنتجات'!$D$5:$D$590,$I153))</f>
        <v/>
      </c>
      <c r="F153" s="2" t="str">
        <f>IF($I153=0,"",INDEX('إدخال وسجل المنتجات'!$G$5:$G$590,$I153))</f>
        <v/>
      </c>
      <c r="G153" s="12"/>
      <c r="H153" s="13"/>
      <c r="I153">
        <f>SUMPRODUCT(('إدخال وسجل المنتجات'!$I$5:$I$590="CNS")*('إدخال وسجل المنتجات'!$M$5:$M$590=169)*(ROW('إدخال وسجل المنتجات'!$I$5:$I$590)-4))</f>
        <v>0</v>
      </c>
      <c r="J153" s="2" t="str">
        <f>IF($I153=0,"",IF($G153="","",$G153*IF(INDEX('إدخال وسجل المنتجات'!$U$5:$U$590,$I153)=0,1,INDEX('إدخال وسجل المنتجات'!$U$5:$U$590,$I153))))</f>
        <v/>
      </c>
    </row>
    <row r="154" spans="1:10" ht="16" x14ac:dyDescent="0.15">
      <c r="A154" s="2" t="str">
        <f>IF($I154=0,"",170)</f>
        <v/>
      </c>
      <c r="B154" s="9" t="str">
        <f>IF($I154=0,"",INDEX('إدخال وسجل المنتجات'!$F$5:$F$590,$I154))</f>
        <v/>
      </c>
      <c r="C154" s="8" t="str">
        <f>IF($I154=0,"",INDEX('إدخال وسجل المنتجات'!$B$5:$B$590,$I154))</f>
        <v/>
      </c>
      <c r="D154" s="10" t="str">
        <f>IF($I154=0,"",INDEX('إدخال وسجل المنتجات'!$C$5:$C$590,$I154))</f>
        <v/>
      </c>
      <c r="E154" s="11" t="str">
        <f>IF($I154=0,"",INDEX('إدخال وسجل المنتجات'!$D$5:$D$590,$I154))</f>
        <v/>
      </c>
      <c r="F154" s="2" t="str">
        <f>IF($I154=0,"",INDEX('إدخال وسجل المنتجات'!$G$5:$G$590,$I154))</f>
        <v/>
      </c>
      <c r="G154" s="12"/>
      <c r="H154" s="13"/>
      <c r="I154">
        <f>SUMPRODUCT(('إدخال وسجل المنتجات'!$I$5:$I$590="CNS")*('إدخال وسجل المنتجات'!$M$5:$M$590=170)*(ROW('إدخال وسجل المنتجات'!$I$5:$I$590)-4))</f>
        <v>0</v>
      </c>
      <c r="J154" s="2" t="str">
        <f>IF($I154=0,"",IF($G154="","",$G154*IF(INDEX('إدخال وسجل المنتجات'!$U$5:$U$590,$I154)=0,1,INDEX('إدخال وسجل المنتجات'!$U$5:$U$590,$I154))))</f>
        <v/>
      </c>
    </row>
    <row r="155" spans="1:10" ht="16" x14ac:dyDescent="0.15">
      <c r="A155" s="2" t="str">
        <f>IF($I155=0,"",171)</f>
        <v/>
      </c>
      <c r="B155" s="9" t="str">
        <f>IF($I155=0,"",INDEX('إدخال وسجل المنتجات'!$F$5:$F$590,$I155))</f>
        <v/>
      </c>
      <c r="C155" s="8" t="str">
        <f>IF($I155=0,"",INDEX('إدخال وسجل المنتجات'!$B$5:$B$590,$I155))</f>
        <v/>
      </c>
      <c r="D155" s="10" t="str">
        <f>IF($I155=0,"",INDEX('إدخال وسجل المنتجات'!$C$5:$C$590,$I155))</f>
        <v/>
      </c>
      <c r="E155" s="11" t="str">
        <f>IF($I155=0,"",INDEX('إدخال وسجل المنتجات'!$D$5:$D$590,$I155))</f>
        <v/>
      </c>
      <c r="F155" s="2" t="str">
        <f>IF($I155=0,"",INDEX('إدخال وسجل المنتجات'!$G$5:$G$590,$I155))</f>
        <v/>
      </c>
      <c r="G155" s="12"/>
      <c r="H155" s="13"/>
      <c r="I155">
        <f>SUMPRODUCT(('إدخال وسجل المنتجات'!$I$5:$I$590="CNS")*('إدخال وسجل المنتجات'!$M$5:$M$590=171)*(ROW('إدخال وسجل المنتجات'!$I$5:$I$590)-4))</f>
        <v>0</v>
      </c>
      <c r="J155" s="2" t="str">
        <f>IF($I155=0,"",IF($G155="","",$G155*IF(INDEX('إدخال وسجل المنتجات'!$U$5:$U$590,$I155)=0,1,INDEX('إدخال وسجل المنتجات'!$U$5:$U$590,$I155))))</f>
        <v/>
      </c>
    </row>
    <row r="156" spans="1:10" ht="16" x14ac:dyDescent="0.15">
      <c r="A156" s="2" t="str">
        <f>IF($I156=0,"",172)</f>
        <v/>
      </c>
      <c r="B156" s="9" t="str">
        <f>IF($I156=0,"",INDEX('إدخال وسجل المنتجات'!$F$5:$F$590,$I156))</f>
        <v/>
      </c>
      <c r="C156" s="8" t="str">
        <f>IF($I156=0,"",INDEX('إدخال وسجل المنتجات'!$B$5:$B$590,$I156))</f>
        <v/>
      </c>
      <c r="D156" s="10" t="str">
        <f>IF($I156=0,"",INDEX('إدخال وسجل المنتجات'!$C$5:$C$590,$I156))</f>
        <v/>
      </c>
      <c r="E156" s="11" t="str">
        <f>IF($I156=0,"",INDEX('إدخال وسجل المنتجات'!$D$5:$D$590,$I156))</f>
        <v/>
      </c>
      <c r="F156" s="2" t="str">
        <f>IF($I156=0,"",INDEX('إدخال وسجل المنتجات'!$G$5:$G$590,$I156))</f>
        <v/>
      </c>
      <c r="G156" s="12"/>
      <c r="H156" s="13"/>
      <c r="I156">
        <f>SUMPRODUCT(('إدخال وسجل المنتجات'!$I$5:$I$590="CNS")*('إدخال وسجل المنتجات'!$M$5:$M$590=172)*(ROW('إدخال وسجل المنتجات'!$I$5:$I$590)-4))</f>
        <v>0</v>
      </c>
      <c r="J156" s="2" t="str">
        <f>IF($I156=0,"",IF($G156="","",$G156*IF(INDEX('إدخال وسجل المنتجات'!$U$5:$U$590,$I156)=0,1,INDEX('إدخال وسجل المنتجات'!$U$5:$U$590,$I156))))</f>
        <v/>
      </c>
    </row>
    <row r="157" spans="1:10" ht="16" x14ac:dyDescent="0.15">
      <c r="A157" s="2" t="str">
        <f>IF($I157=0,"",173)</f>
        <v/>
      </c>
      <c r="B157" s="9" t="str">
        <f>IF($I157=0,"",INDEX('إدخال وسجل المنتجات'!$F$5:$F$590,$I157))</f>
        <v/>
      </c>
      <c r="C157" s="8" t="str">
        <f>IF($I157=0,"",INDEX('إدخال وسجل المنتجات'!$B$5:$B$590,$I157))</f>
        <v/>
      </c>
      <c r="D157" s="10" t="str">
        <f>IF($I157=0,"",INDEX('إدخال وسجل المنتجات'!$C$5:$C$590,$I157))</f>
        <v/>
      </c>
      <c r="E157" s="11" t="str">
        <f>IF($I157=0,"",INDEX('إدخال وسجل المنتجات'!$D$5:$D$590,$I157))</f>
        <v/>
      </c>
      <c r="F157" s="2" t="str">
        <f>IF($I157=0,"",INDEX('إدخال وسجل المنتجات'!$G$5:$G$590,$I157))</f>
        <v/>
      </c>
      <c r="G157" s="12"/>
      <c r="H157" s="13"/>
      <c r="I157">
        <f>SUMPRODUCT(('إدخال وسجل المنتجات'!$I$5:$I$590="CNS")*('إدخال وسجل المنتجات'!$M$5:$M$590=173)*(ROW('إدخال وسجل المنتجات'!$I$5:$I$590)-4))</f>
        <v>0</v>
      </c>
      <c r="J157" s="2" t="str">
        <f>IF($I157=0,"",IF($G157="","",$G157*IF(INDEX('إدخال وسجل المنتجات'!$U$5:$U$590,$I157)=0,1,INDEX('إدخال وسجل المنتجات'!$U$5:$U$590,$I157))))</f>
        <v/>
      </c>
    </row>
    <row r="158" spans="1:10" ht="16" x14ac:dyDescent="0.15">
      <c r="A158" s="2" t="str">
        <f>IF($I158=0,"",174)</f>
        <v/>
      </c>
      <c r="B158" s="9" t="str">
        <f>IF($I158=0,"",INDEX('إدخال وسجل المنتجات'!$F$5:$F$590,$I158))</f>
        <v/>
      </c>
      <c r="C158" s="8" t="str">
        <f>IF($I158=0,"",INDEX('إدخال وسجل المنتجات'!$B$5:$B$590,$I158))</f>
        <v/>
      </c>
      <c r="D158" s="10" t="str">
        <f>IF($I158=0,"",INDEX('إدخال وسجل المنتجات'!$C$5:$C$590,$I158))</f>
        <v/>
      </c>
      <c r="E158" s="11" t="str">
        <f>IF($I158=0,"",INDEX('إدخال وسجل المنتجات'!$D$5:$D$590,$I158))</f>
        <v/>
      </c>
      <c r="F158" s="2" t="str">
        <f>IF($I158=0,"",INDEX('إدخال وسجل المنتجات'!$G$5:$G$590,$I158))</f>
        <v/>
      </c>
      <c r="G158" s="12"/>
      <c r="H158" s="13"/>
      <c r="I158">
        <f>SUMPRODUCT(('إدخال وسجل المنتجات'!$I$5:$I$590="CNS")*('إدخال وسجل المنتجات'!$M$5:$M$590=174)*(ROW('إدخال وسجل المنتجات'!$I$5:$I$590)-4))</f>
        <v>0</v>
      </c>
      <c r="J158" s="2" t="str">
        <f>IF($I158=0,"",IF($G158="","",$G158*IF(INDEX('إدخال وسجل المنتجات'!$U$5:$U$590,$I158)=0,1,INDEX('إدخال وسجل المنتجات'!$U$5:$U$590,$I158))))</f>
        <v/>
      </c>
    </row>
    <row r="159" spans="1:10" ht="16" x14ac:dyDescent="0.15">
      <c r="A159" s="2" t="str">
        <f>IF($I159=0,"",175)</f>
        <v/>
      </c>
      <c r="B159" s="9" t="str">
        <f>IF($I159=0,"",INDEX('إدخال وسجل المنتجات'!$F$5:$F$590,$I159))</f>
        <v/>
      </c>
      <c r="C159" s="8" t="str">
        <f>IF($I159=0,"",INDEX('إدخال وسجل المنتجات'!$B$5:$B$590,$I159))</f>
        <v/>
      </c>
      <c r="D159" s="10" t="str">
        <f>IF($I159=0,"",INDEX('إدخال وسجل المنتجات'!$C$5:$C$590,$I159))</f>
        <v/>
      </c>
      <c r="E159" s="11" t="str">
        <f>IF($I159=0,"",INDEX('إدخال وسجل المنتجات'!$D$5:$D$590,$I159))</f>
        <v/>
      </c>
      <c r="F159" s="2" t="str">
        <f>IF($I159=0,"",INDEX('إدخال وسجل المنتجات'!$G$5:$G$590,$I159))</f>
        <v/>
      </c>
      <c r="G159" s="12"/>
      <c r="H159" s="13"/>
      <c r="I159">
        <f>SUMPRODUCT(('إدخال وسجل المنتجات'!$I$5:$I$590="CNS")*('إدخال وسجل المنتجات'!$M$5:$M$590=175)*(ROW('إدخال وسجل المنتجات'!$I$5:$I$590)-4))</f>
        <v>0</v>
      </c>
      <c r="J159" s="2" t="str">
        <f>IF($I159=0,"",IF($G159="","",$G159*IF(INDEX('إدخال وسجل المنتجات'!$U$5:$U$590,$I159)=0,1,INDEX('إدخال وسجل المنتجات'!$U$5:$U$590,$I159))))</f>
        <v/>
      </c>
    </row>
    <row r="160" spans="1:10" ht="16" x14ac:dyDescent="0.15">
      <c r="A160" s="2" t="str">
        <f>IF($I160=0,"",176)</f>
        <v/>
      </c>
      <c r="B160" s="9" t="str">
        <f>IF($I160=0,"",INDEX('إدخال وسجل المنتجات'!$F$5:$F$590,$I160))</f>
        <v/>
      </c>
      <c r="C160" s="8" t="str">
        <f>IF($I160=0,"",INDEX('إدخال وسجل المنتجات'!$B$5:$B$590,$I160))</f>
        <v/>
      </c>
      <c r="D160" s="10" t="str">
        <f>IF($I160=0,"",INDEX('إدخال وسجل المنتجات'!$C$5:$C$590,$I160))</f>
        <v/>
      </c>
      <c r="E160" s="11" t="str">
        <f>IF($I160=0,"",INDEX('إدخال وسجل المنتجات'!$D$5:$D$590,$I160))</f>
        <v/>
      </c>
      <c r="F160" s="2" t="str">
        <f>IF($I160=0,"",INDEX('إدخال وسجل المنتجات'!$G$5:$G$590,$I160))</f>
        <v/>
      </c>
      <c r="G160" s="12"/>
      <c r="H160" s="13"/>
      <c r="I160">
        <f>SUMPRODUCT(('إدخال وسجل المنتجات'!$I$5:$I$590="CNS")*('إدخال وسجل المنتجات'!$M$5:$M$590=176)*(ROW('إدخال وسجل المنتجات'!$I$5:$I$590)-4))</f>
        <v>0</v>
      </c>
      <c r="J160" s="2" t="str">
        <f>IF($I160=0,"",IF($G160="","",$G160*IF(INDEX('إدخال وسجل المنتجات'!$U$5:$U$590,$I160)=0,1,INDEX('إدخال وسجل المنتجات'!$U$5:$U$590,$I160))))</f>
        <v/>
      </c>
    </row>
    <row r="161" spans="1:10" ht="16" x14ac:dyDescent="0.15">
      <c r="A161" s="2" t="str">
        <f>IF($I161=0,"",177)</f>
        <v/>
      </c>
      <c r="B161" s="9" t="str">
        <f>IF($I161=0,"",INDEX('إدخال وسجل المنتجات'!$F$5:$F$590,$I161))</f>
        <v/>
      </c>
      <c r="C161" s="8" t="str">
        <f>IF($I161=0,"",INDEX('إدخال وسجل المنتجات'!$B$5:$B$590,$I161))</f>
        <v/>
      </c>
      <c r="D161" s="10" t="str">
        <f>IF($I161=0,"",INDEX('إدخال وسجل المنتجات'!$C$5:$C$590,$I161))</f>
        <v/>
      </c>
      <c r="E161" s="11" t="str">
        <f>IF($I161=0,"",INDEX('إدخال وسجل المنتجات'!$D$5:$D$590,$I161))</f>
        <v/>
      </c>
      <c r="F161" s="2" t="str">
        <f>IF($I161=0,"",INDEX('إدخال وسجل المنتجات'!$G$5:$G$590,$I161))</f>
        <v/>
      </c>
      <c r="G161" s="12"/>
      <c r="H161" s="13"/>
      <c r="I161">
        <f>SUMPRODUCT(('إدخال وسجل المنتجات'!$I$5:$I$590="CNS")*('إدخال وسجل المنتجات'!$M$5:$M$590=177)*(ROW('إدخال وسجل المنتجات'!$I$5:$I$590)-4))</f>
        <v>0</v>
      </c>
      <c r="J161" s="2" t="str">
        <f>IF($I161=0,"",IF($G161="","",$G161*IF(INDEX('إدخال وسجل المنتجات'!$U$5:$U$590,$I161)=0,1,INDEX('إدخال وسجل المنتجات'!$U$5:$U$590,$I161))))</f>
        <v/>
      </c>
    </row>
    <row r="162" spans="1:10" ht="16" x14ac:dyDescent="0.15">
      <c r="A162" s="2" t="str">
        <f>IF($I162=0,"",178)</f>
        <v/>
      </c>
      <c r="B162" s="9" t="str">
        <f>IF($I162=0,"",INDEX('إدخال وسجل المنتجات'!$F$5:$F$590,$I162))</f>
        <v/>
      </c>
      <c r="C162" s="8" t="str">
        <f>IF($I162=0,"",INDEX('إدخال وسجل المنتجات'!$B$5:$B$590,$I162))</f>
        <v/>
      </c>
      <c r="D162" s="10" t="str">
        <f>IF($I162=0,"",INDEX('إدخال وسجل المنتجات'!$C$5:$C$590,$I162))</f>
        <v/>
      </c>
      <c r="E162" s="11" t="str">
        <f>IF($I162=0,"",INDEX('إدخال وسجل المنتجات'!$D$5:$D$590,$I162))</f>
        <v/>
      </c>
      <c r="F162" s="2" t="str">
        <f>IF($I162=0,"",INDEX('إدخال وسجل المنتجات'!$G$5:$G$590,$I162))</f>
        <v/>
      </c>
      <c r="G162" s="12"/>
      <c r="H162" s="13"/>
      <c r="I162">
        <f>SUMPRODUCT(('إدخال وسجل المنتجات'!$I$5:$I$590="CNS")*('إدخال وسجل المنتجات'!$M$5:$M$590=178)*(ROW('إدخال وسجل المنتجات'!$I$5:$I$590)-4))</f>
        <v>0</v>
      </c>
      <c r="J162" s="2" t="str">
        <f>IF($I162=0,"",IF($G162="","",$G162*IF(INDEX('إدخال وسجل المنتجات'!$U$5:$U$590,$I162)=0,1,INDEX('إدخال وسجل المنتجات'!$U$5:$U$590,$I162))))</f>
        <v/>
      </c>
    </row>
    <row r="163" spans="1:10" ht="16" x14ac:dyDescent="0.15">
      <c r="A163" s="2" t="str">
        <f>IF($I163=0,"",179)</f>
        <v/>
      </c>
      <c r="B163" s="9" t="str">
        <f>IF($I163=0,"",INDEX('إدخال وسجل المنتجات'!$F$5:$F$590,$I163))</f>
        <v/>
      </c>
      <c r="C163" s="8" t="str">
        <f>IF($I163=0,"",INDEX('إدخال وسجل المنتجات'!$B$5:$B$590,$I163))</f>
        <v/>
      </c>
      <c r="D163" s="10" t="str">
        <f>IF($I163=0,"",INDEX('إدخال وسجل المنتجات'!$C$5:$C$590,$I163))</f>
        <v/>
      </c>
      <c r="E163" s="11" t="str">
        <f>IF($I163=0,"",INDEX('إدخال وسجل المنتجات'!$D$5:$D$590,$I163))</f>
        <v/>
      </c>
      <c r="F163" s="2" t="str">
        <f>IF($I163=0,"",INDEX('إدخال وسجل المنتجات'!$G$5:$G$590,$I163))</f>
        <v/>
      </c>
      <c r="G163" s="12"/>
      <c r="H163" s="13"/>
      <c r="I163">
        <f>SUMPRODUCT(('إدخال وسجل المنتجات'!$I$5:$I$590="CNS")*('إدخال وسجل المنتجات'!$M$5:$M$590=179)*(ROW('إدخال وسجل المنتجات'!$I$5:$I$590)-4))</f>
        <v>0</v>
      </c>
      <c r="J163" s="2" t="str">
        <f>IF($I163=0,"",IF($G163="","",$G163*IF(INDEX('إدخال وسجل المنتجات'!$U$5:$U$590,$I163)=0,1,INDEX('إدخال وسجل المنتجات'!$U$5:$U$590,$I163))))</f>
        <v/>
      </c>
    </row>
    <row r="164" spans="1:10" ht="16" x14ac:dyDescent="0.15">
      <c r="A164" s="2" t="str">
        <f>IF($I164=0,"",180)</f>
        <v/>
      </c>
      <c r="B164" s="9" t="str">
        <f>IF($I164=0,"",INDEX('إدخال وسجل المنتجات'!$F$5:$F$590,$I164))</f>
        <v/>
      </c>
      <c r="C164" s="8" t="str">
        <f>IF($I164=0,"",INDEX('إدخال وسجل المنتجات'!$B$5:$B$590,$I164))</f>
        <v/>
      </c>
      <c r="D164" s="10" t="str">
        <f>IF($I164=0,"",INDEX('إدخال وسجل المنتجات'!$C$5:$C$590,$I164))</f>
        <v/>
      </c>
      <c r="E164" s="11" t="str">
        <f>IF($I164=0,"",INDEX('إدخال وسجل المنتجات'!$D$5:$D$590,$I164))</f>
        <v/>
      </c>
      <c r="F164" s="2" t="str">
        <f>IF($I164=0,"",INDEX('إدخال وسجل المنتجات'!$G$5:$G$590,$I164))</f>
        <v/>
      </c>
      <c r="G164" s="12"/>
      <c r="H164" s="13"/>
      <c r="I164">
        <f>SUMPRODUCT(('إدخال وسجل المنتجات'!$I$5:$I$590="CNS")*('إدخال وسجل المنتجات'!$M$5:$M$590=180)*(ROW('إدخال وسجل المنتجات'!$I$5:$I$590)-4))</f>
        <v>0</v>
      </c>
      <c r="J164" s="2" t="str">
        <f>IF($I164=0,"",IF($G164="","",$G164*IF(INDEX('إدخال وسجل المنتجات'!$U$5:$U$590,$I164)=0,1,INDEX('إدخال وسجل المنتجات'!$U$5:$U$590,$I164))))</f>
        <v/>
      </c>
    </row>
    <row r="165" spans="1:10" ht="16" x14ac:dyDescent="0.15">
      <c r="A165" s="2" t="str">
        <f>IF($I165=0,"",181)</f>
        <v/>
      </c>
      <c r="B165" s="9" t="str">
        <f>IF($I165=0,"",INDEX('إدخال وسجل المنتجات'!$F$5:$F$590,$I165))</f>
        <v/>
      </c>
      <c r="C165" s="8" t="str">
        <f>IF($I165=0,"",INDEX('إدخال وسجل المنتجات'!$B$5:$B$590,$I165))</f>
        <v/>
      </c>
      <c r="D165" s="10" t="str">
        <f>IF($I165=0,"",INDEX('إدخال وسجل المنتجات'!$C$5:$C$590,$I165))</f>
        <v/>
      </c>
      <c r="E165" s="11" t="str">
        <f>IF($I165=0,"",INDEX('إدخال وسجل المنتجات'!$D$5:$D$590,$I165))</f>
        <v/>
      </c>
      <c r="F165" s="2" t="str">
        <f>IF($I165=0,"",INDEX('إدخال وسجل المنتجات'!$G$5:$G$590,$I165))</f>
        <v/>
      </c>
      <c r="G165" s="12"/>
      <c r="H165" s="13"/>
      <c r="I165">
        <f>SUMPRODUCT(('إدخال وسجل المنتجات'!$I$5:$I$590="CNS")*('إدخال وسجل المنتجات'!$M$5:$M$590=181)*(ROW('إدخال وسجل المنتجات'!$I$5:$I$590)-4))</f>
        <v>0</v>
      </c>
      <c r="J165" s="2" t="str">
        <f>IF($I165=0,"",IF($G165="","",$G165*IF(INDEX('إدخال وسجل المنتجات'!$U$5:$U$590,$I165)=0,1,INDEX('إدخال وسجل المنتجات'!$U$5:$U$590,$I165))))</f>
        <v/>
      </c>
    </row>
    <row r="166" spans="1:10" ht="16" x14ac:dyDescent="0.15">
      <c r="A166" s="2" t="str">
        <f>IF($I166=0,"",182)</f>
        <v/>
      </c>
      <c r="B166" s="9" t="str">
        <f>IF($I166=0,"",INDEX('إدخال وسجل المنتجات'!$F$5:$F$590,$I166))</f>
        <v/>
      </c>
      <c r="C166" s="8" t="str">
        <f>IF($I166=0,"",INDEX('إدخال وسجل المنتجات'!$B$5:$B$590,$I166))</f>
        <v/>
      </c>
      <c r="D166" s="10" t="str">
        <f>IF($I166=0,"",INDEX('إدخال وسجل المنتجات'!$C$5:$C$590,$I166))</f>
        <v/>
      </c>
      <c r="E166" s="11" t="str">
        <f>IF($I166=0,"",INDEX('إدخال وسجل المنتجات'!$D$5:$D$590,$I166))</f>
        <v/>
      </c>
      <c r="F166" s="2" t="str">
        <f>IF($I166=0,"",INDEX('إدخال وسجل المنتجات'!$G$5:$G$590,$I166))</f>
        <v/>
      </c>
      <c r="G166" s="12"/>
      <c r="H166" s="13"/>
      <c r="I166">
        <f>SUMPRODUCT(('إدخال وسجل المنتجات'!$I$5:$I$590="CNS")*('إدخال وسجل المنتجات'!$M$5:$M$590=182)*(ROW('إدخال وسجل المنتجات'!$I$5:$I$590)-4))</f>
        <v>0</v>
      </c>
      <c r="J166" s="2" t="str">
        <f>IF($I166=0,"",IF($G166="","",$G166*IF(INDEX('إدخال وسجل المنتجات'!$U$5:$U$590,$I166)=0,1,INDEX('إدخال وسجل المنتجات'!$U$5:$U$590,$I166))))</f>
        <v/>
      </c>
    </row>
    <row r="167" spans="1:10" ht="16" x14ac:dyDescent="0.15">
      <c r="A167" s="2" t="str">
        <f>IF($I167=0,"",183)</f>
        <v/>
      </c>
      <c r="B167" s="9" t="str">
        <f>IF($I167=0,"",INDEX('إدخال وسجل المنتجات'!$F$5:$F$590,$I167))</f>
        <v/>
      </c>
      <c r="C167" s="8" t="str">
        <f>IF($I167=0,"",INDEX('إدخال وسجل المنتجات'!$B$5:$B$590,$I167))</f>
        <v/>
      </c>
      <c r="D167" s="10" t="str">
        <f>IF($I167=0,"",INDEX('إدخال وسجل المنتجات'!$C$5:$C$590,$I167))</f>
        <v/>
      </c>
      <c r="E167" s="11" t="str">
        <f>IF($I167=0,"",INDEX('إدخال وسجل المنتجات'!$D$5:$D$590,$I167))</f>
        <v/>
      </c>
      <c r="F167" s="2" t="str">
        <f>IF($I167=0,"",INDEX('إدخال وسجل المنتجات'!$G$5:$G$590,$I167))</f>
        <v/>
      </c>
      <c r="G167" s="12"/>
      <c r="H167" s="13"/>
      <c r="I167">
        <f>SUMPRODUCT(('إدخال وسجل المنتجات'!$I$5:$I$590="CNS")*('إدخال وسجل المنتجات'!$M$5:$M$590=183)*(ROW('إدخال وسجل المنتجات'!$I$5:$I$590)-4))</f>
        <v>0</v>
      </c>
      <c r="J167" s="2" t="str">
        <f>IF($I167=0,"",IF($G167="","",$G167*IF(INDEX('إدخال وسجل المنتجات'!$U$5:$U$590,$I167)=0,1,INDEX('إدخال وسجل المنتجات'!$U$5:$U$590,$I167))))</f>
        <v/>
      </c>
    </row>
    <row r="168" spans="1:10" ht="16" x14ac:dyDescent="0.15">
      <c r="A168" s="2" t="str">
        <f>IF($I168=0,"",184)</f>
        <v/>
      </c>
      <c r="B168" s="9" t="str">
        <f>IF($I168=0,"",INDEX('إدخال وسجل المنتجات'!$F$5:$F$590,$I168))</f>
        <v/>
      </c>
      <c r="C168" s="8" t="str">
        <f>IF($I168=0,"",INDEX('إدخال وسجل المنتجات'!$B$5:$B$590,$I168))</f>
        <v/>
      </c>
      <c r="D168" s="10" t="str">
        <f>IF($I168=0,"",INDEX('إدخال وسجل المنتجات'!$C$5:$C$590,$I168))</f>
        <v/>
      </c>
      <c r="E168" s="11" t="str">
        <f>IF($I168=0,"",INDEX('إدخال وسجل المنتجات'!$D$5:$D$590,$I168))</f>
        <v/>
      </c>
      <c r="F168" s="2" t="str">
        <f>IF($I168=0,"",INDEX('إدخال وسجل المنتجات'!$G$5:$G$590,$I168))</f>
        <v/>
      </c>
      <c r="G168" s="12"/>
      <c r="H168" s="13"/>
      <c r="I168">
        <f>SUMPRODUCT(('إدخال وسجل المنتجات'!$I$5:$I$590="CNS")*('إدخال وسجل المنتجات'!$M$5:$M$590=184)*(ROW('إدخال وسجل المنتجات'!$I$5:$I$590)-4))</f>
        <v>0</v>
      </c>
      <c r="J168" s="2" t="str">
        <f>IF($I168=0,"",IF($G168="","",$G168*IF(INDEX('إدخال وسجل المنتجات'!$U$5:$U$590,$I168)=0,1,INDEX('إدخال وسجل المنتجات'!$U$5:$U$590,$I168))))</f>
        <v/>
      </c>
    </row>
    <row r="169" spans="1:10" ht="16" x14ac:dyDescent="0.15">
      <c r="A169" s="2" t="str">
        <f>IF($I169=0,"",185)</f>
        <v/>
      </c>
      <c r="B169" s="9" t="str">
        <f>IF($I169=0,"",INDEX('إدخال وسجل المنتجات'!$F$5:$F$590,$I169))</f>
        <v/>
      </c>
      <c r="C169" s="8" t="str">
        <f>IF($I169=0,"",INDEX('إدخال وسجل المنتجات'!$B$5:$B$590,$I169))</f>
        <v/>
      </c>
      <c r="D169" s="10" t="str">
        <f>IF($I169=0,"",INDEX('إدخال وسجل المنتجات'!$C$5:$C$590,$I169))</f>
        <v/>
      </c>
      <c r="E169" s="11" t="str">
        <f>IF($I169=0,"",INDEX('إدخال وسجل المنتجات'!$D$5:$D$590,$I169))</f>
        <v/>
      </c>
      <c r="F169" s="2" t="str">
        <f>IF($I169=0,"",INDEX('إدخال وسجل المنتجات'!$G$5:$G$590,$I169))</f>
        <v/>
      </c>
      <c r="G169" s="12"/>
      <c r="H169" s="13"/>
      <c r="I169">
        <f>SUMPRODUCT(('إدخال وسجل المنتجات'!$I$5:$I$590="CNS")*('إدخال وسجل المنتجات'!$M$5:$M$590=185)*(ROW('إدخال وسجل المنتجات'!$I$5:$I$590)-4))</f>
        <v>0</v>
      </c>
      <c r="J169" s="2" t="str">
        <f>IF($I169=0,"",IF($G169="","",$G169*IF(INDEX('إدخال وسجل المنتجات'!$U$5:$U$590,$I169)=0,1,INDEX('إدخال وسجل المنتجات'!$U$5:$U$590,$I169))))</f>
        <v/>
      </c>
    </row>
    <row r="170" spans="1:10" ht="16" x14ac:dyDescent="0.15">
      <c r="A170" s="2" t="str">
        <f>IF($I170=0,"",186)</f>
        <v/>
      </c>
      <c r="B170" s="9" t="str">
        <f>IF($I170=0,"",INDEX('إدخال وسجل المنتجات'!$F$5:$F$590,$I170))</f>
        <v/>
      </c>
      <c r="C170" s="8" t="str">
        <f>IF($I170=0,"",INDEX('إدخال وسجل المنتجات'!$B$5:$B$590,$I170))</f>
        <v/>
      </c>
      <c r="D170" s="10" t="str">
        <f>IF($I170=0,"",INDEX('إدخال وسجل المنتجات'!$C$5:$C$590,$I170))</f>
        <v/>
      </c>
      <c r="E170" s="11" t="str">
        <f>IF($I170=0,"",INDEX('إدخال وسجل المنتجات'!$D$5:$D$590,$I170))</f>
        <v/>
      </c>
      <c r="F170" s="2" t="str">
        <f>IF($I170=0,"",INDEX('إدخال وسجل المنتجات'!$G$5:$G$590,$I170))</f>
        <v/>
      </c>
      <c r="G170" s="12"/>
      <c r="H170" s="13"/>
      <c r="I170">
        <f>SUMPRODUCT(('إدخال وسجل المنتجات'!$I$5:$I$590="CNS")*('إدخال وسجل المنتجات'!$M$5:$M$590=186)*(ROW('إدخال وسجل المنتجات'!$I$5:$I$590)-4))</f>
        <v>0</v>
      </c>
      <c r="J170" s="2" t="str">
        <f>IF($I170=0,"",IF($G170="","",$G170*IF(INDEX('إدخال وسجل المنتجات'!$U$5:$U$590,$I170)=0,1,INDEX('إدخال وسجل المنتجات'!$U$5:$U$590,$I170))))</f>
        <v/>
      </c>
    </row>
    <row r="171" spans="1:10" ht="16" x14ac:dyDescent="0.15">
      <c r="A171" s="2" t="str">
        <f>IF($I171=0,"",187)</f>
        <v/>
      </c>
      <c r="B171" s="9" t="str">
        <f>IF($I171=0,"",INDEX('إدخال وسجل المنتجات'!$F$5:$F$590,$I171))</f>
        <v/>
      </c>
      <c r="C171" s="8" t="str">
        <f>IF($I171=0,"",INDEX('إدخال وسجل المنتجات'!$B$5:$B$590,$I171))</f>
        <v/>
      </c>
      <c r="D171" s="10" t="str">
        <f>IF($I171=0,"",INDEX('إدخال وسجل المنتجات'!$C$5:$C$590,$I171))</f>
        <v/>
      </c>
      <c r="E171" s="11" t="str">
        <f>IF($I171=0,"",INDEX('إدخال وسجل المنتجات'!$D$5:$D$590,$I171))</f>
        <v/>
      </c>
      <c r="F171" s="2" t="str">
        <f>IF($I171=0,"",INDEX('إدخال وسجل المنتجات'!$G$5:$G$590,$I171))</f>
        <v/>
      </c>
      <c r="G171" s="12"/>
      <c r="H171" s="13"/>
      <c r="I171">
        <f>SUMPRODUCT(('إدخال وسجل المنتجات'!$I$5:$I$590="CNS")*('إدخال وسجل المنتجات'!$M$5:$M$590=187)*(ROW('إدخال وسجل المنتجات'!$I$5:$I$590)-4))</f>
        <v>0</v>
      </c>
      <c r="J171" s="2" t="str">
        <f>IF($I171=0,"",IF($G171="","",$G171*IF(INDEX('إدخال وسجل المنتجات'!$U$5:$U$590,$I171)=0,1,INDEX('إدخال وسجل المنتجات'!$U$5:$U$590,$I171))))</f>
        <v/>
      </c>
    </row>
    <row r="172" spans="1:10" ht="16" x14ac:dyDescent="0.15">
      <c r="A172" s="2" t="str">
        <f>IF($I172=0,"",188)</f>
        <v/>
      </c>
      <c r="B172" s="9" t="str">
        <f>IF($I172=0,"",INDEX('إدخال وسجل المنتجات'!$F$5:$F$590,$I172))</f>
        <v/>
      </c>
      <c r="C172" s="8" t="str">
        <f>IF($I172=0,"",INDEX('إدخال وسجل المنتجات'!$B$5:$B$590,$I172))</f>
        <v/>
      </c>
      <c r="D172" s="10" t="str">
        <f>IF($I172=0,"",INDEX('إدخال وسجل المنتجات'!$C$5:$C$590,$I172))</f>
        <v/>
      </c>
      <c r="E172" s="11" t="str">
        <f>IF($I172=0,"",INDEX('إدخال وسجل المنتجات'!$D$5:$D$590,$I172))</f>
        <v/>
      </c>
      <c r="F172" s="2" t="str">
        <f>IF($I172=0,"",INDEX('إدخال وسجل المنتجات'!$G$5:$G$590,$I172))</f>
        <v/>
      </c>
      <c r="G172" s="12"/>
      <c r="H172" s="13"/>
      <c r="I172">
        <f>SUMPRODUCT(('إدخال وسجل المنتجات'!$I$5:$I$590="CNS")*('إدخال وسجل المنتجات'!$M$5:$M$590=188)*(ROW('إدخال وسجل المنتجات'!$I$5:$I$590)-4))</f>
        <v>0</v>
      </c>
      <c r="J172" s="2" t="str">
        <f>IF($I172=0,"",IF($G172="","",$G172*IF(INDEX('إدخال وسجل المنتجات'!$U$5:$U$590,$I172)=0,1,INDEX('إدخال وسجل المنتجات'!$U$5:$U$590,$I172))))</f>
        <v/>
      </c>
    </row>
    <row r="173" spans="1:10" ht="16" x14ac:dyDescent="0.15">
      <c r="A173" s="2" t="str">
        <f>IF($I173=0,"",189)</f>
        <v/>
      </c>
      <c r="B173" s="9" t="str">
        <f>IF($I173=0,"",INDEX('إدخال وسجل المنتجات'!$F$5:$F$590,$I173))</f>
        <v/>
      </c>
      <c r="C173" s="8" t="str">
        <f>IF($I173=0,"",INDEX('إدخال وسجل المنتجات'!$B$5:$B$590,$I173))</f>
        <v/>
      </c>
      <c r="D173" s="10" t="str">
        <f>IF($I173=0,"",INDEX('إدخال وسجل المنتجات'!$C$5:$C$590,$I173))</f>
        <v/>
      </c>
      <c r="E173" s="11" t="str">
        <f>IF($I173=0,"",INDEX('إدخال وسجل المنتجات'!$D$5:$D$590,$I173))</f>
        <v/>
      </c>
      <c r="F173" s="2" t="str">
        <f>IF($I173=0,"",INDEX('إدخال وسجل المنتجات'!$G$5:$G$590,$I173))</f>
        <v/>
      </c>
      <c r="G173" s="12"/>
      <c r="H173" s="13"/>
      <c r="I173">
        <f>SUMPRODUCT(('إدخال وسجل المنتجات'!$I$5:$I$590="CNS")*('إدخال وسجل المنتجات'!$M$5:$M$590=189)*(ROW('إدخال وسجل المنتجات'!$I$5:$I$590)-4))</f>
        <v>0</v>
      </c>
      <c r="J173" s="2" t="str">
        <f>IF($I173=0,"",IF($G173="","",$G173*IF(INDEX('إدخال وسجل المنتجات'!$U$5:$U$590,$I173)=0,1,INDEX('إدخال وسجل المنتجات'!$U$5:$U$590,$I173))))</f>
        <v/>
      </c>
    </row>
    <row r="174" spans="1:10" ht="16" x14ac:dyDescent="0.15">
      <c r="A174" s="2" t="str">
        <f>IF($I174=0,"",190)</f>
        <v/>
      </c>
      <c r="B174" s="9" t="str">
        <f>IF($I174=0,"",INDEX('إدخال وسجل المنتجات'!$F$5:$F$590,$I174))</f>
        <v/>
      </c>
      <c r="C174" s="8" t="str">
        <f>IF($I174=0,"",INDEX('إدخال وسجل المنتجات'!$B$5:$B$590,$I174))</f>
        <v/>
      </c>
      <c r="D174" s="10" t="str">
        <f>IF($I174=0,"",INDEX('إدخال وسجل المنتجات'!$C$5:$C$590,$I174))</f>
        <v/>
      </c>
      <c r="E174" s="11" t="str">
        <f>IF($I174=0,"",INDEX('إدخال وسجل المنتجات'!$D$5:$D$590,$I174))</f>
        <v/>
      </c>
      <c r="F174" s="2" t="str">
        <f>IF($I174=0,"",INDEX('إدخال وسجل المنتجات'!$G$5:$G$590,$I174))</f>
        <v/>
      </c>
      <c r="G174" s="12"/>
      <c r="H174" s="13"/>
      <c r="I174">
        <f>SUMPRODUCT(('إدخال وسجل المنتجات'!$I$5:$I$590="CNS")*('إدخال وسجل المنتجات'!$M$5:$M$590=190)*(ROW('إدخال وسجل المنتجات'!$I$5:$I$590)-4))</f>
        <v>0</v>
      </c>
      <c r="J174" s="2" t="str">
        <f>IF($I174=0,"",IF($G174="","",$G174*IF(INDEX('إدخال وسجل المنتجات'!$U$5:$U$590,$I174)=0,1,INDEX('إدخال وسجل المنتجات'!$U$5:$U$590,$I174))))</f>
        <v/>
      </c>
    </row>
    <row r="175" spans="1:10" ht="16" x14ac:dyDescent="0.15">
      <c r="A175" s="2" t="str">
        <f>IF($I175=0,"",191)</f>
        <v/>
      </c>
      <c r="B175" s="9" t="str">
        <f>IF($I175=0,"",INDEX('إدخال وسجل المنتجات'!$F$5:$F$590,$I175))</f>
        <v/>
      </c>
      <c r="C175" s="8" t="str">
        <f>IF($I175=0,"",INDEX('إدخال وسجل المنتجات'!$B$5:$B$590,$I175))</f>
        <v/>
      </c>
      <c r="D175" s="10" t="str">
        <f>IF($I175=0,"",INDEX('إدخال وسجل المنتجات'!$C$5:$C$590,$I175))</f>
        <v/>
      </c>
      <c r="E175" s="11" t="str">
        <f>IF($I175=0,"",INDEX('إدخال وسجل المنتجات'!$D$5:$D$590,$I175))</f>
        <v/>
      </c>
      <c r="F175" s="2" t="str">
        <f>IF($I175=0,"",INDEX('إدخال وسجل المنتجات'!$G$5:$G$590,$I175))</f>
        <v/>
      </c>
      <c r="G175" s="12"/>
      <c r="H175" s="13"/>
      <c r="I175">
        <f>SUMPRODUCT(('إدخال وسجل المنتجات'!$I$5:$I$590="CNS")*('إدخال وسجل المنتجات'!$M$5:$M$590=191)*(ROW('إدخال وسجل المنتجات'!$I$5:$I$590)-4))</f>
        <v>0</v>
      </c>
      <c r="J175" s="2" t="str">
        <f>IF($I175=0,"",IF($G175="","",$G175*IF(INDEX('إدخال وسجل المنتجات'!$U$5:$U$590,$I175)=0,1,INDEX('إدخال وسجل المنتجات'!$U$5:$U$590,$I175))))</f>
        <v/>
      </c>
    </row>
    <row r="176" spans="1:10" ht="16" x14ac:dyDescent="0.15">
      <c r="A176" s="2" t="str">
        <f>IF($I176=0,"",192)</f>
        <v/>
      </c>
      <c r="B176" s="9" t="str">
        <f>IF($I176=0,"",INDEX('إدخال وسجل المنتجات'!$F$5:$F$590,$I176))</f>
        <v/>
      </c>
      <c r="C176" s="8" t="str">
        <f>IF($I176=0,"",INDEX('إدخال وسجل المنتجات'!$B$5:$B$590,$I176))</f>
        <v/>
      </c>
      <c r="D176" s="10" t="str">
        <f>IF($I176=0,"",INDEX('إدخال وسجل المنتجات'!$C$5:$C$590,$I176))</f>
        <v/>
      </c>
      <c r="E176" s="11" t="str">
        <f>IF($I176=0,"",INDEX('إدخال وسجل المنتجات'!$D$5:$D$590,$I176))</f>
        <v/>
      </c>
      <c r="F176" s="2" t="str">
        <f>IF($I176=0,"",INDEX('إدخال وسجل المنتجات'!$G$5:$G$590,$I176))</f>
        <v/>
      </c>
      <c r="G176" s="12"/>
      <c r="H176" s="13"/>
      <c r="I176">
        <f>SUMPRODUCT(('إدخال وسجل المنتجات'!$I$5:$I$590="CNS")*('إدخال وسجل المنتجات'!$M$5:$M$590=192)*(ROW('إدخال وسجل المنتجات'!$I$5:$I$590)-4))</f>
        <v>0</v>
      </c>
      <c r="J176" s="2" t="str">
        <f>IF($I176=0,"",IF($G176="","",$G176*IF(INDEX('إدخال وسجل المنتجات'!$U$5:$U$590,$I176)=0,1,INDEX('إدخال وسجل المنتجات'!$U$5:$U$590,$I176))))</f>
        <v/>
      </c>
    </row>
    <row r="177" spans="1:10" ht="16" x14ac:dyDescent="0.15">
      <c r="A177" s="2" t="str">
        <f>IF($I177=0,"",193)</f>
        <v/>
      </c>
      <c r="B177" s="9" t="str">
        <f>IF($I177=0,"",INDEX('إدخال وسجل المنتجات'!$F$5:$F$590,$I177))</f>
        <v/>
      </c>
      <c r="C177" s="8" t="str">
        <f>IF($I177=0,"",INDEX('إدخال وسجل المنتجات'!$B$5:$B$590,$I177))</f>
        <v/>
      </c>
      <c r="D177" s="10" t="str">
        <f>IF($I177=0,"",INDEX('إدخال وسجل المنتجات'!$C$5:$C$590,$I177))</f>
        <v/>
      </c>
      <c r="E177" s="11" t="str">
        <f>IF($I177=0,"",INDEX('إدخال وسجل المنتجات'!$D$5:$D$590,$I177))</f>
        <v/>
      </c>
      <c r="F177" s="2" t="str">
        <f>IF($I177=0,"",INDEX('إدخال وسجل المنتجات'!$G$5:$G$590,$I177))</f>
        <v/>
      </c>
      <c r="G177" s="12"/>
      <c r="H177" s="13"/>
      <c r="I177">
        <f>SUMPRODUCT(('إدخال وسجل المنتجات'!$I$5:$I$590="CNS")*('إدخال وسجل المنتجات'!$M$5:$M$590=193)*(ROW('إدخال وسجل المنتجات'!$I$5:$I$590)-4))</f>
        <v>0</v>
      </c>
      <c r="J177" s="2" t="str">
        <f>IF($I177=0,"",IF($G177="","",$G177*IF(INDEX('إدخال وسجل المنتجات'!$U$5:$U$590,$I177)=0,1,INDEX('إدخال وسجل المنتجات'!$U$5:$U$590,$I177))))</f>
        <v/>
      </c>
    </row>
    <row r="178" spans="1:10" ht="16" x14ac:dyDescent="0.15">
      <c r="A178" s="2" t="str">
        <f>IF($I178=0,"",194)</f>
        <v/>
      </c>
      <c r="B178" s="9" t="str">
        <f>IF($I178=0,"",INDEX('إدخال وسجل المنتجات'!$F$5:$F$590,$I178))</f>
        <v/>
      </c>
      <c r="C178" s="8" t="str">
        <f>IF($I178=0,"",INDEX('إدخال وسجل المنتجات'!$B$5:$B$590,$I178))</f>
        <v/>
      </c>
      <c r="D178" s="10" t="str">
        <f>IF($I178=0,"",INDEX('إدخال وسجل المنتجات'!$C$5:$C$590,$I178))</f>
        <v/>
      </c>
      <c r="E178" s="11" t="str">
        <f>IF($I178=0,"",INDEX('إدخال وسجل المنتجات'!$D$5:$D$590,$I178))</f>
        <v/>
      </c>
      <c r="F178" s="2" t="str">
        <f>IF($I178=0,"",INDEX('إدخال وسجل المنتجات'!$G$5:$G$590,$I178))</f>
        <v/>
      </c>
      <c r="G178" s="12"/>
      <c r="H178" s="13"/>
      <c r="I178">
        <f>SUMPRODUCT(('إدخال وسجل المنتجات'!$I$5:$I$590="CNS")*('إدخال وسجل المنتجات'!$M$5:$M$590=194)*(ROW('إدخال وسجل المنتجات'!$I$5:$I$590)-4))</f>
        <v>0</v>
      </c>
      <c r="J178" s="2" t="str">
        <f>IF($I178=0,"",IF($G178="","",$G178*IF(INDEX('إدخال وسجل المنتجات'!$U$5:$U$590,$I178)=0,1,INDEX('إدخال وسجل المنتجات'!$U$5:$U$590,$I178))))</f>
        <v/>
      </c>
    </row>
    <row r="179" spans="1:10" ht="16" x14ac:dyDescent="0.15">
      <c r="A179" s="2" t="str">
        <f>IF($I179=0,"",195)</f>
        <v/>
      </c>
      <c r="B179" s="9" t="str">
        <f>IF($I179=0,"",INDEX('إدخال وسجل المنتجات'!$F$5:$F$590,$I179))</f>
        <v/>
      </c>
      <c r="C179" s="8" t="str">
        <f>IF($I179=0,"",INDEX('إدخال وسجل المنتجات'!$B$5:$B$590,$I179))</f>
        <v/>
      </c>
      <c r="D179" s="10" t="str">
        <f>IF($I179=0,"",INDEX('إدخال وسجل المنتجات'!$C$5:$C$590,$I179))</f>
        <v/>
      </c>
      <c r="E179" s="11" t="str">
        <f>IF($I179=0,"",INDEX('إدخال وسجل المنتجات'!$D$5:$D$590,$I179))</f>
        <v/>
      </c>
      <c r="F179" s="2" t="str">
        <f>IF($I179=0,"",INDEX('إدخال وسجل المنتجات'!$G$5:$G$590,$I179))</f>
        <v/>
      </c>
      <c r="G179" s="12"/>
      <c r="H179" s="13"/>
      <c r="I179">
        <f>SUMPRODUCT(('إدخال وسجل المنتجات'!$I$5:$I$590="CNS")*('إدخال وسجل المنتجات'!$M$5:$M$590=195)*(ROW('إدخال وسجل المنتجات'!$I$5:$I$590)-4))</f>
        <v>0</v>
      </c>
      <c r="J179" s="2" t="str">
        <f>IF($I179=0,"",IF($G179="","",$G179*IF(INDEX('إدخال وسجل المنتجات'!$U$5:$U$590,$I179)=0,1,INDEX('إدخال وسجل المنتجات'!$U$5:$U$590,$I179))))</f>
        <v/>
      </c>
    </row>
    <row r="180" spans="1:10" ht="16" x14ac:dyDescent="0.15">
      <c r="A180" s="2" t="str">
        <f>IF($I180=0,"",196)</f>
        <v/>
      </c>
      <c r="B180" s="9" t="str">
        <f>IF($I180=0,"",INDEX('إدخال وسجل المنتجات'!$F$5:$F$590,$I180))</f>
        <v/>
      </c>
      <c r="C180" s="8" t="str">
        <f>IF($I180=0,"",INDEX('إدخال وسجل المنتجات'!$B$5:$B$590,$I180))</f>
        <v/>
      </c>
      <c r="D180" s="10" t="str">
        <f>IF($I180=0,"",INDEX('إدخال وسجل المنتجات'!$C$5:$C$590,$I180))</f>
        <v/>
      </c>
      <c r="E180" s="11" t="str">
        <f>IF($I180=0,"",INDEX('إدخال وسجل المنتجات'!$D$5:$D$590,$I180))</f>
        <v/>
      </c>
      <c r="F180" s="2" t="str">
        <f>IF($I180=0,"",INDEX('إدخال وسجل المنتجات'!$G$5:$G$590,$I180))</f>
        <v/>
      </c>
      <c r="G180" s="12"/>
      <c r="H180" s="13"/>
      <c r="I180">
        <f>SUMPRODUCT(('إدخال وسجل المنتجات'!$I$5:$I$590="CNS")*('إدخال وسجل المنتجات'!$M$5:$M$590=196)*(ROW('إدخال وسجل المنتجات'!$I$5:$I$590)-4))</f>
        <v>0</v>
      </c>
      <c r="J180" s="2" t="str">
        <f>IF($I180=0,"",IF($G180="","",$G180*IF(INDEX('إدخال وسجل المنتجات'!$U$5:$U$590,$I180)=0,1,INDEX('إدخال وسجل المنتجات'!$U$5:$U$590,$I180))))</f>
        <v/>
      </c>
    </row>
    <row r="181" spans="1:10" ht="16" x14ac:dyDescent="0.15">
      <c r="A181" s="2" t="str">
        <f>IF($I181=0,"",197)</f>
        <v/>
      </c>
      <c r="B181" s="9" t="str">
        <f>IF($I181=0,"",INDEX('إدخال وسجل المنتجات'!$F$5:$F$590,$I181))</f>
        <v/>
      </c>
      <c r="C181" s="8" t="str">
        <f>IF($I181=0,"",INDEX('إدخال وسجل المنتجات'!$B$5:$B$590,$I181))</f>
        <v/>
      </c>
      <c r="D181" s="10" t="str">
        <f>IF($I181=0,"",INDEX('إدخال وسجل المنتجات'!$C$5:$C$590,$I181))</f>
        <v/>
      </c>
      <c r="E181" s="11" t="str">
        <f>IF($I181=0,"",INDEX('إدخال وسجل المنتجات'!$D$5:$D$590,$I181))</f>
        <v/>
      </c>
      <c r="F181" s="2" t="str">
        <f>IF($I181=0,"",INDEX('إدخال وسجل المنتجات'!$G$5:$G$590,$I181))</f>
        <v/>
      </c>
      <c r="G181" s="12"/>
      <c r="H181" s="13"/>
      <c r="I181">
        <f>SUMPRODUCT(('إدخال وسجل المنتجات'!$I$5:$I$590="CNS")*('إدخال وسجل المنتجات'!$M$5:$M$590=197)*(ROW('إدخال وسجل المنتجات'!$I$5:$I$590)-4))</f>
        <v>0</v>
      </c>
      <c r="J181" s="2" t="str">
        <f>IF($I181=0,"",IF($G181="","",$G181*IF(INDEX('إدخال وسجل المنتجات'!$U$5:$U$590,$I181)=0,1,INDEX('إدخال وسجل المنتجات'!$U$5:$U$590,$I181))))</f>
        <v/>
      </c>
    </row>
    <row r="182" spans="1:10" ht="16" x14ac:dyDescent="0.15">
      <c r="A182" s="2" t="str">
        <f>IF($I182=0,"",198)</f>
        <v/>
      </c>
      <c r="B182" s="9" t="str">
        <f>IF($I182=0,"",INDEX('إدخال وسجل المنتجات'!$F$5:$F$590,$I182))</f>
        <v/>
      </c>
      <c r="C182" s="8" t="str">
        <f>IF($I182=0,"",INDEX('إدخال وسجل المنتجات'!$B$5:$B$590,$I182))</f>
        <v/>
      </c>
      <c r="D182" s="10" t="str">
        <f>IF($I182=0,"",INDEX('إدخال وسجل المنتجات'!$C$5:$C$590,$I182))</f>
        <v/>
      </c>
      <c r="E182" s="11" t="str">
        <f>IF($I182=0,"",INDEX('إدخال وسجل المنتجات'!$D$5:$D$590,$I182))</f>
        <v/>
      </c>
      <c r="F182" s="2" t="str">
        <f>IF($I182=0,"",INDEX('إدخال وسجل المنتجات'!$G$5:$G$590,$I182))</f>
        <v/>
      </c>
      <c r="G182" s="12"/>
      <c r="H182" s="13"/>
      <c r="I182">
        <f>SUMPRODUCT(('إدخال وسجل المنتجات'!$I$5:$I$590="CNS")*('إدخال وسجل المنتجات'!$M$5:$M$590=198)*(ROW('إدخال وسجل المنتجات'!$I$5:$I$590)-4))</f>
        <v>0</v>
      </c>
      <c r="J182" s="2" t="str">
        <f>IF($I182=0,"",IF($G182="","",$G182*IF(INDEX('إدخال وسجل المنتجات'!$U$5:$U$590,$I182)=0,1,INDEX('إدخال وسجل المنتجات'!$U$5:$U$590,$I182))))</f>
        <v/>
      </c>
    </row>
    <row r="183" spans="1:10" ht="16" x14ac:dyDescent="0.15">
      <c r="A183" s="2" t="str">
        <f>IF($I183=0,"",199)</f>
        <v/>
      </c>
      <c r="B183" s="9" t="str">
        <f>IF($I183=0,"",INDEX('إدخال وسجل المنتجات'!$F$5:$F$590,$I183))</f>
        <v/>
      </c>
      <c r="C183" s="8" t="str">
        <f>IF($I183=0,"",INDEX('إدخال وسجل المنتجات'!$B$5:$B$590,$I183))</f>
        <v/>
      </c>
      <c r="D183" s="10" t="str">
        <f>IF($I183=0,"",INDEX('إدخال وسجل المنتجات'!$C$5:$C$590,$I183))</f>
        <v/>
      </c>
      <c r="E183" s="11" t="str">
        <f>IF($I183=0,"",INDEX('إدخال وسجل المنتجات'!$D$5:$D$590,$I183))</f>
        <v/>
      </c>
      <c r="F183" s="2" t="str">
        <f>IF($I183=0,"",INDEX('إدخال وسجل المنتجات'!$G$5:$G$590,$I183))</f>
        <v/>
      </c>
      <c r="G183" s="12"/>
      <c r="H183" s="13"/>
      <c r="I183">
        <f>SUMPRODUCT(('إدخال وسجل المنتجات'!$I$5:$I$590="CNS")*('إدخال وسجل المنتجات'!$M$5:$M$590=199)*(ROW('إدخال وسجل المنتجات'!$I$5:$I$590)-4))</f>
        <v>0</v>
      </c>
      <c r="J183" s="2" t="str">
        <f>IF($I183=0,"",IF($G183="","",$G183*IF(INDEX('إدخال وسجل المنتجات'!$U$5:$U$590,$I183)=0,1,INDEX('إدخال وسجل المنتجات'!$U$5:$U$590,$I183))))</f>
        <v/>
      </c>
    </row>
    <row r="184" spans="1:10" ht="16" x14ac:dyDescent="0.15">
      <c r="A184" s="2" t="str">
        <f>IF($I184=0,"",200)</f>
        <v/>
      </c>
      <c r="B184" s="9" t="str">
        <f>IF($I184=0,"",INDEX('إدخال وسجل المنتجات'!$F$5:$F$590,$I184))</f>
        <v/>
      </c>
      <c r="C184" s="8" t="str">
        <f>IF($I184=0,"",INDEX('إدخال وسجل المنتجات'!$B$5:$B$590,$I184))</f>
        <v/>
      </c>
      <c r="D184" s="10" t="str">
        <f>IF($I184=0,"",INDEX('إدخال وسجل المنتجات'!$C$5:$C$590,$I184))</f>
        <v/>
      </c>
      <c r="E184" s="11" t="str">
        <f>IF($I184=0,"",INDEX('إدخال وسجل المنتجات'!$D$5:$D$590,$I184))</f>
        <v/>
      </c>
      <c r="F184" s="2" t="str">
        <f>IF($I184=0,"",INDEX('إدخال وسجل المنتجات'!$G$5:$G$590,$I184))</f>
        <v/>
      </c>
      <c r="G184" s="12"/>
      <c r="H184" s="13"/>
      <c r="I184">
        <f>SUMPRODUCT(('إدخال وسجل المنتجات'!$I$5:$I$590="CNS")*('إدخال وسجل المنتجات'!$M$5:$M$590=200)*(ROW('إدخال وسجل المنتجات'!$I$5:$I$590)-4))</f>
        <v>0</v>
      </c>
      <c r="J184" s="2" t="str">
        <f>IF($I184=0,"",IF($G184="","",$G184*IF(INDEX('إدخال وسجل المنتجات'!$U$5:$U$590,$I184)=0,1,INDEX('إدخال وسجل المنتجات'!$U$5:$U$590,$I184))))</f>
        <v/>
      </c>
    </row>
  </sheetData>
  <mergeCells count="3">
    <mergeCell ref="A2:E2"/>
    <mergeCell ref="F2:H2"/>
    <mergeCell ref="A1:H1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35"/>
  <sheetViews>
    <sheetView rightToLeft="1" workbookViewId="0">
      <pane ySplit="1" topLeftCell="A128" activePane="bottomLeft" state="frozen"/>
      <selection pane="bottomLeft" activeCell="A147" sqref="A147"/>
    </sheetView>
  </sheetViews>
  <sheetFormatPr baseColWidth="10" defaultColWidth="8.83203125" defaultRowHeight="14" x14ac:dyDescent="0.15"/>
  <cols>
    <col min="1" max="1" width="40" customWidth="1"/>
    <col min="2" max="2" width="34" customWidth="1"/>
  </cols>
  <sheetData>
    <row r="1" spans="1:2" ht="15" x14ac:dyDescent="0.15">
      <c r="A1" s="1" t="s">
        <v>871</v>
      </c>
      <c r="B1" s="1" t="s">
        <v>872</v>
      </c>
    </row>
    <row r="2" spans="1:2" ht="15" x14ac:dyDescent="0.15">
      <c r="A2" s="8" t="s">
        <v>20</v>
      </c>
      <c r="B2" s="14" t="s">
        <v>21</v>
      </c>
    </row>
    <row r="3" spans="1:2" ht="15" x14ac:dyDescent="0.15">
      <c r="A3" s="8" t="s">
        <v>24</v>
      </c>
      <c r="B3" s="14" t="s">
        <v>25</v>
      </c>
    </row>
    <row r="4" spans="1:2" ht="15" x14ac:dyDescent="0.15">
      <c r="A4" s="8" t="s">
        <v>29</v>
      </c>
      <c r="B4" s="14" t="s">
        <v>30</v>
      </c>
    </row>
    <row r="5" spans="1:2" ht="15" x14ac:dyDescent="0.15">
      <c r="A5" s="8" t="s">
        <v>31</v>
      </c>
      <c r="B5" s="14" t="s">
        <v>30</v>
      </c>
    </row>
    <row r="6" spans="1:2" ht="15" x14ac:dyDescent="0.15">
      <c r="A6" s="8" t="s">
        <v>32</v>
      </c>
      <c r="B6" s="14" t="s">
        <v>33</v>
      </c>
    </row>
    <row r="7" spans="1:2" ht="15" x14ac:dyDescent="0.15">
      <c r="A7" s="8" t="s">
        <v>34</v>
      </c>
      <c r="B7" s="14" t="s">
        <v>35</v>
      </c>
    </row>
    <row r="8" spans="1:2" ht="15" x14ac:dyDescent="0.15">
      <c r="A8" s="8" t="s">
        <v>36</v>
      </c>
      <c r="B8" s="14" t="s">
        <v>37</v>
      </c>
    </row>
    <row r="9" spans="1:2" ht="15" x14ac:dyDescent="0.15">
      <c r="A9" s="8" t="s">
        <v>38</v>
      </c>
      <c r="B9" s="14" t="s">
        <v>39</v>
      </c>
    </row>
    <row r="10" spans="1:2" ht="15" x14ac:dyDescent="0.15">
      <c r="A10" s="8" t="s">
        <v>40</v>
      </c>
      <c r="B10" s="14" t="s">
        <v>41</v>
      </c>
    </row>
    <row r="11" spans="1:2" ht="15" x14ac:dyDescent="0.15">
      <c r="A11" s="8" t="s">
        <v>42</v>
      </c>
      <c r="B11" s="14" t="s">
        <v>43</v>
      </c>
    </row>
    <row r="12" spans="1:2" ht="15" x14ac:dyDescent="0.15">
      <c r="A12" s="8" t="s">
        <v>44</v>
      </c>
      <c r="B12" s="14" t="s">
        <v>45</v>
      </c>
    </row>
    <row r="13" spans="1:2" ht="15" x14ac:dyDescent="0.15">
      <c r="A13" s="8" t="s">
        <v>46</v>
      </c>
      <c r="B13" s="14" t="s">
        <v>43</v>
      </c>
    </row>
    <row r="14" spans="1:2" ht="15" x14ac:dyDescent="0.15">
      <c r="A14" s="8" t="s">
        <v>47</v>
      </c>
      <c r="B14" s="14" t="s">
        <v>48</v>
      </c>
    </row>
    <row r="15" spans="1:2" ht="15" x14ac:dyDescent="0.15">
      <c r="A15" s="8" t="s">
        <v>49</v>
      </c>
      <c r="B15" s="14" t="s">
        <v>45</v>
      </c>
    </row>
    <row r="16" spans="1:2" ht="15" x14ac:dyDescent="0.15">
      <c r="A16" s="8" t="s">
        <v>50</v>
      </c>
      <c r="B16" s="14" t="s">
        <v>51</v>
      </c>
    </row>
    <row r="17" spans="1:2" ht="15" x14ac:dyDescent="0.15">
      <c r="A17" s="8" t="s">
        <v>52</v>
      </c>
      <c r="B17" s="14" t="s">
        <v>53</v>
      </c>
    </row>
    <row r="18" spans="1:2" ht="15" x14ac:dyDescent="0.15">
      <c r="A18" s="8" t="s">
        <v>54</v>
      </c>
      <c r="B18" s="14" t="s">
        <v>55</v>
      </c>
    </row>
    <row r="19" spans="1:2" ht="15" x14ac:dyDescent="0.15">
      <c r="A19" s="8" t="s">
        <v>56</v>
      </c>
      <c r="B19" s="14" t="s">
        <v>57</v>
      </c>
    </row>
    <row r="20" spans="1:2" ht="15" x14ac:dyDescent="0.15">
      <c r="A20" s="8" t="s">
        <v>58</v>
      </c>
      <c r="B20" s="14" t="s">
        <v>59</v>
      </c>
    </row>
    <row r="21" spans="1:2" ht="15" x14ac:dyDescent="0.15">
      <c r="A21" s="8" t="s">
        <v>60</v>
      </c>
      <c r="B21" s="14" t="s">
        <v>61</v>
      </c>
    </row>
    <row r="22" spans="1:2" ht="15" x14ac:dyDescent="0.15">
      <c r="A22" s="8" t="s">
        <v>62</v>
      </c>
      <c r="B22" s="14" t="s">
        <v>63</v>
      </c>
    </row>
    <row r="23" spans="1:2" ht="15" x14ac:dyDescent="0.15">
      <c r="A23" s="8" t="s">
        <v>64</v>
      </c>
      <c r="B23" s="14" t="s">
        <v>65</v>
      </c>
    </row>
    <row r="24" spans="1:2" ht="15" x14ac:dyDescent="0.15">
      <c r="A24" s="8" t="s">
        <v>66</v>
      </c>
      <c r="B24" s="14" t="s">
        <v>67</v>
      </c>
    </row>
    <row r="25" spans="1:2" ht="15" x14ac:dyDescent="0.15">
      <c r="A25" s="8" t="s">
        <v>68</v>
      </c>
      <c r="B25" s="14" t="s">
        <v>69</v>
      </c>
    </row>
    <row r="26" spans="1:2" ht="15" x14ac:dyDescent="0.15">
      <c r="A26" s="8" t="s">
        <v>70</v>
      </c>
      <c r="B26" s="14" t="s">
        <v>71</v>
      </c>
    </row>
    <row r="27" spans="1:2" ht="15" x14ac:dyDescent="0.15">
      <c r="A27" s="8" t="s">
        <v>72</v>
      </c>
      <c r="B27" s="14" t="s">
        <v>73</v>
      </c>
    </row>
    <row r="28" spans="1:2" ht="15" x14ac:dyDescent="0.15">
      <c r="A28" s="8" t="s">
        <v>74</v>
      </c>
      <c r="B28" s="14" t="s">
        <v>75</v>
      </c>
    </row>
    <row r="29" spans="1:2" ht="15" x14ac:dyDescent="0.15">
      <c r="A29" s="8" t="s">
        <v>76</v>
      </c>
      <c r="B29" s="14" t="s">
        <v>77</v>
      </c>
    </row>
    <row r="30" spans="1:2" ht="15" x14ac:dyDescent="0.15">
      <c r="A30" s="8" t="s">
        <v>78</v>
      </c>
      <c r="B30" s="14" t="s">
        <v>79</v>
      </c>
    </row>
    <row r="31" spans="1:2" ht="15" x14ac:dyDescent="0.15">
      <c r="A31" s="8" t="s">
        <v>80</v>
      </c>
      <c r="B31" s="14" t="s">
        <v>81</v>
      </c>
    </row>
    <row r="32" spans="1:2" ht="15" x14ac:dyDescent="0.15">
      <c r="A32" s="8" t="s">
        <v>82</v>
      </c>
      <c r="B32" s="14" t="s">
        <v>83</v>
      </c>
    </row>
    <row r="33" spans="1:2" ht="15" x14ac:dyDescent="0.15">
      <c r="A33" s="8" t="s">
        <v>84</v>
      </c>
      <c r="B33" s="14" t="s">
        <v>85</v>
      </c>
    </row>
    <row r="34" spans="1:2" ht="15" x14ac:dyDescent="0.15">
      <c r="A34" s="8" t="s">
        <v>86</v>
      </c>
      <c r="B34" s="14" t="s">
        <v>87</v>
      </c>
    </row>
    <row r="35" spans="1:2" ht="15" x14ac:dyDescent="0.15">
      <c r="A35" s="8" t="s">
        <v>88</v>
      </c>
      <c r="B35" s="14" t="s">
        <v>89</v>
      </c>
    </row>
    <row r="36" spans="1:2" ht="15" x14ac:dyDescent="0.15">
      <c r="A36" s="8" t="s">
        <v>90</v>
      </c>
      <c r="B36" s="14" t="s">
        <v>91</v>
      </c>
    </row>
    <row r="37" spans="1:2" ht="15" x14ac:dyDescent="0.15">
      <c r="A37" s="8" t="s">
        <v>92</v>
      </c>
      <c r="B37" s="14" t="s">
        <v>93</v>
      </c>
    </row>
    <row r="38" spans="1:2" ht="15" x14ac:dyDescent="0.15">
      <c r="A38" s="8" t="s">
        <v>94</v>
      </c>
      <c r="B38" s="14" t="s">
        <v>95</v>
      </c>
    </row>
    <row r="39" spans="1:2" ht="15" x14ac:dyDescent="0.15">
      <c r="A39" s="8" t="s">
        <v>96</v>
      </c>
      <c r="B39" s="14" t="s">
        <v>97</v>
      </c>
    </row>
    <row r="40" spans="1:2" ht="15" x14ac:dyDescent="0.15">
      <c r="A40" s="8" t="s">
        <v>98</v>
      </c>
      <c r="B40" s="14" t="s">
        <v>99</v>
      </c>
    </row>
    <row r="41" spans="1:2" ht="15" x14ac:dyDescent="0.15">
      <c r="A41" s="8" t="s">
        <v>100</v>
      </c>
      <c r="B41" s="14" t="s">
        <v>101</v>
      </c>
    </row>
    <row r="42" spans="1:2" ht="15" x14ac:dyDescent="0.15">
      <c r="A42" s="8" t="s">
        <v>102</v>
      </c>
      <c r="B42" s="14" t="s">
        <v>103</v>
      </c>
    </row>
    <row r="43" spans="1:2" ht="15" x14ac:dyDescent="0.15">
      <c r="A43" s="8" t="s">
        <v>104</v>
      </c>
      <c r="B43" s="14" t="s">
        <v>105</v>
      </c>
    </row>
    <row r="44" spans="1:2" ht="15" x14ac:dyDescent="0.15">
      <c r="A44" s="8" t="s">
        <v>106</v>
      </c>
      <c r="B44" s="14" t="s">
        <v>107</v>
      </c>
    </row>
    <row r="45" spans="1:2" ht="15" x14ac:dyDescent="0.15">
      <c r="A45" s="8" t="s">
        <v>108</v>
      </c>
      <c r="B45" s="14" t="s">
        <v>109</v>
      </c>
    </row>
    <row r="46" spans="1:2" ht="15" x14ac:dyDescent="0.15">
      <c r="A46" s="8" t="s">
        <v>110</v>
      </c>
      <c r="B46" s="14" t="s">
        <v>111</v>
      </c>
    </row>
    <row r="47" spans="1:2" ht="15" x14ac:dyDescent="0.15">
      <c r="A47" s="8" t="s">
        <v>112</v>
      </c>
      <c r="B47" s="14" t="s">
        <v>113</v>
      </c>
    </row>
    <row r="48" spans="1:2" ht="15" x14ac:dyDescent="0.15">
      <c r="A48" s="8" t="s">
        <v>114</v>
      </c>
      <c r="B48" s="14" t="s">
        <v>115</v>
      </c>
    </row>
    <row r="49" spans="1:2" ht="15" x14ac:dyDescent="0.15">
      <c r="A49" s="8" t="s">
        <v>116</v>
      </c>
      <c r="B49" s="14" t="s">
        <v>117</v>
      </c>
    </row>
    <row r="50" spans="1:2" ht="15" x14ac:dyDescent="0.15">
      <c r="A50" s="8" t="s">
        <v>118</v>
      </c>
      <c r="B50" s="14" t="s">
        <v>119</v>
      </c>
    </row>
    <row r="51" spans="1:2" ht="15" x14ac:dyDescent="0.15">
      <c r="A51" s="8" t="s">
        <v>120</v>
      </c>
      <c r="B51" s="14" t="s">
        <v>121</v>
      </c>
    </row>
    <row r="52" spans="1:2" ht="15" x14ac:dyDescent="0.15">
      <c r="A52" s="8" t="s">
        <v>122</v>
      </c>
      <c r="B52" s="14" t="s">
        <v>123</v>
      </c>
    </row>
    <row r="53" spans="1:2" ht="15" x14ac:dyDescent="0.15">
      <c r="A53" s="8" t="s">
        <v>124</v>
      </c>
      <c r="B53" s="14" t="s">
        <v>125</v>
      </c>
    </row>
    <row r="54" spans="1:2" ht="15" x14ac:dyDescent="0.15">
      <c r="A54" s="8" t="s">
        <v>126</v>
      </c>
      <c r="B54" s="14" t="s">
        <v>127</v>
      </c>
    </row>
    <row r="55" spans="1:2" ht="15" x14ac:dyDescent="0.15">
      <c r="A55" s="8" t="s">
        <v>128</v>
      </c>
      <c r="B55" s="14" t="s">
        <v>129</v>
      </c>
    </row>
    <row r="56" spans="1:2" ht="15" x14ac:dyDescent="0.15">
      <c r="A56" s="8" t="s">
        <v>130</v>
      </c>
      <c r="B56" s="14" t="s">
        <v>131</v>
      </c>
    </row>
    <row r="57" spans="1:2" ht="15" x14ac:dyDescent="0.15">
      <c r="A57" s="8" t="s">
        <v>132</v>
      </c>
      <c r="B57" s="14" t="s">
        <v>133</v>
      </c>
    </row>
    <row r="58" spans="1:2" ht="15" x14ac:dyDescent="0.15">
      <c r="A58" s="8" t="s">
        <v>134</v>
      </c>
      <c r="B58" s="14" t="s">
        <v>135</v>
      </c>
    </row>
    <row r="59" spans="1:2" ht="15" x14ac:dyDescent="0.15">
      <c r="A59" s="8" t="s">
        <v>140</v>
      </c>
      <c r="B59" s="14" t="s">
        <v>141</v>
      </c>
    </row>
    <row r="60" spans="1:2" ht="15" x14ac:dyDescent="0.15">
      <c r="A60" s="8" t="s">
        <v>142</v>
      </c>
      <c r="B60" s="14" t="s">
        <v>143</v>
      </c>
    </row>
    <row r="61" spans="1:2" ht="15" x14ac:dyDescent="0.15">
      <c r="A61" s="8" t="s">
        <v>144</v>
      </c>
      <c r="B61" s="14" t="s">
        <v>145</v>
      </c>
    </row>
    <row r="62" spans="1:2" ht="15" x14ac:dyDescent="0.15">
      <c r="A62" s="8" t="s">
        <v>146</v>
      </c>
      <c r="B62" s="14" t="s">
        <v>147</v>
      </c>
    </row>
    <row r="63" spans="1:2" ht="15" x14ac:dyDescent="0.15">
      <c r="A63" s="8" t="s">
        <v>148</v>
      </c>
      <c r="B63" s="14" t="s">
        <v>149</v>
      </c>
    </row>
    <row r="64" spans="1:2" ht="15" x14ac:dyDescent="0.15">
      <c r="A64" s="8" t="s">
        <v>150</v>
      </c>
      <c r="B64" s="14" t="s">
        <v>151</v>
      </c>
    </row>
    <row r="65" spans="1:2" ht="15" x14ac:dyDescent="0.15">
      <c r="A65" s="8" t="s">
        <v>152</v>
      </c>
      <c r="B65" s="14" t="s">
        <v>153</v>
      </c>
    </row>
    <row r="66" spans="1:2" ht="15" x14ac:dyDescent="0.15">
      <c r="A66" s="8" t="s">
        <v>154</v>
      </c>
      <c r="B66" s="14" t="s">
        <v>155</v>
      </c>
    </row>
    <row r="67" spans="1:2" ht="15" x14ac:dyDescent="0.15">
      <c r="A67" s="8" t="s">
        <v>156</v>
      </c>
      <c r="B67" s="14" t="s">
        <v>157</v>
      </c>
    </row>
    <row r="68" spans="1:2" ht="15" x14ac:dyDescent="0.15">
      <c r="A68" s="8" t="s">
        <v>158</v>
      </c>
      <c r="B68" s="14" t="s">
        <v>159</v>
      </c>
    </row>
    <row r="69" spans="1:2" ht="15" x14ac:dyDescent="0.15">
      <c r="A69" s="8" t="s">
        <v>160</v>
      </c>
      <c r="B69" s="14" t="s">
        <v>161</v>
      </c>
    </row>
    <row r="70" spans="1:2" ht="15" x14ac:dyDescent="0.15">
      <c r="A70" s="8" t="s">
        <v>162</v>
      </c>
      <c r="B70" s="14" t="s">
        <v>163</v>
      </c>
    </row>
    <row r="71" spans="1:2" ht="15" x14ac:dyDescent="0.15">
      <c r="A71" s="8" t="s">
        <v>164</v>
      </c>
      <c r="B71" s="14" t="s">
        <v>165</v>
      </c>
    </row>
    <row r="72" spans="1:2" ht="15" x14ac:dyDescent="0.15">
      <c r="A72" s="8" t="s">
        <v>166</v>
      </c>
      <c r="B72" s="14" t="s">
        <v>167</v>
      </c>
    </row>
    <row r="73" spans="1:2" ht="15" x14ac:dyDescent="0.15">
      <c r="A73" s="8" t="s">
        <v>168</v>
      </c>
      <c r="B73" s="14" t="s">
        <v>169</v>
      </c>
    </row>
    <row r="74" spans="1:2" ht="15" x14ac:dyDescent="0.15">
      <c r="A74" s="8" t="s">
        <v>170</v>
      </c>
      <c r="B74" s="14" t="s">
        <v>171</v>
      </c>
    </row>
    <row r="75" spans="1:2" ht="15" x14ac:dyDescent="0.15">
      <c r="A75" s="8" t="s">
        <v>172</v>
      </c>
      <c r="B75" s="14" t="s">
        <v>173</v>
      </c>
    </row>
    <row r="76" spans="1:2" ht="15" x14ac:dyDescent="0.15">
      <c r="A76" s="8" t="s">
        <v>174</v>
      </c>
      <c r="B76" s="14" t="s">
        <v>175</v>
      </c>
    </row>
    <row r="77" spans="1:2" ht="15" x14ac:dyDescent="0.15">
      <c r="A77" s="8" t="s">
        <v>176</v>
      </c>
      <c r="B77" s="14" t="s">
        <v>177</v>
      </c>
    </row>
    <row r="78" spans="1:2" ht="15" x14ac:dyDescent="0.15">
      <c r="A78" s="8" t="s">
        <v>178</v>
      </c>
      <c r="B78" s="14" t="s">
        <v>179</v>
      </c>
    </row>
    <row r="79" spans="1:2" ht="15" x14ac:dyDescent="0.15">
      <c r="A79" s="8" t="s">
        <v>180</v>
      </c>
      <c r="B79" s="14" t="s">
        <v>181</v>
      </c>
    </row>
    <row r="80" spans="1:2" ht="15" x14ac:dyDescent="0.15">
      <c r="A80" s="8" t="s">
        <v>182</v>
      </c>
      <c r="B80" s="14" t="s">
        <v>183</v>
      </c>
    </row>
    <row r="81" spans="1:2" ht="15" x14ac:dyDescent="0.15">
      <c r="A81" s="8" t="s">
        <v>184</v>
      </c>
      <c r="B81" s="14" t="s">
        <v>185</v>
      </c>
    </row>
    <row r="82" spans="1:2" ht="15" x14ac:dyDescent="0.15">
      <c r="A82" s="8" t="s">
        <v>186</v>
      </c>
      <c r="B82" s="14" t="s">
        <v>187</v>
      </c>
    </row>
    <row r="83" spans="1:2" ht="15" x14ac:dyDescent="0.15">
      <c r="A83" s="8" t="s">
        <v>188</v>
      </c>
      <c r="B83" s="14" t="s">
        <v>189</v>
      </c>
    </row>
    <row r="84" spans="1:2" ht="15" x14ac:dyDescent="0.15">
      <c r="A84" s="8" t="s">
        <v>190</v>
      </c>
      <c r="B84" s="14" t="s">
        <v>191</v>
      </c>
    </row>
    <row r="85" spans="1:2" ht="15" x14ac:dyDescent="0.15">
      <c r="A85" s="8" t="s">
        <v>192</v>
      </c>
      <c r="B85" s="14" t="s">
        <v>193</v>
      </c>
    </row>
    <row r="86" spans="1:2" ht="15" x14ac:dyDescent="0.15">
      <c r="A86" s="8" t="s">
        <v>194</v>
      </c>
      <c r="B86" s="14" t="s">
        <v>195</v>
      </c>
    </row>
    <row r="87" spans="1:2" ht="15" x14ac:dyDescent="0.15">
      <c r="A87" s="8" t="s">
        <v>196</v>
      </c>
      <c r="B87" s="14" t="s">
        <v>197</v>
      </c>
    </row>
    <row r="88" spans="1:2" ht="15" x14ac:dyDescent="0.15">
      <c r="A88" s="8" t="s">
        <v>198</v>
      </c>
      <c r="B88" s="14" t="s">
        <v>199</v>
      </c>
    </row>
    <row r="89" spans="1:2" ht="15" x14ac:dyDescent="0.15">
      <c r="A89" s="8" t="s">
        <v>200</v>
      </c>
      <c r="B89" s="14" t="s">
        <v>201</v>
      </c>
    </row>
    <row r="90" spans="1:2" ht="15" x14ac:dyDescent="0.15">
      <c r="A90" s="8" t="s">
        <v>202</v>
      </c>
      <c r="B90" s="14" t="s">
        <v>203</v>
      </c>
    </row>
    <row r="91" spans="1:2" ht="15" x14ac:dyDescent="0.15">
      <c r="A91" s="8" t="s">
        <v>204</v>
      </c>
      <c r="B91" s="14" t="s">
        <v>205</v>
      </c>
    </row>
    <row r="92" spans="1:2" ht="15" x14ac:dyDescent="0.15">
      <c r="A92" s="8" t="s">
        <v>206</v>
      </c>
      <c r="B92" s="14" t="s">
        <v>205</v>
      </c>
    </row>
    <row r="93" spans="1:2" ht="15" x14ac:dyDescent="0.15">
      <c r="A93" s="8" t="s">
        <v>207</v>
      </c>
      <c r="B93" s="14" t="s">
        <v>205</v>
      </c>
    </row>
    <row r="94" spans="1:2" ht="15" x14ac:dyDescent="0.15">
      <c r="A94" s="8" t="s">
        <v>208</v>
      </c>
      <c r="B94" s="14" t="s">
        <v>209</v>
      </c>
    </row>
    <row r="95" spans="1:2" ht="15" x14ac:dyDescent="0.15">
      <c r="A95" s="8" t="s">
        <v>210</v>
      </c>
      <c r="B95" s="14" t="s">
        <v>211</v>
      </c>
    </row>
    <row r="96" spans="1:2" ht="15" x14ac:dyDescent="0.15">
      <c r="A96" s="8" t="s">
        <v>212</v>
      </c>
      <c r="B96" s="14" t="s">
        <v>213</v>
      </c>
    </row>
    <row r="97" spans="1:2" ht="15" x14ac:dyDescent="0.15">
      <c r="A97" s="8" t="s">
        <v>214</v>
      </c>
      <c r="B97" s="14" t="s">
        <v>215</v>
      </c>
    </row>
    <row r="98" spans="1:2" ht="15" x14ac:dyDescent="0.15">
      <c r="A98" s="8" t="s">
        <v>216</v>
      </c>
      <c r="B98" s="14" t="s">
        <v>217</v>
      </c>
    </row>
    <row r="99" spans="1:2" ht="15" x14ac:dyDescent="0.15">
      <c r="A99" s="8" t="s">
        <v>220</v>
      </c>
      <c r="B99" s="14" t="s">
        <v>221</v>
      </c>
    </row>
    <row r="100" spans="1:2" ht="15" x14ac:dyDescent="0.15">
      <c r="A100" s="8" t="s">
        <v>222</v>
      </c>
      <c r="B100" s="14" t="s">
        <v>223</v>
      </c>
    </row>
    <row r="101" spans="1:2" ht="15" x14ac:dyDescent="0.15">
      <c r="A101" s="8" t="s">
        <v>224</v>
      </c>
      <c r="B101" s="14" t="s">
        <v>225</v>
      </c>
    </row>
    <row r="102" spans="1:2" ht="15" x14ac:dyDescent="0.15">
      <c r="A102" s="8" t="s">
        <v>226</v>
      </c>
      <c r="B102" s="14" t="s">
        <v>227</v>
      </c>
    </row>
    <row r="103" spans="1:2" ht="15" x14ac:dyDescent="0.15">
      <c r="A103" s="8" t="s">
        <v>228</v>
      </c>
      <c r="B103" s="14" t="s">
        <v>229</v>
      </c>
    </row>
    <row r="104" spans="1:2" ht="15" x14ac:dyDescent="0.15">
      <c r="A104" s="8" t="s">
        <v>230</v>
      </c>
      <c r="B104" s="14" t="s">
        <v>231</v>
      </c>
    </row>
    <row r="105" spans="1:2" ht="15" x14ac:dyDescent="0.15">
      <c r="A105" s="8" t="s">
        <v>232</v>
      </c>
      <c r="B105" s="14" t="s">
        <v>233</v>
      </c>
    </row>
    <row r="106" spans="1:2" ht="15" x14ac:dyDescent="0.15">
      <c r="A106" s="8" t="s">
        <v>234</v>
      </c>
      <c r="B106" s="14" t="s">
        <v>235</v>
      </c>
    </row>
    <row r="107" spans="1:2" ht="15" x14ac:dyDescent="0.15">
      <c r="A107" s="8" t="s">
        <v>236</v>
      </c>
      <c r="B107" s="14" t="s">
        <v>237</v>
      </c>
    </row>
    <row r="108" spans="1:2" ht="15" x14ac:dyDescent="0.15">
      <c r="A108" s="8" t="s">
        <v>238</v>
      </c>
      <c r="B108" s="14" t="s">
        <v>239</v>
      </c>
    </row>
    <row r="109" spans="1:2" ht="15" x14ac:dyDescent="0.15">
      <c r="A109" s="8" t="s">
        <v>240</v>
      </c>
      <c r="B109" s="14" t="s">
        <v>241</v>
      </c>
    </row>
    <row r="110" spans="1:2" ht="15" x14ac:dyDescent="0.15">
      <c r="A110" s="8" t="s">
        <v>242</v>
      </c>
      <c r="B110" s="14" t="s">
        <v>243</v>
      </c>
    </row>
    <row r="111" spans="1:2" ht="15" x14ac:dyDescent="0.15">
      <c r="A111" s="8" t="s">
        <v>244</v>
      </c>
      <c r="B111" s="14" t="s">
        <v>245</v>
      </c>
    </row>
    <row r="112" spans="1:2" ht="15" x14ac:dyDescent="0.15">
      <c r="A112" s="8" t="s">
        <v>246</v>
      </c>
      <c r="B112" s="14" t="s">
        <v>247</v>
      </c>
    </row>
    <row r="113" spans="1:2" ht="15" x14ac:dyDescent="0.15">
      <c r="A113" s="8" t="s">
        <v>248</v>
      </c>
      <c r="B113" s="14" t="s">
        <v>249</v>
      </c>
    </row>
    <row r="114" spans="1:2" ht="15" x14ac:dyDescent="0.15">
      <c r="A114" s="8" t="s">
        <v>250</v>
      </c>
      <c r="B114" s="14" t="s">
        <v>251</v>
      </c>
    </row>
    <row r="115" spans="1:2" ht="15" x14ac:dyDescent="0.15">
      <c r="A115" s="8" t="s">
        <v>252</v>
      </c>
      <c r="B115" s="14" t="s">
        <v>253</v>
      </c>
    </row>
    <row r="116" spans="1:2" ht="15" x14ac:dyDescent="0.15">
      <c r="A116" s="8" t="s">
        <v>254</v>
      </c>
      <c r="B116" s="14" t="s">
        <v>255</v>
      </c>
    </row>
    <row r="117" spans="1:2" ht="15" x14ac:dyDescent="0.15">
      <c r="A117" s="8" t="s">
        <v>256</v>
      </c>
      <c r="B117" s="14" t="s">
        <v>257</v>
      </c>
    </row>
    <row r="118" spans="1:2" ht="15" x14ac:dyDescent="0.15">
      <c r="A118" s="8" t="s">
        <v>258</v>
      </c>
      <c r="B118" s="14" t="s">
        <v>259</v>
      </c>
    </row>
    <row r="119" spans="1:2" ht="15" x14ac:dyDescent="0.15">
      <c r="A119" s="8" t="s">
        <v>260</v>
      </c>
      <c r="B119" s="14" t="s">
        <v>259</v>
      </c>
    </row>
    <row r="120" spans="1:2" ht="15" x14ac:dyDescent="0.15">
      <c r="A120" s="8" t="s">
        <v>261</v>
      </c>
      <c r="B120" s="14" t="s">
        <v>262</v>
      </c>
    </row>
    <row r="121" spans="1:2" ht="15" x14ac:dyDescent="0.15">
      <c r="A121" s="8" t="s">
        <v>263</v>
      </c>
      <c r="B121" s="14" t="s">
        <v>264</v>
      </c>
    </row>
    <row r="122" spans="1:2" ht="15" x14ac:dyDescent="0.15">
      <c r="A122" s="8" t="s">
        <v>267</v>
      </c>
      <c r="B122" s="14" t="s">
        <v>268</v>
      </c>
    </row>
    <row r="123" spans="1:2" ht="15" x14ac:dyDescent="0.15">
      <c r="A123" s="8" t="s">
        <v>269</v>
      </c>
      <c r="B123" s="14" t="s">
        <v>270</v>
      </c>
    </row>
    <row r="124" spans="1:2" ht="15" x14ac:dyDescent="0.15">
      <c r="A124" s="8" t="s">
        <v>273</v>
      </c>
      <c r="B124" s="14" t="s">
        <v>274</v>
      </c>
    </row>
    <row r="125" spans="1:2" ht="15" x14ac:dyDescent="0.15">
      <c r="A125" s="8" t="s">
        <v>275</v>
      </c>
      <c r="B125" s="14" t="s">
        <v>276</v>
      </c>
    </row>
    <row r="126" spans="1:2" ht="15" x14ac:dyDescent="0.15">
      <c r="A126" s="8" t="s">
        <v>277</v>
      </c>
      <c r="B126" s="14" t="s">
        <v>278</v>
      </c>
    </row>
    <row r="127" spans="1:2" ht="15" x14ac:dyDescent="0.15">
      <c r="A127" s="8" t="s">
        <v>279</v>
      </c>
      <c r="B127" s="14" t="s">
        <v>280</v>
      </c>
    </row>
    <row r="128" spans="1:2" ht="15" x14ac:dyDescent="0.15">
      <c r="A128" s="8" t="s">
        <v>281</v>
      </c>
      <c r="B128" s="14" t="s">
        <v>282</v>
      </c>
    </row>
    <row r="129" spans="1:2" ht="15" x14ac:dyDescent="0.15">
      <c r="A129" s="8" t="s">
        <v>283</v>
      </c>
      <c r="B129" s="14" t="s">
        <v>284</v>
      </c>
    </row>
    <row r="130" spans="1:2" ht="15" x14ac:dyDescent="0.15">
      <c r="A130" s="8" t="s">
        <v>285</v>
      </c>
      <c r="B130" s="14" t="s">
        <v>286</v>
      </c>
    </row>
    <row r="131" spans="1:2" ht="15" x14ac:dyDescent="0.15">
      <c r="A131" s="8" t="s">
        <v>287</v>
      </c>
      <c r="B131" s="14" t="s">
        <v>288</v>
      </c>
    </row>
    <row r="132" spans="1:2" ht="15" x14ac:dyDescent="0.15">
      <c r="A132" s="8" t="s">
        <v>289</v>
      </c>
      <c r="B132" s="14" t="s">
        <v>290</v>
      </c>
    </row>
    <row r="133" spans="1:2" ht="15" x14ac:dyDescent="0.15">
      <c r="A133" s="8" t="s">
        <v>291</v>
      </c>
      <c r="B133" s="14" t="s">
        <v>292</v>
      </c>
    </row>
    <row r="134" spans="1:2" ht="15" x14ac:dyDescent="0.15">
      <c r="A134" s="8" t="s">
        <v>293</v>
      </c>
      <c r="B134" s="14" t="s">
        <v>294</v>
      </c>
    </row>
    <row r="135" spans="1:2" ht="15" x14ac:dyDescent="0.15">
      <c r="A135" s="8" t="s">
        <v>295</v>
      </c>
      <c r="B135" s="14" t="s">
        <v>296</v>
      </c>
    </row>
    <row r="136" spans="1:2" ht="15" x14ac:dyDescent="0.15">
      <c r="A136" s="8" t="s">
        <v>297</v>
      </c>
      <c r="B136" s="14" t="s">
        <v>298</v>
      </c>
    </row>
    <row r="137" spans="1:2" ht="15" x14ac:dyDescent="0.15">
      <c r="A137" s="8" t="s">
        <v>299</v>
      </c>
      <c r="B137" s="14" t="s">
        <v>300</v>
      </c>
    </row>
    <row r="138" spans="1:2" ht="15" x14ac:dyDescent="0.15">
      <c r="A138" s="8" t="s">
        <v>301</v>
      </c>
      <c r="B138" s="14" t="s">
        <v>302</v>
      </c>
    </row>
    <row r="139" spans="1:2" ht="15" x14ac:dyDescent="0.15">
      <c r="A139" s="8" t="s">
        <v>303</v>
      </c>
      <c r="B139" s="14" t="s">
        <v>304</v>
      </c>
    </row>
    <row r="140" spans="1:2" ht="15" x14ac:dyDescent="0.15">
      <c r="A140" s="8" t="s">
        <v>305</v>
      </c>
      <c r="B140" s="14" t="s">
        <v>306</v>
      </c>
    </row>
    <row r="141" spans="1:2" ht="15" x14ac:dyDescent="0.15">
      <c r="A141" s="8" t="s">
        <v>307</v>
      </c>
      <c r="B141" s="14" t="s">
        <v>306</v>
      </c>
    </row>
    <row r="142" spans="1:2" ht="15" x14ac:dyDescent="0.15">
      <c r="A142" s="8" t="s">
        <v>308</v>
      </c>
      <c r="B142" s="14" t="s">
        <v>306</v>
      </c>
    </row>
    <row r="143" spans="1:2" ht="15" x14ac:dyDescent="0.15">
      <c r="A143" s="8" t="s">
        <v>309</v>
      </c>
      <c r="B143" s="14" t="s">
        <v>310</v>
      </c>
    </row>
    <row r="144" spans="1:2" ht="15" x14ac:dyDescent="0.15">
      <c r="A144" s="8" t="s">
        <v>311</v>
      </c>
      <c r="B144" s="14" t="s">
        <v>312</v>
      </c>
    </row>
    <row r="145" spans="1:2" ht="15" x14ac:dyDescent="0.15">
      <c r="A145" s="8" t="s">
        <v>313</v>
      </c>
      <c r="B145" s="14" t="s">
        <v>314</v>
      </c>
    </row>
    <row r="146" spans="1:2" ht="15" x14ac:dyDescent="0.15">
      <c r="A146" s="8" t="s">
        <v>317</v>
      </c>
      <c r="B146" s="14" t="s">
        <v>318</v>
      </c>
    </row>
    <row r="147" spans="1:2" ht="15" x14ac:dyDescent="0.15">
      <c r="A147" s="8" t="s">
        <v>319</v>
      </c>
      <c r="B147" s="14" t="s">
        <v>318</v>
      </c>
    </row>
    <row r="148" spans="1:2" ht="15" x14ac:dyDescent="0.15">
      <c r="A148" s="8" t="s">
        <v>320</v>
      </c>
      <c r="B148" s="14" t="s">
        <v>321</v>
      </c>
    </row>
    <row r="149" spans="1:2" ht="15" x14ac:dyDescent="0.15">
      <c r="A149" s="8" t="s">
        <v>322</v>
      </c>
      <c r="B149" s="14" t="s">
        <v>323</v>
      </c>
    </row>
    <row r="150" spans="1:2" ht="15" x14ac:dyDescent="0.15">
      <c r="A150" s="8" t="s">
        <v>324</v>
      </c>
      <c r="B150" s="14" t="s">
        <v>325</v>
      </c>
    </row>
    <row r="151" spans="1:2" ht="15" x14ac:dyDescent="0.15">
      <c r="A151" s="8" t="s">
        <v>326</v>
      </c>
      <c r="B151" s="14" t="s">
        <v>327</v>
      </c>
    </row>
    <row r="152" spans="1:2" ht="15" x14ac:dyDescent="0.15">
      <c r="A152" s="8" t="s">
        <v>328</v>
      </c>
      <c r="B152" s="14" t="s">
        <v>329</v>
      </c>
    </row>
    <row r="153" spans="1:2" ht="15" x14ac:dyDescent="0.15">
      <c r="A153" s="8" t="s">
        <v>330</v>
      </c>
      <c r="B153" s="14" t="s">
        <v>331</v>
      </c>
    </row>
    <row r="154" spans="1:2" ht="15" x14ac:dyDescent="0.15">
      <c r="A154" s="8" t="s">
        <v>332</v>
      </c>
      <c r="B154" s="14" t="s">
        <v>333</v>
      </c>
    </row>
    <row r="155" spans="1:2" ht="15" x14ac:dyDescent="0.15">
      <c r="A155" s="8" t="s">
        <v>334</v>
      </c>
      <c r="B155" s="14" t="s">
        <v>335</v>
      </c>
    </row>
    <row r="156" spans="1:2" ht="15" x14ac:dyDescent="0.15">
      <c r="A156" s="8" t="s">
        <v>336</v>
      </c>
      <c r="B156" s="14" t="s">
        <v>337</v>
      </c>
    </row>
    <row r="157" spans="1:2" ht="15" x14ac:dyDescent="0.15">
      <c r="A157" s="8" t="s">
        <v>338</v>
      </c>
      <c r="B157" s="14" t="s">
        <v>339</v>
      </c>
    </row>
    <row r="158" spans="1:2" ht="15" x14ac:dyDescent="0.15">
      <c r="A158" s="8" t="s">
        <v>340</v>
      </c>
      <c r="B158" s="14" t="s">
        <v>341</v>
      </c>
    </row>
    <row r="159" spans="1:2" ht="15" x14ac:dyDescent="0.15">
      <c r="A159" s="8" t="s">
        <v>342</v>
      </c>
      <c r="B159" s="14" t="s">
        <v>343</v>
      </c>
    </row>
    <row r="160" spans="1:2" ht="15" x14ac:dyDescent="0.15">
      <c r="A160" s="8" t="s">
        <v>345</v>
      </c>
      <c r="B160" s="14" t="s">
        <v>346</v>
      </c>
    </row>
    <row r="161" spans="1:2" ht="15" x14ac:dyDescent="0.15">
      <c r="A161" s="8" t="s">
        <v>347</v>
      </c>
      <c r="B161" s="14" t="s">
        <v>348</v>
      </c>
    </row>
    <row r="162" spans="1:2" ht="15" x14ac:dyDescent="0.15">
      <c r="A162" s="8" t="s">
        <v>349</v>
      </c>
      <c r="B162" s="14" t="s">
        <v>350</v>
      </c>
    </row>
    <row r="163" spans="1:2" ht="15" x14ac:dyDescent="0.15">
      <c r="A163" s="8" t="s">
        <v>353</v>
      </c>
      <c r="B163" s="14" t="s">
        <v>354</v>
      </c>
    </row>
    <row r="164" spans="1:2" ht="15" x14ac:dyDescent="0.15">
      <c r="A164" s="8" t="s">
        <v>356</v>
      </c>
      <c r="B164" s="14" t="s">
        <v>354</v>
      </c>
    </row>
    <row r="165" spans="1:2" ht="15" x14ac:dyDescent="0.15">
      <c r="A165" s="8" t="s">
        <v>357</v>
      </c>
      <c r="B165" s="14" t="s">
        <v>358</v>
      </c>
    </row>
    <row r="166" spans="1:2" ht="15" x14ac:dyDescent="0.15">
      <c r="A166" s="8" t="s">
        <v>361</v>
      </c>
      <c r="B166" s="14" t="s">
        <v>362</v>
      </c>
    </row>
    <row r="167" spans="1:2" ht="15" x14ac:dyDescent="0.15">
      <c r="A167" s="8" t="s">
        <v>363</v>
      </c>
      <c r="B167" s="14" t="s">
        <v>364</v>
      </c>
    </row>
    <row r="168" spans="1:2" ht="15" x14ac:dyDescent="0.15">
      <c r="A168" s="8" t="s">
        <v>365</v>
      </c>
      <c r="B168" s="14" t="s">
        <v>366</v>
      </c>
    </row>
    <row r="169" spans="1:2" ht="15" x14ac:dyDescent="0.15">
      <c r="A169" s="8" t="s">
        <v>367</v>
      </c>
      <c r="B169" s="14" t="s">
        <v>368</v>
      </c>
    </row>
    <row r="170" spans="1:2" ht="15" x14ac:dyDescent="0.15">
      <c r="A170" s="8" t="s">
        <v>369</v>
      </c>
      <c r="B170" s="14" t="s">
        <v>368</v>
      </c>
    </row>
    <row r="171" spans="1:2" ht="15" x14ac:dyDescent="0.15">
      <c r="A171" s="8" t="s">
        <v>370</v>
      </c>
      <c r="B171" s="14" t="s">
        <v>371</v>
      </c>
    </row>
    <row r="172" spans="1:2" ht="15" x14ac:dyDescent="0.15">
      <c r="A172" s="8" t="s">
        <v>372</v>
      </c>
      <c r="B172" s="14" t="s">
        <v>373</v>
      </c>
    </row>
    <row r="173" spans="1:2" ht="15" x14ac:dyDescent="0.15">
      <c r="A173" s="8" t="s">
        <v>374</v>
      </c>
      <c r="B173" s="14" t="s">
        <v>375</v>
      </c>
    </row>
    <row r="174" spans="1:2" ht="15" x14ac:dyDescent="0.15">
      <c r="A174" s="8" t="s">
        <v>376</v>
      </c>
      <c r="B174" s="14" t="s">
        <v>377</v>
      </c>
    </row>
    <row r="175" spans="1:2" ht="15" x14ac:dyDescent="0.15">
      <c r="A175" s="8" t="s">
        <v>378</v>
      </c>
      <c r="B175" s="14" t="s">
        <v>379</v>
      </c>
    </row>
    <row r="176" spans="1:2" ht="15" x14ac:dyDescent="0.15">
      <c r="A176" s="8" t="s">
        <v>380</v>
      </c>
      <c r="B176" s="14" t="s">
        <v>381</v>
      </c>
    </row>
    <row r="177" spans="1:2" ht="15" x14ac:dyDescent="0.15">
      <c r="A177" s="8" t="s">
        <v>382</v>
      </c>
      <c r="B177" s="14" t="s">
        <v>383</v>
      </c>
    </row>
    <row r="178" spans="1:2" ht="15" x14ac:dyDescent="0.15">
      <c r="A178" s="8" t="s">
        <v>384</v>
      </c>
      <c r="B178" s="14" t="s">
        <v>385</v>
      </c>
    </row>
    <row r="179" spans="1:2" ht="15" x14ac:dyDescent="0.15">
      <c r="A179" s="8" t="s">
        <v>386</v>
      </c>
      <c r="B179" s="14" t="s">
        <v>387</v>
      </c>
    </row>
    <row r="180" spans="1:2" ht="15" x14ac:dyDescent="0.15">
      <c r="A180" s="8" t="s">
        <v>388</v>
      </c>
      <c r="B180" s="14" t="s">
        <v>389</v>
      </c>
    </row>
    <row r="181" spans="1:2" ht="15" x14ac:dyDescent="0.15">
      <c r="A181" s="8" t="s">
        <v>390</v>
      </c>
      <c r="B181" s="14" t="s">
        <v>391</v>
      </c>
    </row>
    <row r="182" spans="1:2" ht="15" x14ac:dyDescent="0.15">
      <c r="A182" s="8" t="s">
        <v>392</v>
      </c>
      <c r="B182" s="14" t="s">
        <v>393</v>
      </c>
    </row>
    <row r="183" spans="1:2" ht="15" x14ac:dyDescent="0.15">
      <c r="A183" s="8" t="s">
        <v>394</v>
      </c>
      <c r="B183" s="14" t="s">
        <v>395</v>
      </c>
    </row>
    <row r="184" spans="1:2" ht="15" x14ac:dyDescent="0.15">
      <c r="A184" s="8" t="s">
        <v>396</v>
      </c>
      <c r="B184" s="14" t="s">
        <v>397</v>
      </c>
    </row>
    <row r="185" spans="1:2" ht="15" x14ac:dyDescent="0.15">
      <c r="A185" s="8" t="s">
        <v>398</v>
      </c>
      <c r="B185" s="14" t="s">
        <v>399</v>
      </c>
    </row>
    <row r="186" spans="1:2" ht="15" x14ac:dyDescent="0.15">
      <c r="A186" s="8" t="s">
        <v>400</v>
      </c>
      <c r="B186" s="14" t="s">
        <v>401</v>
      </c>
    </row>
    <row r="187" spans="1:2" ht="15" x14ac:dyDescent="0.15">
      <c r="A187" s="8" t="s">
        <v>402</v>
      </c>
      <c r="B187" s="14" t="s">
        <v>403</v>
      </c>
    </row>
    <row r="188" spans="1:2" ht="15" x14ac:dyDescent="0.15">
      <c r="A188" s="8" t="s">
        <v>404</v>
      </c>
      <c r="B188" s="14" t="s">
        <v>405</v>
      </c>
    </row>
    <row r="189" spans="1:2" ht="15" x14ac:dyDescent="0.15">
      <c r="A189" s="8" t="s">
        <v>406</v>
      </c>
      <c r="B189" s="14" t="s">
        <v>407</v>
      </c>
    </row>
    <row r="190" spans="1:2" ht="15" x14ac:dyDescent="0.15">
      <c r="A190" s="8" t="s">
        <v>408</v>
      </c>
      <c r="B190" s="14" t="s">
        <v>409</v>
      </c>
    </row>
    <row r="191" spans="1:2" ht="15" x14ac:dyDescent="0.15">
      <c r="A191" s="8" t="s">
        <v>410</v>
      </c>
      <c r="B191" s="14" t="s">
        <v>411</v>
      </c>
    </row>
    <row r="192" spans="1:2" ht="15" x14ac:dyDescent="0.15">
      <c r="A192" s="8" t="s">
        <v>412</v>
      </c>
      <c r="B192" s="14" t="s">
        <v>413</v>
      </c>
    </row>
    <row r="193" spans="1:2" ht="15" x14ac:dyDescent="0.15">
      <c r="A193" s="8" t="s">
        <v>414</v>
      </c>
      <c r="B193" s="14" t="s">
        <v>415</v>
      </c>
    </row>
    <row r="194" spans="1:2" ht="15" x14ac:dyDescent="0.15">
      <c r="A194" s="8" t="s">
        <v>416</v>
      </c>
      <c r="B194" s="14" t="s">
        <v>417</v>
      </c>
    </row>
    <row r="195" spans="1:2" ht="15" x14ac:dyDescent="0.15">
      <c r="A195" s="8" t="s">
        <v>418</v>
      </c>
      <c r="B195" s="14" t="s">
        <v>419</v>
      </c>
    </row>
    <row r="196" spans="1:2" ht="15" x14ac:dyDescent="0.15">
      <c r="A196" s="8" t="s">
        <v>420</v>
      </c>
      <c r="B196" s="14" t="s">
        <v>421</v>
      </c>
    </row>
    <row r="197" spans="1:2" ht="15" x14ac:dyDescent="0.15">
      <c r="A197" s="8" t="s">
        <v>422</v>
      </c>
      <c r="B197" s="14" t="s">
        <v>423</v>
      </c>
    </row>
    <row r="198" spans="1:2" ht="15" x14ac:dyDescent="0.15">
      <c r="A198" s="8" t="s">
        <v>424</v>
      </c>
      <c r="B198" s="14" t="s">
        <v>425</v>
      </c>
    </row>
    <row r="199" spans="1:2" ht="15" x14ac:dyDescent="0.15">
      <c r="A199" s="8" t="s">
        <v>426</v>
      </c>
      <c r="B199" s="14" t="s">
        <v>425</v>
      </c>
    </row>
    <row r="200" spans="1:2" ht="15" x14ac:dyDescent="0.15">
      <c r="A200" s="8" t="s">
        <v>427</v>
      </c>
      <c r="B200" s="14" t="s">
        <v>428</v>
      </c>
    </row>
    <row r="201" spans="1:2" ht="15" x14ac:dyDescent="0.15">
      <c r="A201" s="8" t="s">
        <v>429</v>
      </c>
      <c r="B201" s="14" t="s">
        <v>428</v>
      </c>
    </row>
    <row r="202" spans="1:2" ht="15" x14ac:dyDescent="0.15">
      <c r="A202" s="8" t="s">
        <v>430</v>
      </c>
      <c r="B202" s="14" t="s">
        <v>431</v>
      </c>
    </row>
    <row r="203" spans="1:2" ht="15" x14ac:dyDescent="0.15">
      <c r="A203" s="8" t="s">
        <v>432</v>
      </c>
      <c r="B203" s="14" t="s">
        <v>433</v>
      </c>
    </row>
    <row r="204" spans="1:2" ht="15" x14ac:dyDescent="0.15">
      <c r="A204" s="8" t="s">
        <v>434</v>
      </c>
      <c r="B204" s="14" t="s">
        <v>435</v>
      </c>
    </row>
    <row r="205" spans="1:2" ht="15" x14ac:dyDescent="0.15">
      <c r="A205" s="8" t="s">
        <v>436</v>
      </c>
      <c r="B205" s="14" t="s">
        <v>437</v>
      </c>
    </row>
    <row r="206" spans="1:2" ht="15" x14ac:dyDescent="0.15">
      <c r="A206" s="8" t="s">
        <v>438</v>
      </c>
      <c r="B206" s="14" t="s">
        <v>439</v>
      </c>
    </row>
    <row r="207" spans="1:2" ht="15" x14ac:dyDescent="0.15">
      <c r="A207" s="8" t="s">
        <v>440</v>
      </c>
      <c r="B207" s="14" t="s">
        <v>439</v>
      </c>
    </row>
    <row r="208" spans="1:2" ht="15" x14ac:dyDescent="0.15">
      <c r="A208" s="8" t="s">
        <v>441</v>
      </c>
      <c r="B208" s="14" t="s">
        <v>442</v>
      </c>
    </row>
    <row r="209" spans="1:2" ht="15" x14ac:dyDescent="0.15">
      <c r="A209" s="8" t="s">
        <v>443</v>
      </c>
      <c r="B209" s="14" t="s">
        <v>444</v>
      </c>
    </row>
    <row r="210" spans="1:2" ht="15" x14ac:dyDescent="0.15">
      <c r="A210" s="8" t="s">
        <v>445</v>
      </c>
      <c r="B210" s="14" t="s">
        <v>446</v>
      </c>
    </row>
    <row r="211" spans="1:2" ht="15" x14ac:dyDescent="0.15">
      <c r="A211" s="8" t="s">
        <v>447</v>
      </c>
      <c r="B211" s="14" t="s">
        <v>448</v>
      </c>
    </row>
    <row r="212" spans="1:2" ht="15" x14ac:dyDescent="0.15">
      <c r="A212" s="8" t="s">
        <v>449</v>
      </c>
      <c r="B212" s="14" t="s">
        <v>450</v>
      </c>
    </row>
    <row r="213" spans="1:2" ht="15" x14ac:dyDescent="0.15">
      <c r="A213" s="8" t="s">
        <v>451</v>
      </c>
      <c r="B213" s="14" t="s">
        <v>452</v>
      </c>
    </row>
    <row r="214" spans="1:2" ht="15" x14ac:dyDescent="0.15">
      <c r="A214" s="8" t="s">
        <v>453</v>
      </c>
      <c r="B214" s="14" t="s">
        <v>454</v>
      </c>
    </row>
    <row r="215" spans="1:2" ht="15" x14ac:dyDescent="0.15">
      <c r="A215" s="8" t="s">
        <v>455</v>
      </c>
      <c r="B215" s="14" t="s">
        <v>456</v>
      </c>
    </row>
    <row r="216" spans="1:2" ht="15" x14ac:dyDescent="0.15">
      <c r="A216" s="8" t="s">
        <v>457</v>
      </c>
      <c r="B216" s="14" t="s">
        <v>458</v>
      </c>
    </row>
    <row r="217" spans="1:2" ht="15" x14ac:dyDescent="0.15">
      <c r="A217" s="8" t="s">
        <v>459</v>
      </c>
      <c r="B217" s="14" t="s">
        <v>460</v>
      </c>
    </row>
    <row r="218" spans="1:2" ht="15" x14ac:dyDescent="0.15">
      <c r="A218" s="8" t="s">
        <v>461</v>
      </c>
      <c r="B218" s="14" t="s">
        <v>462</v>
      </c>
    </row>
    <row r="219" spans="1:2" ht="15" x14ac:dyDescent="0.15">
      <c r="A219" s="8" t="s">
        <v>463</v>
      </c>
      <c r="B219" s="14" t="s">
        <v>464</v>
      </c>
    </row>
    <row r="220" spans="1:2" ht="15" x14ac:dyDescent="0.15">
      <c r="A220" s="8" t="s">
        <v>467</v>
      </c>
      <c r="B220" s="14" t="s">
        <v>468</v>
      </c>
    </row>
    <row r="221" spans="1:2" ht="15" x14ac:dyDescent="0.15">
      <c r="A221" s="8" t="s">
        <v>469</v>
      </c>
      <c r="B221" s="14" t="s">
        <v>470</v>
      </c>
    </row>
    <row r="222" spans="1:2" ht="15" x14ac:dyDescent="0.15">
      <c r="A222" s="8" t="s">
        <v>471</v>
      </c>
      <c r="B222" s="14" t="s">
        <v>472</v>
      </c>
    </row>
    <row r="223" spans="1:2" ht="15" x14ac:dyDescent="0.15">
      <c r="A223" s="8" t="s">
        <v>473</v>
      </c>
      <c r="B223" s="14" t="s">
        <v>474</v>
      </c>
    </row>
    <row r="224" spans="1:2" ht="15" x14ac:dyDescent="0.15">
      <c r="A224" s="8" t="s">
        <v>475</v>
      </c>
      <c r="B224" s="14" t="s">
        <v>476</v>
      </c>
    </row>
    <row r="225" spans="1:2" ht="15" x14ac:dyDescent="0.15">
      <c r="A225" s="8" t="s">
        <v>477</v>
      </c>
      <c r="B225" s="14" t="s">
        <v>478</v>
      </c>
    </row>
    <row r="226" spans="1:2" ht="15" x14ac:dyDescent="0.15">
      <c r="A226" s="8" t="s">
        <v>479</v>
      </c>
      <c r="B226" s="14" t="s">
        <v>480</v>
      </c>
    </row>
    <row r="227" spans="1:2" ht="15" x14ac:dyDescent="0.15">
      <c r="A227" s="8" t="s">
        <v>481</v>
      </c>
      <c r="B227" s="14" t="s">
        <v>482</v>
      </c>
    </row>
    <row r="228" spans="1:2" ht="15" x14ac:dyDescent="0.15">
      <c r="A228" s="8" t="s">
        <v>483</v>
      </c>
      <c r="B228" s="14" t="s">
        <v>484</v>
      </c>
    </row>
    <row r="229" spans="1:2" ht="28.5" customHeight="1" x14ac:dyDescent="0.15">
      <c r="A229" s="8" t="s">
        <v>485</v>
      </c>
      <c r="B229" s="14" t="s">
        <v>486</v>
      </c>
    </row>
    <row r="230" spans="1:2" ht="28.5" customHeight="1" x14ac:dyDescent="0.15">
      <c r="A230" s="8" t="s">
        <v>487</v>
      </c>
      <c r="B230" s="14" t="s">
        <v>488</v>
      </c>
    </row>
    <row r="231" spans="1:2" ht="15" x14ac:dyDescent="0.15">
      <c r="A231" s="8" t="s">
        <v>489</v>
      </c>
      <c r="B231" s="14" t="s">
        <v>490</v>
      </c>
    </row>
    <row r="232" spans="1:2" ht="15" x14ac:dyDescent="0.15">
      <c r="A232" s="8" t="s">
        <v>491</v>
      </c>
      <c r="B232" s="14" t="s">
        <v>492</v>
      </c>
    </row>
    <row r="233" spans="1:2" ht="15" x14ac:dyDescent="0.15">
      <c r="A233" s="8" t="s">
        <v>493</v>
      </c>
      <c r="B233" s="14" t="s">
        <v>494</v>
      </c>
    </row>
    <row r="234" spans="1:2" ht="15" x14ac:dyDescent="0.15">
      <c r="A234" s="8" t="s">
        <v>495</v>
      </c>
      <c r="B234" s="14" t="s">
        <v>496</v>
      </c>
    </row>
    <row r="235" spans="1:2" ht="15" x14ac:dyDescent="0.15">
      <c r="A235" s="8" t="s">
        <v>497</v>
      </c>
      <c r="B235" s="14" t="s">
        <v>498</v>
      </c>
    </row>
    <row r="236" spans="1:2" ht="15" x14ac:dyDescent="0.15">
      <c r="A236" s="8" t="s">
        <v>499</v>
      </c>
      <c r="B236" s="14" t="s">
        <v>500</v>
      </c>
    </row>
    <row r="237" spans="1:2" ht="15" x14ac:dyDescent="0.15">
      <c r="A237" s="8" t="s">
        <v>501</v>
      </c>
      <c r="B237" s="14" t="s">
        <v>502</v>
      </c>
    </row>
    <row r="238" spans="1:2" ht="15" x14ac:dyDescent="0.15">
      <c r="A238" s="8" t="s">
        <v>503</v>
      </c>
      <c r="B238" s="14" t="s">
        <v>504</v>
      </c>
    </row>
    <row r="239" spans="1:2" ht="15" x14ac:dyDescent="0.15">
      <c r="A239" s="8" t="s">
        <v>505</v>
      </c>
      <c r="B239" s="14" t="s">
        <v>506</v>
      </c>
    </row>
    <row r="240" spans="1:2" ht="15" x14ac:dyDescent="0.15">
      <c r="A240" s="8" t="s">
        <v>507</v>
      </c>
      <c r="B240" s="14" t="s">
        <v>508</v>
      </c>
    </row>
    <row r="241" spans="1:2" ht="15" x14ac:dyDescent="0.15">
      <c r="A241" s="8" t="s">
        <v>509</v>
      </c>
      <c r="B241" s="14" t="s">
        <v>510</v>
      </c>
    </row>
    <row r="242" spans="1:2" ht="15" x14ac:dyDescent="0.15">
      <c r="A242" s="8" t="s">
        <v>511</v>
      </c>
      <c r="B242" s="14" t="s">
        <v>510</v>
      </c>
    </row>
    <row r="243" spans="1:2" ht="15" x14ac:dyDescent="0.15">
      <c r="A243" s="8" t="s">
        <v>512</v>
      </c>
      <c r="B243" s="14" t="s">
        <v>513</v>
      </c>
    </row>
    <row r="244" spans="1:2" ht="15" x14ac:dyDescent="0.15">
      <c r="A244" s="8" t="s">
        <v>514</v>
      </c>
      <c r="B244" s="14" t="s">
        <v>515</v>
      </c>
    </row>
    <row r="245" spans="1:2" ht="15" x14ac:dyDescent="0.15">
      <c r="A245" s="8" t="s">
        <v>516</v>
      </c>
      <c r="B245" s="14" t="s">
        <v>517</v>
      </c>
    </row>
    <row r="246" spans="1:2" ht="15" x14ac:dyDescent="0.15">
      <c r="A246" s="8" t="s">
        <v>518</v>
      </c>
      <c r="B246" s="14" t="s">
        <v>519</v>
      </c>
    </row>
    <row r="247" spans="1:2" ht="15" x14ac:dyDescent="0.15">
      <c r="A247" s="8" t="s">
        <v>520</v>
      </c>
      <c r="B247" s="14" t="s">
        <v>521</v>
      </c>
    </row>
    <row r="248" spans="1:2" ht="15" x14ac:dyDescent="0.15">
      <c r="A248" s="8" t="s">
        <v>522</v>
      </c>
      <c r="B248" s="14" t="s">
        <v>523</v>
      </c>
    </row>
    <row r="249" spans="1:2" ht="15" x14ac:dyDescent="0.15">
      <c r="A249" s="8" t="s">
        <v>524</v>
      </c>
      <c r="B249" s="14" t="s">
        <v>525</v>
      </c>
    </row>
    <row r="250" spans="1:2" ht="15" x14ac:dyDescent="0.15">
      <c r="A250" s="8" t="s">
        <v>526</v>
      </c>
      <c r="B250" s="14" t="s">
        <v>527</v>
      </c>
    </row>
    <row r="251" spans="1:2" ht="15" x14ac:dyDescent="0.15">
      <c r="A251" s="8" t="s">
        <v>528</v>
      </c>
      <c r="B251" s="14" t="s">
        <v>529</v>
      </c>
    </row>
    <row r="252" spans="1:2" ht="15" x14ac:dyDescent="0.15">
      <c r="A252" s="8" t="s">
        <v>530</v>
      </c>
      <c r="B252" s="14" t="s">
        <v>531</v>
      </c>
    </row>
    <row r="253" spans="1:2" ht="15" x14ac:dyDescent="0.15">
      <c r="A253" s="8" t="s">
        <v>532</v>
      </c>
      <c r="B253" s="14" t="s">
        <v>533</v>
      </c>
    </row>
    <row r="254" spans="1:2" ht="15" x14ac:dyDescent="0.15">
      <c r="A254" s="8" t="s">
        <v>534</v>
      </c>
      <c r="B254" s="14" t="s">
        <v>535</v>
      </c>
    </row>
    <row r="255" spans="1:2" ht="15" x14ac:dyDescent="0.15">
      <c r="A255" s="8" t="s">
        <v>536</v>
      </c>
      <c r="B255" s="14" t="s">
        <v>535</v>
      </c>
    </row>
    <row r="256" spans="1:2" ht="15" x14ac:dyDescent="0.15">
      <c r="A256" s="8" t="s">
        <v>537</v>
      </c>
      <c r="B256" s="14" t="s">
        <v>538</v>
      </c>
    </row>
    <row r="257" spans="1:2" ht="15" x14ac:dyDescent="0.15">
      <c r="A257" s="8" t="s">
        <v>539</v>
      </c>
      <c r="B257" s="14" t="s">
        <v>540</v>
      </c>
    </row>
    <row r="258" spans="1:2" ht="15" x14ac:dyDescent="0.15">
      <c r="A258" s="8" t="s">
        <v>541</v>
      </c>
      <c r="B258" s="14" t="s">
        <v>540</v>
      </c>
    </row>
    <row r="259" spans="1:2" ht="15" x14ac:dyDescent="0.15">
      <c r="A259" s="8" t="s">
        <v>542</v>
      </c>
      <c r="B259" s="14" t="s">
        <v>543</v>
      </c>
    </row>
    <row r="260" spans="1:2" ht="15" x14ac:dyDescent="0.15">
      <c r="A260" s="8" t="s">
        <v>544</v>
      </c>
      <c r="B260" s="14" t="s">
        <v>545</v>
      </c>
    </row>
    <row r="261" spans="1:2" ht="15" x14ac:dyDescent="0.15">
      <c r="A261" s="8" t="s">
        <v>546</v>
      </c>
      <c r="B261" s="14" t="s">
        <v>547</v>
      </c>
    </row>
    <row r="262" spans="1:2" ht="15" x14ac:dyDescent="0.15">
      <c r="A262" s="8" t="s">
        <v>548</v>
      </c>
      <c r="B262" s="14" t="s">
        <v>549</v>
      </c>
    </row>
    <row r="263" spans="1:2" ht="15" x14ac:dyDescent="0.15">
      <c r="A263" s="8" t="s">
        <v>550</v>
      </c>
      <c r="B263" s="14" t="s">
        <v>500</v>
      </c>
    </row>
    <row r="264" spans="1:2" ht="15" x14ac:dyDescent="0.15">
      <c r="A264" s="8" t="s">
        <v>553</v>
      </c>
      <c r="B264" s="14" t="s">
        <v>554</v>
      </c>
    </row>
    <row r="265" spans="1:2" ht="15" x14ac:dyDescent="0.15">
      <c r="A265" s="8" t="s">
        <v>555</v>
      </c>
      <c r="B265" s="14" t="s">
        <v>554</v>
      </c>
    </row>
    <row r="266" spans="1:2" ht="15" x14ac:dyDescent="0.15">
      <c r="A266" s="8" t="s">
        <v>556</v>
      </c>
      <c r="B266" s="14" t="s">
        <v>540</v>
      </c>
    </row>
    <row r="267" spans="1:2" ht="15" x14ac:dyDescent="0.15">
      <c r="A267" s="8" t="s">
        <v>557</v>
      </c>
      <c r="B267" s="14" t="s">
        <v>558</v>
      </c>
    </row>
    <row r="268" spans="1:2" ht="15" x14ac:dyDescent="0.15">
      <c r="A268" s="8" t="s">
        <v>559</v>
      </c>
      <c r="B268" s="14" t="s">
        <v>560</v>
      </c>
    </row>
    <row r="269" spans="1:2" ht="15" x14ac:dyDescent="0.15">
      <c r="A269" s="8" t="s">
        <v>561</v>
      </c>
      <c r="B269" s="14" t="s">
        <v>547</v>
      </c>
    </row>
    <row r="270" spans="1:2" ht="15" x14ac:dyDescent="0.15">
      <c r="A270" s="8" t="s">
        <v>564</v>
      </c>
      <c r="B270" s="14" t="s">
        <v>565</v>
      </c>
    </row>
    <row r="271" spans="1:2" ht="15" x14ac:dyDescent="0.15">
      <c r="A271" s="8" t="s">
        <v>566</v>
      </c>
      <c r="B271" s="14" t="s">
        <v>567</v>
      </c>
    </row>
    <row r="272" spans="1:2" ht="15" x14ac:dyDescent="0.15">
      <c r="A272" s="8" t="s">
        <v>568</v>
      </c>
      <c r="B272" s="14" t="s">
        <v>569</v>
      </c>
    </row>
    <row r="273" spans="1:2" ht="15" x14ac:dyDescent="0.15">
      <c r="A273" s="8" t="s">
        <v>570</v>
      </c>
      <c r="B273" s="14" t="s">
        <v>569</v>
      </c>
    </row>
    <row r="274" spans="1:2" ht="15" x14ac:dyDescent="0.15">
      <c r="A274" s="8" t="s">
        <v>571</v>
      </c>
      <c r="B274" s="14" t="s">
        <v>572</v>
      </c>
    </row>
    <row r="275" spans="1:2" ht="15" x14ac:dyDescent="0.15">
      <c r="A275" s="8" t="s">
        <v>573</v>
      </c>
      <c r="B275" s="14" t="s">
        <v>574</v>
      </c>
    </row>
    <row r="276" spans="1:2" ht="15" x14ac:dyDescent="0.15">
      <c r="A276" s="8" t="s">
        <v>575</v>
      </c>
      <c r="B276" s="14" t="s">
        <v>576</v>
      </c>
    </row>
    <row r="277" spans="1:2" ht="15" x14ac:dyDescent="0.15">
      <c r="A277" s="8" t="s">
        <v>577</v>
      </c>
      <c r="B277" s="14" t="s">
        <v>578</v>
      </c>
    </row>
    <row r="278" spans="1:2" ht="15" x14ac:dyDescent="0.15">
      <c r="A278" s="8" t="s">
        <v>579</v>
      </c>
      <c r="B278" s="14" t="s">
        <v>580</v>
      </c>
    </row>
    <row r="279" spans="1:2" ht="15" x14ac:dyDescent="0.15">
      <c r="A279" s="8" t="s">
        <v>581</v>
      </c>
      <c r="B279" s="14" t="s">
        <v>582</v>
      </c>
    </row>
    <row r="280" spans="1:2" ht="15" x14ac:dyDescent="0.15">
      <c r="A280" s="8" t="s">
        <v>583</v>
      </c>
      <c r="B280" s="14" t="s">
        <v>584</v>
      </c>
    </row>
    <row r="281" spans="1:2" ht="15" x14ac:dyDescent="0.15">
      <c r="A281" s="8" t="s">
        <v>585</v>
      </c>
      <c r="B281" s="14" t="s">
        <v>586</v>
      </c>
    </row>
    <row r="282" spans="1:2" ht="15" x14ac:dyDescent="0.15">
      <c r="A282" s="8" t="s">
        <v>587</v>
      </c>
      <c r="B282" s="14" t="s">
        <v>588</v>
      </c>
    </row>
    <row r="283" spans="1:2" ht="15" x14ac:dyDescent="0.15">
      <c r="A283" s="8" t="s">
        <v>589</v>
      </c>
      <c r="B283" s="14" t="s">
        <v>590</v>
      </c>
    </row>
    <row r="284" spans="1:2" ht="15" x14ac:dyDescent="0.15">
      <c r="A284" s="8" t="s">
        <v>591</v>
      </c>
      <c r="B284" s="14" t="s">
        <v>592</v>
      </c>
    </row>
    <row r="285" spans="1:2" ht="15" x14ac:dyDescent="0.15">
      <c r="A285" s="8" t="s">
        <v>593</v>
      </c>
      <c r="B285" s="14" t="s">
        <v>594</v>
      </c>
    </row>
    <row r="286" spans="1:2" ht="15" x14ac:dyDescent="0.15">
      <c r="A286" s="8" t="s">
        <v>595</v>
      </c>
      <c r="B286" s="14" t="s">
        <v>596</v>
      </c>
    </row>
    <row r="287" spans="1:2" ht="15" x14ac:dyDescent="0.15">
      <c r="A287" s="8" t="s">
        <v>597</v>
      </c>
      <c r="B287" s="14" t="s">
        <v>598</v>
      </c>
    </row>
    <row r="288" spans="1:2" ht="15" x14ac:dyDescent="0.15">
      <c r="A288" s="8" t="s">
        <v>599</v>
      </c>
      <c r="B288" s="14" t="s">
        <v>600</v>
      </c>
    </row>
    <row r="289" spans="1:2" ht="15" x14ac:dyDescent="0.15">
      <c r="A289" s="8" t="s">
        <v>601</v>
      </c>
      <c r="B289" s="14" t="s">
        <v>602</v>
      </c>
    </row>
    <row r="290" spans="1:2" ht="15" x14ac:dyDescent="0.15">
      <c r="A290" s="8" t="s">
        <v>603</v>
      </c>
      <c r="B290" s="14" t="s">
        <v>604</v>
      </c>
    </row>
    <row r="291" spans="1:2" ht="15" x14ac:dyDescent="0.15">
      <c r="A291" s="8" t="s">
        <v>605</v>
      </c>
      <c r="B291" s="14" t="s">
        <v>606</v>
      </c>
    </row>
    <row r="292" spans="1:2" ht="15" x14ac:dyDescent="0.15">
      <c r="A292" s="8" t="s">
        <v>607</v>
      </c>
      <c r="B292" s="14" t="s">
        <v>608</v>
      </c>
    </row>
    <row r="293" spans="1:2" ht="15" x14ac:dyDescent="0.15">
      <c r="A293" s="8" t="s">
        <v>609</v>
      </c>
      <c r="B293" s="14" t="s">
        <v>610</v>
      </c>
    </row>
    <row r="294" spans="1:2" ht="15" x14ac:dyDescent="0.15">
      <c r="A294" s="8" t="s">
        <v>611</v>
      </c>
      <c r="B294" s="14" t="s">
        <v>612</v>
      </c>
    </row>
    <row r="295" spans="1:2" ht="15" x14ac:dyDescent="0.15">
      <c r="A295" s="8" t="s">
        <v>613</v>
      </c>
      <c r="B295" s="14" t="s">
        <v>614</v>
      </c>
    </row>
    <row r="296" spans="1:2" ht="15" x14ac:dyDescent="0.15">
      <c r="A296" s="8" t="s">
        <v>615</v>
      </c>
      <c r="B296" s="14" t="s">
        <v>616</v>
      </c>
    </row>
    <row r="297" spans="1:2" ht="15" x14ac:dyDescent="0.15">
      <c r="A297" s="8" t="s">
        <v>617</v>
      </c>
      <c r="B297" s="14" t="s">
        <v>618</v>
      </c>
    </row>
    <row r="298" spans="1:2" ht="15" x14ac:dyDescent="0.15">
      <c r="A298" s="8" t="s">
        <v>619</v>
      </c>
      <c r="B298" s="14" t="s">
        <v>620</v>
      </c>
    </row>
    <row r="299" spans="1:2" ht="15" x14ac:dyDescent="0.15">
      <c r="A299" s="8" t="s">
        <v>621</v>
      </c>
      <c r="B299" s="14" t="s">
        <v>622</v>
      </c>
    </row>
    <row r="300" spans="1:2" ht="15" x14ac:dyDescent="0.15">
      <c r="A300" s="8" t="s">
        <v>623</v>
      </c>
      <c r="B300" s="14" t="s">
        <v>624</v>
      </c>
    </row>
    <row r="301" spans="1:2" ht="15" x14ac:dyDescent="0.15">
      <c r="A301" s="8" t="s">
        <v>625</v>
      </c>
      <c r="B301" s="14" t="s">
        <v>626</v>
      </c>
    </row>
    <row r="302" spans="1:2" ht="15" x14ac:dyDescent="0.15">
      <c r="A302" s="8" t="s">
        <v>627</v>
      </c>
      <c r="B302" s="14" t="s">
        <v>628</v>
      </c>
    </row>
    <row r="303" spans="1:2" ht="15" x14ac:dyDescent="0.15">
      <c r="A303" s="8" t="s">
        <v>629</v>
      </c>
      <c r="B303" s="14" t="s">
        <v>628</v>
      </c>
    </row>
    <row r="304" spans="1:2" ht="15" x14ac:dyDescent="0.15">
      <c r="A304" s="8" t="s">
        <v>630</v>
      </c>
      <c r="B304" s="14" t="s">
        <v>631</v>
      </c>
    </row>
    <row r="305" spans="1:2" ht="15" x14ac:dyDescent="0.15">
      <c r="A305" s="8" t="s">
        <v>632</v>
      </c>
      <c r="B305" s="14" t="s">
        <v>633</v>
      </c>
    </row>
    <row r="306" spans="1:2" ht="15" x14ac:dyDescent="0.15">
      <c r="A306" s="8" t="s">
        <v>634</v>
      </c>
      <c r="B306" s="14" t="s">
        <v>635</v>
      </c>
    </row>
    <row r="307" spans="1:2" ht="15" x14ac:dyDescent="0.15">
      <c r="A307" s="8" t="s">
        <v>636</v>
      </c>
      <c r="B307" s="14" t="s">
        <v>637</v>
      </c>
    </row>
    <row r="308" spans="1:2" ht="15" x14ac:dyDescent="0.15">
      <c r="A308" s="8" t="s">
        <v>638</v>
      </c>
      <c r="B308" s="14" t="s">
        <v>639</v>
      </c>
    </row>
    <row r="309" spans="1:2" ht="15" x14ac:dyDescent="0.15">
      <c r="A309" s="8" t="s">
        <v>640</v>
      </c>
      <c r="B309" s="14" t="s">
        <v>641</v>
      </c>
    </row>
    <row r="310" spans="1:2" ht="15" x14ac:dyDescent="0.15">
      <c r="A310" s="8" t="s">
        <v>642</v>
      </c>
      <c r="B310" s="14" t="s">
        <v>643</v>
      </c>
    </row>
    <row r="311" spans="1:2" ht="15" x14ac:dyDescent="0.15">
      <c r="A311" s="8" t="s">
        <v>652</v>
      </c>
      <c r="B311" s="14" t="s">
        <v>653</v>
      </c>
    </row>
    <row r="312" spans="1:2" ht="15" x14ac:dyDescent="0.15">
      <c r="A312" s="8" t="s">
        <v>654</v>
      </c>
      <c r="B312" s="14" t="s">
        <v>655</v>
      </c>
    </row>
    <row r="313" spans="1:2" ht="15" x14ac:dyDescent="0.15">
      <c r="A313" s="8" t="s">
        <v>656</v>
      </c>
      <c r="B313" s="14" t="s">
        <v>657</v>
      </c>
    </row>
    <row r="314" spans="1:2" ht="15" x14ac:dyDescent="0.15">
      <c r="A314" s="8" t="s">
        <v>658</v>
      </c>
      <c r="B314" s="14" t="s">
        <v>659</v>
      </c>
    </row>
    <row r="315" spans="1:2" ht="15" x14ac:dyDescent="0.15">
      <c r="A315" s="8" t="s">
        <v>660</v>
      </c>
      <c r="B315" s="14" t="s">
        <v>661</v>
      </c>
    </row>
    <row r="316" spans="1:2" ht="15" x14ac:dyDescent="0.15">
      <c r="A316" s="8" t="s">
        <v>662</v>
      </c>
      <c r="B316" s="14" t="s">
        <v>663</v>
      </c>
    </row>
    <row r="317" spans="1:2" ht="15" x14ac:dyDescent="0.15">
      <c r="A317" s="8" t="s">
        <v>664</v>
      </c>
      <c r="B317" s="14" t="s">
        <v>665</v>
      </c>
    </row>
    <row r="318" spans="1:2" ht="15" x14ac:dyDescent="0.15">
      <c r="A318" s="8" t="s">
        <v>668</v>
      </c>
      <c r="B318" s="14" t="s">
        <v>669</v>
      </c>
    </row>
    <row r="319" spans="1:2" ht="15" x14ac:dyDescent="0.15">
      <c r="A319" s="8" t="s">
        <v>670</v>
      </c>
      <c r="B319" s="14" t="s">
        <v>671</v>
      </c>
    </row>
    <row r="320" spans="1:2" ht="15" x14ac:dyDescent="0.15">
      <c r="A320" s="8" t="s">
        <v>672</v>
      </c>
      <c r="B320" s="14" t="s">
        <v>673</v>
      </c>
    </row>
    <row r="321" spans="1:2" ht="15" x14ac:dyDescent="0.15">
      <c r="A321" s="8" t="s">
        <v>674</v>
      </c>
      <c r="B321" s="14" t="s">
        <v>675</v>
      </c>
    </row>
    <row r="322" spans="1:2" ht="15" x14ac:dyDescent="0.15">
      <c r="A322" s="8" t="s">
        <v>676</v>
      </c>
      <c r="B322" s="14" t="s">
        <v>677</v>
      </c>
    </row>
    <row r="323" spans="1:2" ht="15" x14ac:dyDescent="0.15">
      <c r="A323" s="8" t="s">
        <v>678</v>
      </c>
      <c r="B323" s="14" t="s">
        <v>679</v>
      </c>
    </row>
    <row r="324" spans="1:2" ht="15" x14ac:dyDescent="0.15">
      <c r="A324" s="8" t="s">
        <v>680</v>
      </c>
      <c r="B324" s="14" t="s">
        <v>681</v>
      </c>
    </row>
    <row r="325" spans="1:2" ht="15" x14ac:dyDescent="0.15">
      <c r="A325" s="8" t="s">
        <v>682</v>
      </c>
      <c r="B325" s="14" t="s">
        <v>683</v>
      </c>
    </row>
    <row r="326" spans="1:2" ht="15" x14ac:dyDescent="0.15">
      <c r="A326" s="8" t="s">
        <v>694</v>
      </c>
      <c r="B326" s="14" t="s">
        <v>695</v>
      </c>
    </row>
    <row r="327" spans="1:2" ht="15" x14ac:dyDescent="0.15">
      <c r="A327" s="8" t="s">
        <v>696</v>
      </c>
      <c r="B327" s="14" t="s">
        <v>697</v>
      </c>
    </row>
    <row r="328" spans="1:2" ht="15" x14ac:dyDescent="0.15">
      <c r="A328" s="8" t="s">
        <v>698</v>
      </c>
      <c r="B328" s="14" t="s">
        <v>699</v>
      </c>
    </row>
    <row r="329" spans="1:2" ht="15" x14ac:dyDescent="0.15">
      <c r="A329" s="8" t="s">
        <v>700</v>
      </c>
      <c r="B329" s="14" t="s">
        <v>701</v>
      </c>
    </row>
    <row r="330" spans="1:2" ht="15" x14ac:dyDescent="0.15">
      <c r="A330" s="8" t="s">
        <v>702</v>
      </c>
      <c r="B330" s="14" t="s">
        <v>701</v>
      </c>
    </row>
    <row r="331" spans="1:2" ht="15" x14ac:dyDescent="0.15">
      <c r="A331" s="8" t="s">
        <v>703</v>
      </c>
      <c r="B331" s="14" t="s">
        <v>701</v>
      </c>
    </row>
    <row r="332" spans="1:2" ht="15" x14ac:dyDescent="0.15">
      <c r="A332" s="8" t="s">
        <v>704</v>
      </c>
      <c r="B332" s="14" t="s">
        <v>701</v>
      </c>
    </row>
    <row r="333" spans="1:2" ht="15" x14ac:dyDescent="0.15">
      <c r="A333" s="8" t="s">
        <v>705</v>
      </c>
      <c r="B333" s="14" t="s">
        <v>706</v>
      </c>
    </row>
    <row r="334" spans="1:2" ht="15" x14ac:dyDescent="0.15">
      <c r="A334" s="8" t="s">
        <v>707</v>
      </c>
      <c r="B334" s="14" t="s">
        <v>708</v>
      </c>
    </row>
    <row r="335" spans="1:2" ht="15" x14ac:dyDescent="0.15">
      <c r="A335" s="8" t="s">
        <v>709</v>
      </c>
      <c r="B335" s="14" t="s">
        <v>710</v>
      </c>
    </row>
    <row r="336" spans="1:2" ht="15" x14ac:dyDescent="0.15">
      <c r="A336" s="8" t="s">
        <v>711</v>
      </c>
      <c r="B336" s="14" t="s">
        <v>712</v>
      </c>
    </row>
    <row r="337" spans="1:2" ht="15" x14ac:dyDescent="0.15">
      <c r="A337" s="8" t="s">
        <v>713</v>
      </c>
      <c r="B337" s="14" t="s">
        <v>714</v>
      </c>
    </row>
    <row r="338" spans="1:2" ht="15" x14ac:dyDescent="0.15">
      <c r="A338" s="8" t="s">
        <v>715</v>
      </c>
      <c r="B338" s="14" t="s">
        <v>716</v>
      </c>
    </row>
    <row r="339" spans="1:2" ht="15" x14ac:dyDescent="0.15">
      <c r="A339" s="8" t="s">
        <v>717</v>
      </c>
      <c r="B339" s="14" t="s">
        <v>718</v>
      </c>
    </row>
    <row r="340" spans="1:2" ht="15" x14ac:dyDescent="0.15">
      <c r="A340" s="8" t="s">
        <v>719</v>
      </c>
      <c r="B340" s="14" t="s">
        <v>718</v>
      </c>
    </row>
    <row r="341" spans="1:2" ht="15" x14ac:dyDescent="0.15">
      <c r="A341" s="8" t="s">
        <v>720</v>
      </c>
      <c r="B341" s="14" t="s">
        <v>721</v>
      </c>
    </row>
    <row r="342" spans="1:2" ht="15" x14ac:dyDescent="0.15">
      <c r="A342" s="8" t="s">
        <v>722</v>
      </c>
      <c r="B342" s="14" t="s">
        <v>721</v>
      </c>
    </row>
    <row r="343" spans="1:2" ht="15" x14ac:dyDescent="0.15">
      <c r="A343" s="8" t="s">
        <v>723</v>
      </c>
      <c r="B343" s="14" t="s">
        <v>724</v>
      </c>
    </row>
    <row r="344" spans="1:2" ht="15" x14ac:dyDescent="0.15">
      <c r="A344" s="8" t="s">
        <v>725</v>
      </c>
      <c r="B344" s="14" t="s">
        <v>726</v>
      </c>
    </row>
    <row r="345" spans="1:2" ht="15" x14ac:dyDescent="0.15">
      <c r="A345" s="8" t="s">
        <v>727</v>
      </c>
      <c r="B345" s="14" t="s">
        <v>728</v>
      </c>
    </row>
    <row r="346" spans="1:2" ht="15" x14ac:dyDescent="0.15">
      <c r="A346" s="8" t="s">
        <v>729</v>
      </c>
      <c r="B346" s="14" t="s">
        <v>730</v>
      </c>
    </row>
    <row r="347" spans="1:2" ht="15" x14ac:dyDescent="0.15">
      <c r="A347" s="8" t="s">
        <v>731</v>
      </c>
      <c r="B347" s="14" t="s">
        <v>732</v>
      </c>
    </row>
    <row r="348" spans="1:2" ht="15" x14ac:dyDescent="0.15">
      <c r="A348" s="8" t="s">
        <v>733</v>
      </c>
      <c r="B348" s="14" t="s">
        <v>734</v>
      </c>
    </row>
    <row r="349" spans="1:2" ht="15" x14ac:dyDescent="0.15">
      <c r="A349" s="8" t="s">
        <v>735</v>
      </c>
      <c r="B349" s="14" t="s">
        <v>736</v>
      </c>
    </row>
    <row r="350" spans="1:2" ht="15" x14ac:dyDescent="0.15">
      <c r="A350" s="8" t="s">
        <v>737</v>
      </c>
      <c r="B350" s="14" t="s">
        <v>738</v>
      </c>
    </row>
    <row r="351" spans="1:2" ht="15" x14ac:dyDescent="0.15">
      <c r="A351" s="8" t="s">
        <v>739</v>
      </c>
      <c r="B351" s="14" t="s">
        <v>740</v>
      </c>
    </row>
    <row r="352" spans="1:2" ht="15" x14ac:dyDescent="0.15">
      <c r="A352" s="8" t="s">
        <v>741</v>
      </c>
      <c r="B352" s="14" t="s">
        <v>742</v>
      </c>
    </row>
    <row r="353" spans="1:2" ht="15" x14ac:dyDescent="0.15">
      <c r="A353" s="8" t="s">
        <v>743</v>
      </c>
      <c r="B353" s="14" t="s">
        <v>744</v>
      </c>
    </row>
    <row r="354" spans="1:2" ht="15" x14ac:dyDescent="0.15">
      <c r="A354" s="8" t="s">
        <v>745</v>
      </c>
      <c r="B354" s="14" t="s">
        <v>746</v>
      </c>
    </row>
    <row r="355" spans="1:2" ht="15" x14ac:dyDescent="0.15">
      <c r="A355" s="8" t="s">
        <v>747</v>
      </c>
      <c r="B355" s="14" t="s">
        <v>748</v>
      </c>
    </row>
    <row r="356" spans="1:2" ht="15" x14ac:dyDescent="0.15">
      <c r="A356" s="8" t="s">
        <v>749</v>
      </c>
      <c r="B356" s="14" t="s">
        <v>750</v>
      </c>
    </row>
    <row r="357" spans="1:2" ht="15" x14ac:dyDescent="0.15">
      <c r="A357" s="8" t="s">
        <v>751</v>
      </c>
      <c r="B357" s="14" t="s">
        <v>752</v>
      </c>
    </row>
    <row r="358" spans="1:2" ht="15" x14ac:dyDescent="0.15">
      <c r="A358" s="8" t="s">
        <v>753</v>
      </c>
      <c r="B358" s="14" t="s">
        <v>752</v>
      </c>
    </row>
    <row r="359" spans="1:2" ht="15" x14ac:dyDescent="0.15">
      <c r="A359" s="8" t="s">
        <v>754</v>
      </c>
      <c r="B359" s="14" t="s">
        <v>755</v>
      </c>
    </row>
    <row r="360" spans="1:2" ht="15" x14ac:dyDescent="0.15">
      <c r="A360" s="8" t="s">
        <v>756</v>
      </c>
      <c r="B360" s="14" t="s">
        <v>755</v>
      </c>
    </row>
    <row r="361" spans="1:2" ht="15" x14ac:dyDescent="0.15">
      <c r="A361" s="8" t="s">
        <v>757</v>
      </c>
      <c r="B361" s="14" t="s">
        <v>758</v>
      </c>
    </row>
    <row r="362" spans="1:2" ht="15" x14ac:dyDescent="0.15">
      <c r="A362" s="8" t="s">
        <v>759</v>
      </c>
      <c r="B362" s="14" t="s">
        <v>760</v>
      </c>
    </row>
    <row r="363" spans="1:2" ht="15" x14ac:dyDescent="0.15">
      <c r="A363" s="8" t="s">
        <v>761</v>
      </c>
      <c r="B363" s="14" t="s">
        <v>272</v>
      </c>
    </row>
    <row r="364" spans="1:2" ht="15" x14ac:dyDescent="0.15">
      <c r="A364" s="8" t="s">
        <v>762</v>
      </c>
      <c r="B364" s="14" t="s">
        <v>272</v>
      </c>
    </row>
    <row r="365" spans="1:2" ht="15" x14ac:dyDescent="0.15">
      <c r="A365" s="8" t="s">
        <v>763</v>
      </c>
      <c r="B365" s="14" t="s">
        <v>272</v>
      </c>
    </row>
    <row r="366" spans="1:2" ht="15" x14ac:dyDescent="0.15">
      <c r="A366" s="8" t="s">
        <v>764</v>
      </c>
      <c r="B366" s="14" t="s">
        <v>765</v>
      </c>
    </row>
    <row r="367" spans="1:2" ht="15" x14ac:dyDescent="0.15">
      <c r="A367" s="8" t="s">
        <v>766</v>
      </c>
      <c r="B367" s="14" t="s">
        <v>765</v>
      </c>
    </row>
    <row r="368" spans="1:2" ht="15" x14ac:dyDescent="0.15">
      <c r="A368" s="8" t="s">
        <v>767</v>
      </c>
      <c r="B368" s="14" t="s">
        <v>768</v>
      </c>
    </row>
    <row r="369" spans="1:2" ht="15" x14ac:dyDescent="0.15">
      <c r="A369" s="8" t="s">
        <v>769</v>
      </c>
      <c r="B369" s="14" t="s">
        <v>770</v>
      </c>
    </row>
    <row r="370" spans="1:2" ht="15" x14ac:dyDescent="0.15">
      <c r="A370" s="8" t="s">
        <v>771</v>
      </c>
      <c r="B370" s="14" t="s">
        <v>772</v>
      </c>
    </row>
    <row r="371" spans="1:2" ht="15" x14ac:dyDescent="0.15">
      <c r="A371" s="8" t="s">
        <v>773</v>
      </c>
      <c r="B371" s="14" t="s">
        <v>774</v>
      </c>
    </row>
    <row r="372" spans="1:2" ht="15" x14ac:dyDescent="0.15">
      <c r="A372" s="8" t="s">
        <v>775</v>
      </c>
      <c r="B372" s="14" t="s">
        <v>776</v>
      </c>
    </row>
    <row r="373" spans="1:2" ht="15" x14ac:dyDescent="0.15">
      <c r="A373" s="8" t="s">
        <v>777</v>
      </c>
      <c r="B373" s="14" t="s">
        <v>506</v>
      </c>
    </row>
    <row r="374" spans="1:2" ht="15" x14ac:dyDescent="0.15">
      <c r="A374" s="8" t="s">
        <v>778</v>
      </c>
      <c r="B374" s="14" t="s">
        <v>779</v>
      </c>
    </row>
    <row r="375" spans="1:2" ht="15" x14ac:dyDescent="0.15">
      <c r="A375" s="8" t="s">
        <v>780</v>
      </c>
      <c r="B375" s="14" t="s">
        <v>779</v>
      </c>
    </row>
    <row r="376" spans="1:2" ht="15" x14ac:dyDescent="0.15">
      <c r="A376" s="8" t="s">
        <v>785</v>
      </c>
      <c r="B376" s="14" t="s">
        <v>786</v>
      </c>
    </row>
    <row r="377" spans="1:2" ht="15" x14ac:dyDescent="0.15">
      <c r="A377" s="8" t="s">
        <v>787</v>
      </c>
      <c r="B377" s="14" t="s">
        <v>788</v>
      </c>
    </row>
    <row r="378" spans="1:2" ht="15" x14ac:dyDescent="0.15">
      <c r="A378" s="8" t="s">
        <v>789</v>
      </c>
      <c r="B378" s="14" t="s">
        <v>790</v>
      </c>
    </row>
    <row r="379" spans="1:2" ht="15" x14ac:dyDescent="0.15">
      <c r="A379" s="8" t="s">
        <v>791</v>
      </c>
      <c r="B379" s="14" t="s">
        <v>792</v>
      </c>
    </row>
    <row r="380" spans="1:2" ht="15" x14ac:dyDescent="0.15">
      <c r="A380" s="8" t="s">
        <v>793</v>
      </c>
      <c r="B380" s="14" t="s">
        <v>794</v>
      </c>
    </row>
    <row r="381" spans="1:2" ht="15" x14ac:dyDescent="0.15">
      <c r="A381" s="8" t="s">
        <v>795</v>
      </c>
      <c r="B381" s="14" t="s">
        <v>796</v>
      </c>
    </row>
    <row r="382" spans="1:2" ht="15" x14ac:dyDescent="0.15">
      <c r="A382" s="8" t="s">
        <v>799</v>
      </c>
      <c r="B382" s="14" t="s">
        <v>800</v>
      </c>
    </row>
    <row r="383" spans="1:2" ht="15" x14ac:dyDescent="0.15">
      <c r="A383" s="8" t="s">
        <v>801</v>
      </c>
      <c r="B383" s="14" t="s">
        <v>802</v>
      </c>
    </row>
    <row r="384" spans="1:2" ht="15" x14ac:dyDescent="0.15">
      <c r="A384" s="8" t="s">
        <v>803</v>
      </c>
      <c r="B384" s="14" t="s">
        <v>804</v>
      </c>
    </row>
    <row r="385" spans="1:2" ht="15" x14ac:dyDescent="0.15">
      <c r="A385" s="8" t="s">
        <v>805</v>
      </c>
      <c r="B385" s="14" t="s">
        <v>806</v>
      </c>
    </row>
    <row r="386" spans="1:2" ht="15" x14ac:dyDescent="0.15">
      <c r="A386" s="8" t="s">
        <v>807</v>
      </c>
      <c r="B386" s="14" t="s">
        <v>808</v>
      </c>
    </row>
    <row r="387" spans="1:2" ht="15" x14ac:dyDescent="0.15">
      <c r="A387" s="8" t="s">
        <v>809</v>
      </c>
      <c r="B387" s="14" t="s">
        <v>810</v>
      </c>
    </row>
    <row r="388" spans="1:2" ht="15" x14ac:dyDescent="0.15">
      <c r="A388" s="8" t="s">
        <v>811</v>
      </c>
      <c r="B388" s="14" t="s">
        <v>812</v>
      </c>
    </row>
    <row r="389" spans="1:2" ht="15" x14ac:dyDescent="0.15">
      <c r="A389" s="8" t="s">
        <v>813</v>
      </c>
      <c r="B389" s="14" t="s">
        <v>814</v>
      </c>
    </row>
    <row r="390" spans="1:2" ht="15" x14ac:dyDescent="0.15">
      <c r="A390" s="8" t="s">
        <v>815</v>
      </c>
      <c r="B390" s="14" t="s">
        <v>816</v>
      </c>
    </row>
    <row r="391" spans="1:2" ht="15" x14ac:dyDescent="0.15">
      <c r="A391" s="8" t="s">
        <v>819</v>
      </c>
      <c r="B391" s="14" t="s">
        <v>820</v>
      </c>
    </row>
    <row r="392" spans="1:2" ht="15" x14ac:dyDescent="0.15">
      <c r="A392" s="8" t="s">
        <v>821</v>
      </c>
      <c r="B392" s="14" t="s">
        <v>822</v>
      </c>
    </row>
    <row r="393" spans="1:2" ht="15" x14ac:dyDescent="0.15">
      <c r="A393" s="8" t="s">
        <v>823</v>
      </c>
      <c r="B393" s="14" t="s">
        <v>280</v>
      </c>
    </row>
    <row r="394" spans="1:2" ht="15" x14ac:dyDescent="0.15">
      <c r="A394" s="8" t="s">
        <v>824</v>
      </c>
      <c r="B394" s="14" t="s">
        <v>825</v>
      </c>
    </row>
    <row r="395" spans="1:2" ht="15" x14ac:dyDescent="0.15">
      <c r="A395" s="8" t="s">
        <v>826</v>
      </c>
      <c r="B395" s="14" t="s">
        <v>825</v>
      </c>
    </row>
    <row r="396" spans="1:2" ht="15" x14ac:dyDescent="0.15">
      <c r="A396" s="8" t="s">
        <v>827</v>
      </c>
      <c r="B396" s="14" t="s">
        <v>825</v>
      </c>
    </row>
    <row r="397" spans="1:2" ht="15" x14ac:dyDescent="0.15">
      <c r="A397" s="8" t="s">
        <v>828</v>
      </c>
      <c r="B397" s="14" t="s">
        <v>829</v>
      </c>
    </row>
    <row r="398" spans="1:2" ht="15" x14ac:dyDescent="0.15">
      <c r="A398" s="8" t="s">
        <v>830</v>
      </c>
      <c r="B398" s="14" t="s">
        <v>831</v>
      </c>
    </row>
    <row r="399" spans="1:2" ht="15" x14ac:dyDescent="0.15">
      <c r="A399" s="8" t="s">
        <v>832</v>
      </c>
      <c r="B399" s="14" t="s">
        <v>833</v>
      </c>
    </row>
    <row r="400" spans="1:2" ht="15" x14ac:dyDescent="0.15">
      <c r="A400" s="8" t="s">
        <v>834</v>
      </c>
      <c r="B400" s="14" t="s">
        <v>833</v>
      </c>
    </row>
    <row r="401" spans="1:2" ht="15" x14ac:dyDescent="0.15">
      <c r="A401" s="8" t="s">
        <v>835</v>
      </c>
      <c r="B401" s="14" t="s">
        <v>836</v>
      </c>
    </row>
    <row r="402" spans="1:2" ht="15" x14ac:dyDescent="0.15">
      <c r="A402" s="8" t="s">
        <v>837</v>
      </c>
      <c r="B402" s="14" t="s">
        <v>838</v>
      </c>
    </row>
    <row r="403" spans="1:2" ht="15" x14ac:dyDescent="0.15">
      <c r="A403" s="8" t="s">
        <v>839</v>
      </c>
      <c r="B403" s="14" t="s">
        <v>840</v>
      </c>
    </row>
    <row r="404" spans="1:2" ht="15" x14ac:dyDescent="0.15">
      <c r="A404" s="8" t="s">
        <v>841</v>
      </c>
      <c r="B404" s="14" t="s">
        <v>842</v>
      </c>
    </row>
    <row r="405" spans="1:2" ht="15" x14ac:dyDescent="0.15">
      <c r="A405" s="8" t="s">
        <v>843</v>
      </c>
      <c r="B405" s="14" t="s">
        <v>844</v>
      </c>
    </row>
    <row r="406" spans="1:2" ht="15" x14ac:dyDescent="0.15">
      <c r="A406" s="8" t="s">
        <v>845</v>
      </c>
      <c r="B406" s="14" t="s">
        <v>784</v>
      </c>
    </row>
    <row r="407" spans="1:2" ht="15" x14ac:dyDescent="0.15">
      <c r="A407" s="8" t="s">
        <v>846</v>
      </c>
      <c r="B407" s="14" t="s">
        <v>847</v>
      </c>
    </row>
    <row r="408" spans="1:2" ht="15" x14ac:dyDescent="0.15">
      <c r="A408" s="8" t="s">
        <v>848</v>
      </c>
      <c r="B408" s="14" t="s">
        <v>849</v>
      </c>
    </row>
    <row r="409" spans="1:2" ht="15" x14ac:dyDescent="0.15">
      <c r="A409" s="8" t="s">
        <v>850</v>
      </c>
      <c r="B409" s="14" t="s">
        <v>851</v>
      </c>
    </row>
    <row r="410" spans="1:2" ht="15" x14ac:dyDescent="0.15">
      <c r="A410" s="8" t="s">
        <v>852</v>
      </c>
      <c r="B410" s="14" t="s">
        <v>851</v>
      </c>
    </row>
    <row r="411" spans="1:2" ht="15" x14ac:dyDescent="0.15">
      <c r="A411" s="8" t="s">
        <v>853</v>
      </c>
      <c r="B411" s="14" t="s">
        <v>854</v>
      </c>
    </row>
    <row r="412" spans="1:2" ht="15" x14ac:dyDescent="0.15">
      <c r="A412" s="8" t="s">
        <v>855</v>
      </c>
      <c r="B412" s="14" t="s">
        <v>854</v>
      </c>
    </row>
    <row r="413" spans="1:2" ht="15" x14ac:dyDescent="0.15">
      <c r="A413" s="8" t="s">
        <v>856</v>
      </c>
      <c r="B413" s="14" t="s">
        <v>857</v>
      </c>
    </row>
    <row r="414" spans="1:2" ht="15" x14ac:dyDescent="0.15">
      <c r="A414" s="8" t="s">
        <v>858</v>
      </c>
      <c r="B414" s="14" t="s">
        <v>859</v>
      </c>
    </row>
    <row r="415" spans="1:2" x14ac:dyDescent="0.15">
      <c r="A415" s="26" t="s">
        <v>271</v>
      </c>
      <c r="B415" s="27" t="s">
        <v>272</v>
      </c>
    </row>
    <row r="416" spans="1:2" x14ac:dyDescent="0.15">
      <c r="A416" s="26" t="s">
        <v>315</v>
      </c>
      <c r="B416" s="27" t="s">
        <v>316</v>
      </c>
    </row>
    <row r="417" spans="1:2" x14ac:dyDescent="0.15">
      <c r="A417" s="26" t="s">
        <v>351</v>
      </c>
      <c r="B417" s="27" t="s">
        <v>352</v>
      </c>
    </row>
    <row r="418" spans="1:2" x14ac:dyDescent="0.15">
      <c r="A418" s="26" t="s">
        <v>359</v>
      </c>
      <c r="B418" s="27" t="s">
        <v>360</v>
      </c>
    </row>
    <row r="419" spans="1:2" x14ac:dyDescent="0.15">
      <c r="A419" s="26" t="s">
        <v>465</v>
      </c>
      <c r="B419" s="27" t="s">
        <v>466</v>
      </c>
    </row>
    <row r="420" spans="1:2" x14ac:dyDescent="0.15">
      <c r="A420" s="26" t="s">
        <v>551</v>
      </c>
      <c r="B420" s="27" t="s">
        <v>552</v>
      </c>
    </row>
    <row r="421" spans="1:2" x14ac:dyDescent="0.15">
      <c r="A421" s="26" t="s">
        <v>562</v>
      </c>
      <c r="B421" s="27" t="s">
        <v>563</v>
      </c>
    </row>
    <row r="422" spans="1:2" x14ac:dyDescent="0.15">
      <c r="A422" s="26" t="s">
        <v>644</v>
      </c>
      <c r="B422" s="27" t="s">
        <v>645</v>
      </c>
    </row>
    <row r="423" spans="1:2" x14ac:dyDescent="0.15">
      <c r="A423" s="26" t="s">
        <v>646</v>
      </c>
      <c r="B423" s="27" t="s">
        <v>647</v>
      </c>
    </row>
    <row r="424" spans="1:2" x14ac:dyDescent="0.15">
      <c r="A424" s="26" t="s">
        <v>648</v>
      </c>
      <c r="B424" s="27" t="s">
        <v>649</v>
      </c>
    </row>
    <row r="425" spans="1:2" x14ac:dyDescent="0.15">
      <c r="A425" s="26" t="s">
        <v>650</v>
      </c>
      <c r="B425" s="27" t="s">
        <v>651</v>
      </c>
    </row>
    <row r="426" spans="1:2" x14ac:dyDescent="0.15">
      <c r="A426" s="26" t="s">
        <v>666</v>
      </c>
      <c r="B426" s="27" t="s">
        <v>667</v>
      </c>
    </row>
    <row r="427" spans="1:2" x14ac:dyDescent="0.15">
      <c r="A427" s="26" t="s">
        <v>684</v>
      </c>
      <c r="B427" s="27" t="s">
        <v>685</v>
      </c>
    </row>
    <row r="428" spans="1:2" x14ac:dyDescent="0.15">
      <c r="A428" s="26" t="s">
        <v>686</v>
      </c>
      <c r="B428" s="27" t="s">
        <v>687</v>
      </c>
    </row>
    <row r="429" spans="1:2" x14ac:dyDescent="0.15">
      <c r="A429" s="26" t="s">
        <v>688</v>
      </c>
      <c r="B429" s="27" t="s">
        <v>689</v>
      </c>
    </row>
    <row r="430" spans="1:2" x14ac:dyDescent="0.15">
      <c r="A430" s="26" t="s">
        <v>690</v>
      </c>
      <c r="B430" s="27" t="s">
        <v>691</v>
      </c>
    </row>
    <row r="431" spans="1:2" x14ac:dyDescent="0.15">
      <c r="A431" s="26" t="s">
        <v>692</v>
      </c>
      <c r="B431" s="27" t="s">
        <v>693</v>
      </c>
    </row>
    <row r="432" spans="1:2" x14ac:dyDescent="0.15">
      <c r="A432" s="26" t="s">
        <v>781</v>
      </c>
      <c r="B432" s="27" t="s">
        <v>782</v>
      </c>
    </row>
    <row r="433" spans="1:2" x14ac:dyDescent="0.15">
      <c r="A433" s="26" t="s">
        <v>783</v>
      </c>
      <c r="B433" s="27" t="s">
        <v>784</v>
      </c>
    </row>
    <row r="434" spans="1:2" x14ac:dyDescent="0.15">
      <c r="A434" s="26" t="s">
        <v>797</v>
      </c>
      <c r="B434" s="27" t="s">
        <v>798</v>
      </c>
    </row>
    <row r="435" spans="1:2" x14ac:dyDescent="0.15">
      <c r="A435" s="26" t="s">
        <v>817</v>
      </c>
      <c r="B435" s="27" t="s">
        <v>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rightToLeft="1" workbookViewId="0">
      <selection activeCell="A5" sqref="A5"/>
    </sheetView>
  </sheetViews>
  <sheetFormatPr baseColWidth="10" defaultColWidth="8.83203125" defaultRowHeight="14" x14ac:dyDescent="0.15"/>
  <cols>
    <col min="1" max="1" width="20" customWidth="1"/>
    <col min="2" max="2" width="8" customWidth="1"/>
    <col min="3" max="3" width="2" customWidth="1"/>
    <col min="4" max="4" width="18" customWidth="1"/>
    <col min="5" max="5" width="8" customWidth="1"/>
    <col min="6" max="6" width="2" customWidth="1"/>
    <col min="7" max="7" width="3" customWidth="1"/>
    <col min="8" max="8" width="16" customWidth="1"/>
    <col min="9" max="10" width="14" customWidth="1"/>
    <col min="11" max="11" width="2" customWidth="1"/>
    <col min="12" max="12" width="14" customWidth="1"/>
  </cols>
  <sheetData>
    <row r="1" spans="1:12" ht="15" x14ac:dyDescent="0.15">
      <c r="A1" s="1" t="s">
        <v>5</v>
      </c>
      <c r="B1" s="1" t="s">
        <v>873</v>
      </c>
      <c r="D1" s="1" t="s">
        <v>6</v>
      </c>
      <c r="E1" s="1" t="s">
        <v>873</v>
      </c>
      <c r="H1" s="1" t="s">
        <v>27</v>
      </c>
      <c r="I1" s="1" t="s">
        <v>22</v>
      </c>
      <c r="J1" s="1" t="s">
        <v>138</v>
      </c>
      <c r="L1" s="1" t="s">
        <v>8</v>
      </c>
    </row>
    <row r="2" spans="1:12" ht="16" x14ac:dyDescent="0.15">
      <c r="A2" s="8" t="s">
        <v>12</v>
      </c>
      <c r="B2" s="9" t="s">
        <v>22</v>
      </c>
      <c r="D2" s="8" t="s">
        <v>218</v>
      </c>
      <c r="E2" s="9" t="s">
        <v>219</v>
      </c>
      <c r="H2" s="2" t="s">
        <v>26</v>
      </c>
      <c r="I2" s="2" t="s">
        <v>218</v>
      </c>
      <c r="J2" s="2" t="s">
        <v>218</v>
      </c>
      <c r="L2" s="2" t="s">
        <v>13</v>
      </c>
    </row>
    <row r="3" spans="1:12" ht="16" x14ac:dyDescent="0.15">
      <c r="A3" s="8" t="s">
        <v>136</v>
      </c>
      <c r="B3" s="9" t="s">
        <v>138</v>
      </c>
      <c r="D3" s="8" t="s">
        <v>137</v>
      </c>
      <c r="E3" s="9" t="s">
        <v>139</v>
      </c>
      <c r="I3" s="2" t="s">
        <v>137</v>
      </c>
      <c r="J3" s="2" t="s">
        <v>137</v>
      </c>
      <c r="L3" s="2" t="s">
        <v>344</v>
      </c>
    </row>
    <row r="4" spans="1:12" ht="16" x14ac:dyDescent="0.15">
      <c r="A4" s="8" t="s">
        <v>16</v>
      </c>
      <c r="B4" s="9" t="s">
        <v>27</v>
      </c>
      <c r="D4" s="8" t="s">
        <v>265</v>
      </c>
      <c r="E4" s="9" t="s">
        <v>266</v>
      </c>
      <c r="I4" s="2" t="s">
        <v>265</v>
      </c>
      <c r="J4" s="2" t="s">
        <v>265</v>
      </c>
      <c r="L4" s="2" t="s">
        <v>15</v>
      </c>
    </row>
    <row r="5" spans="1:12" ht="16" x14ac:dyDescent="0.15">
      <c r="D5" s="8" t="s">
        <v>14</v>
      </c>
      <c r="E5" s="9" t="s">
        <v>23</v>
      </c>
      <c r="I5" s="2" t="s">
        <v>14</v>
      </c>
      <c r="L5" s="2" t="s">
        <v>874</v>
      </c>
    </row>
    <row r="6" spans="1:12" ht="16" x14ac:dyDescent="0.15">
      <c r="D6" s="8" t="s">
        <v>26</v>
      </c>
      <c r="E6" s="9" t="s">
        <v>28</v>
      </c>
      <c r="L6" s="2" t="s">
        <v>355</v>
      </c>
    </row>
    <row r="9" spans="1:12" ht="15.75" customHeight="1" x14ac:dyDescent="0.2">
      <c r="A9" s="43" t="s">
        <v>875</v>
      </c>
      <c r="B9" s="33"/>
      <c r="C9" s="33"/>
      <c r="D9" s="33"/>
      <c r="E9" s="33"/>
      <c r="F9" s="33"/>
    </row>
    <row r="10" spans="1:12" x14ac:dyDescent="0.15">
      <c r="A10" s="42" t="s">
        <v>876</v>
      </c>
      <c r="B10" s="33"/>
      <c r="C10" s="33"/>
      <c r="D10" s="33"/>
      <c r="E10" s="33"/>
      <c r="F10" s="33"/>
    </row>
    <row r="11" spans="1:12" x14ac:dyDescent="0.15">
      <c r="A11" s="42" t="s">
        <v>877</v>
      </c>
      <c r="B11" s="33"/>
      <c r="C11" s="33"/>
      <c r="D11" s="33"/>
      <c r="E11" s="33"/>
      <c r="F11" s="33"/>
    </row>
    <row r="12" spans="1:12" x14ac:dyDescent="0.15">
      <c r="A12" s="42" t="s">
        <v>878</v>
      </c>
      <c r="B12" s="33"/>
      <c r="C12" s="33"/>
      <c r="D12" s="33"/>
      <c r="E12" s="33"/>
      <c r="F12" s="33"/>
    </row>
    <row r="13" spans="1:12" x14ac:dyDescent="0.15">
      <c r="A13" s="42" t="s">
        <v>879</v>
      </c>
      <c r="B13" s="33"/>
      <c r="C13" s="33"/>
      <c r="D13" s="33"/>
      <c r="E13" s="33"/>
      <c r="F13" s="33"/>
    </row>
    <row r="14" spans="1:12" x14ac:dyDescent="0.15">
      <c r="A14" s="42" t="s">
        <v>880</v>
      </c>
      <c r="B14" s="33"/>
      <c r="C14" s="33"/>
      <c r="D14" s="33"/>
      <c r="E14" s="33"/>
      <c r="F14" s="33"/>
    </row>
  </sheetData>
  <mergeCells count="6">
    <mergeCell ref="A11:F11"/>
    <mergeCell ref="A10:F10"/>
    <mergeCell ref="A13:F13"/>
    <mergeCell ref="A14:F14"/>
    <mergeCell ref="A9:F9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النطاقات المسماة</vt:lpstr>
      </vt:variant>
      <vt:variant>
        <vt:i4>3</vt:i4>
      </vt:variant>
    </vt:vector>
  </HeadingPairs>
  <TitlesOfParts>
    <vt:vector size="10" baseType="lpstr">
      <vt:lpstr>إدخال وسجل المنتجات</vt:lpstr>
      <vt:lpstr>جرد المجمّدة</vt:lpstr>
      <vt:lpstr>جرد المبرّدة</vt:lpstr>
      <vt:lpstr>جرد الجافة</vt:lpstr>
      <vt:lpstr>جرد الاستهلاكية</vt:lpstr>
      <vt:lpstr>قاموس الترجمة</vt:lpstr>
      <vt:lpstr>القوائم</vt:lpstr>
      <vt:lpstr>FIN</vt:lpstr>
      <vt:lpstr>RAW</vt:lpstr>
      <vt:lpstr>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alsobhi</cp:lastModifiedBy>
  <dcterms:created xsi:type="dcterms:W3CDTF">2026-06-22T08:38:44Z</dcterms:created>
  <dcterms:modified xsi:type="dcterms:W3CDTF">2026-06-24T15:44:04Z</dcterms:modified>
</cp:coreProperties>
</file>